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Cases" sheetId="4" state="visible" r:id="rId4"/>
    <sheet xmlns:r="http://schemas.openxmlformats.org/officeDocument/2006/relationships" name="Functions" sheetId="5" state="visible" r:id="rId5"/>
  </sheets>
  <definedNames>
    <definedName name="_xlnm._FilterDatabase" localSheetId="1" hidden="1">'Summary'!$A$1:$K$5</definedName>
    <definedName name="_xlnm._FilterDatabase" localSheetId="2" hidden="1">'Calculations'!$A$1:$B$29</definedName>
    <definedName name="_xlnm._FilterDatabase" localSheetId="3" hidden="1">'Cases'!$A$1:$R$1859</definedName>
    <definedName name="_xlnm._FilterDatabase" localSheetId="4" hidden="1">'Functions'!$A$1:$I$567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Scope</t>
        </is>
      </c>
      <c r="B2" t="inlineStr">
        <is>
          <t>Supplementary full paired rerun; original submitted-paper aggregates remain unchanged.</t>
        </is>
      </c>
    </row>
    <row r="3">
      <c r="A3" t="inlineStr">
        <is>
          <t>Population</t>
        </is>
      </c>
      <c r="B3" t="inlineStr">
        <is>
          <t>1858 failed generation attempts; 566 generation-run/function units.</t>
        </is>
      </c>
    </row>
    <row r="4">
      <c r="A4" t="inlineStr">
        <is>
          <t>Model</t>
        </is>
      </c>
      <c r="B4" t="inlineStr">
        <is>
          <t>gemini-2.5-flash-nothinking; provider alias gemini-2.5-flash; same gateway and API account for both methods.</t>
        </is>
      </c>
    </row>
    <row r="5">
      <c r="A5" t="inlineStr">
        <is>
          <t>Gateway</t>
        </is>
      </c>
      <c r="B5" t="inlineStr">
        <is>
          <t>https://4sapi.org (OpenAI chat/completions for RuTeR; Anthropic messages for Claude Code).</t>
        </is>
      </c>
    </row>
    <row r="6">
      <c r="A6" t="inlineStr">
        <is>
          <t>Claude Code</t>
        </is>
      </c>
      <c r="B6" t="inlineStr">
        <is>
          <t>2.1.281; max 20 turns; case timeout 900s; Cargo timeout 600s; two isolated workers in the full run.</t>
        </is>
      </c>
    </row>
    <row r="7">
      <c r="A7" t="inlineStr">
        <is>
          <t>RuTeR</t>
        </is>
      </c>
      <c r="B7" t="inlineStr">
        <is>
          <t>topk=3; max three LLM rounds per unresolved function; case timeout 900s; LLM timeout 120s.</t>
        </is>
      </c>
    </row>
    <row r="8">
      <c r="A8" t="inlineStr">
        <is>
          <t>Tokens</t>
        </is>
      </c>
      <c r="B8" t="inlineStr">
        <is>
          <t>Provider input + output for all requests in the final valid trial, including ordinary failures and valid rule-only zero-token cases.</t>
        </is>
      </c>
    </row>
    <row r="9">
      <c r="A9" t="inlineStr">
        <is>
          <t>Cache</t>
        </is>
      </c>
      <c r="B9" t="inlineStr">
        <is>
          <t>Claude primary cost is billing_usage.openai_usage.total_tokens; do not add cache-read counts again.</t>
        </is>
      </c>
    </row>
    <row r="10">
      <c r="A10" t="inlineStr">
        <is>
          <t>Strict success</t>
        </is>
      </c>
      <c r="B10" t="inlineStr">
        <is>
          <t>RuTeR: passing patch verification, zero errors/unresolved test functions. Claude: passing final compile, zero errors, scope/integrity guards; not semantic equivalence.</t>
        </is>
      </c>
    </row>
    <row r="11">
      <c r="A11" t="inlineStr">
        <is>
          <t>Function grouping</t>
        </is>
      </c>
      <c r="B11" t="inlineStr">
        <is>
          <t>function_id is a pseudonym for (generation run_id, node_id). Different runs remain distinct.</t>
        </is>
      </c>
    </row>
    <row r="12">
      <c r="A12" t="inlineStr">
        <is>
          <t>Salvage</t>
        </is>
      </c>
      <c r="B12" t="inlineStr">
        <is>
          <t>A function is salvaged iff at least one of its failed generation attempts has an eligible strict repair.</t>
        </is>
      </c>
    </row>
    <row r="13">
      <c r="A13" t="inlineStr">
        <is>
          <t>Budget</t>
        </is>
      </c>
      <c r="B13" t="inlineStr">
        <is>
          <t>Post-hoc full-run cutoff, NOT an online early-stop experiment. Per attempt: Claude total &lt;= multiple * full-population RuTeR mean.</t>
        </is>
      </c>
    </row>
    <row r="14">
      <c r="A14" t="inlineStr">
        <is>
          <t>Denominators</t>
        </is>
      </c>
      <c r="B14" t="inlineStr">
        <is>
          <t>All paired attempts and all function units stay in the denominator; over-budget repairs count as failures.</t>
        </is>
      </c>
    </row>
    <row r="15">
      <c r="A15" t="inlineStr">
        <is>
          <t>Retry scope</t>
        </is>
      </c>
      <c r="B15" t="inlineStr">
        <is>
          <t>Final provider-complete trials only; preflight and archived infrastructure retries excluded. Ordinary method failures are never rerun for success.</t>
        </is>
      </c>
    </row>
    <row r="16">
      <c r="A16" t="inlineStr">
        <is>
          <t>Calculations</t>
        </is>
      </c>
      <c r="B16" t="inlineStr">
        <is>
          <t>Editable multipliers are in Calculations B10/B11. Cases Q/R, Functions and Calculations recompute the results; cached values are supplied.</t>
        </is>
      </c>
    </row>
    <row r="17">
      <c r="A17" t="inlineStr">
        <is>
          <t>Summary</t>
        </is>
      </c>
      <c r="B17" t="inlineStr">
        <is>
          <t>Verified snapshot. mean_full_run_tokens and full_run_token_ratio are untruncated costs, also on the post-hoc budget rows.</t>
        </is>
      </c>
    </row>
    <row r="18">
      <c r="A18" t="inlineStr">
        <is>
          <t>Privacy</t>
        </is>
      </c>
      <c r="B18" t="inlineStr">
        <is>
          <t>Only allowlisted counts, flags, public crate/model names and pseudonymous IDs. No prompts, account IDs, machine paths or credentials.</t>
        </is>
      </c>
    </row>
    <row r="19">
      <c r="A19" t="inlineStr">
        <is>
          <t>Rerunning</t>
        </is>
      </c>
      <c r="B19" t="inlineStr">
        <is>
          <t>Raw failed tests and clean crate snapshots are separate inputs, not reconstructed by this compact workbook. See experiments/CLAUDE_CODE_EXPERIMENT.md.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5" customWidth="1" min="8" max="8"/>
    <col width="23" customWidth="1" min="9" max="9"/>
    <col width="23" customWidth="1" min="10" max="10"/>
    <col width="14" customWidth="1" min="11" max="11"/>
  </cols>
  <sheetData>
    <row r="1">
      <c r="A1" s="1" t="inlineStr">
        <is>
          <t>method</t>
        </is>
      </c>
      <c r="B1" s="1" t="inlineStr">
        <is>
          <t>budget_multiple</t>
        </is>
      </c>
      <c r="C1" s="1" t="inlineStr">
        <is>
          <t>attempts</t>
        </is>
      </c>
      <c r="D1" s="1" t="inlineStr">
        <is>
          <t>repaired</t>
        </is>
      </c>
      <c r="E1" s="1" t="inlineStr">
        <is>
          <t>repair_rate</t>
        </is>
      </c>
      <c r="F1" s="1" t="inlineStr">
        <is>
          <t>function_units</t>
        </is>
      </c>
      <c r="G1" s="1" t="inlineStr">
        <is>
          <t>salvaged</t>
        </is>
      </c>
      <c r="H1" s="1" t="inlineStr">
        <is>
          <t>salvage_rate</t>
        </is>
      </c>
      <c r="I1" s="1" t="inlineStr">
        <is>
          <t>mean_full_run_tokens</t>
        </is>
      </c>
      <c r="J1" s="1" t="inlineStr">
        <is>
          <t>full_run_token_ratio</t>
        </is>
      </c>
      <c r="K1" s="1" t="inlineStr">
        <is>
          <t>token_cap</t>
        </is>
      </c>
    </row>
    <row r="2">
      <c r="A2" t="inlineStr">
        <is>
          <t>RuTeR</t>
        </is>
      </c>
      <c r="B2" t="inlineStr"/>
      <c r="C2" t="n">
        <v>1858</v>
      </c>
      <c r="D2" t="n">
        <v>872</v>
      </c>
      <c r="E2" s="2" t="n">
        <v>0.4693218514531755</v>
      </c>
      <c r="F2" t="n">
        <v>566</v>
      </c>
      <c r="G2" t="n">
        <v>375</v>
      </c>
      <c r="H2" s="2" t="n">
        <v>0.6625441696113075</v>
      </c>
      <c r="I2" s="3" t="n">
        <v>4662.904736275565</v>
      </c>
      <c r="J2" s="3" t="n">
        <v>1</v>
      </c>
      <c r="K2" s="3" t="inlineStr"/>
    </row>
    <row r="3">
      <c r="A3" t="inlineStr">
        <is>
          <t>Claude Code</t>
        </is>
      </c>
      <c r="B3" t="n">
        <v>5</v>
      </c>
      <c r="C3" t="n">
        <v>1858</v>
      </c>
      <c r="D3" t="n">
        <v>251</v>
      </c>
      <c r="E3" s="2" t="n">
        <v>0.1350914962325081</v>
      </c>
      <c r="F3" t="n">
        <v>566</v>
      </c>
      <c r="G3" t="n">
        <v>171</v>
      </c>
      <c r="H3" s="2" t="n">
        <v>0.3021201413427562</v>
      </c>
      <c r="I3" s="3" t="n">
        <v>117410.8094725511</v>
      </c>
      <c r="J3" s="3" t="n">
        <v>25.17975727857814</v>
      </c>
      <c r="K3" s="3" t="n">
        <v>23314.52368137782</v>
      </c>
    </row>
    <row r="4">
      <c r="A4" t="inlineStr">
        <is>
          <t>Claude Code</t>
        </is>
      </c>
      <c r="B4" t="n">
        <v>10</v>
      </c>
      <c r="C4" t="n">
        <v>1858</v>
      </c>
      <c r="D4" t="n">
        <v>600</v>
      </c>
      <c r="E4" s="2" t="n">
        <v>0.3229278794402584</v>
      </c>
      <c r="F4" t="n">
        <v>566</v>
      </c>
      <c r="G4" t="n">
        <v>320</v>
      </c>
      <c r="H4" s="2" t="n">
        <v>0.5653710247349824</v>
      </c>
      <c r="I4" s="3" t="n">
        <v>117410.8094725511</v>
      </c>
      <c r="J4" s="3" t="n">
        <v>25.17975727857814</v>
      </c>
      <c r="K4" s="3" t="n">
        <v>46629.04736275565</v>
      </c>
    </row>
    <row r="5">
      <c r="A5" t="inlineStr">
        <is>
          <t>Claude Code</t>
        </is>
      </c>
      <c r="B5" t="inlineStr"/>
      <c r="C5" t="n">
        <v>1858</v>
      </c>
      <c r="D5" t="n">
        <v>1297</v>
      </c>
      <c r="E5" s="2" t="n">
        <v>0.6980624327233584</v>
      </c>
      <c r="F5" t="n">
        <v>566</v>
      </c>
      <c r="G5" t="n">
        <v>495</v>
      </c>
      <c r="H5" s="2" t="n">
        <v>0.8745583038869258</v>
      </c>
      <c r="I5" s="3" t="n">
        <v>117410.8094725511</v>
      </c>
      <c r="J5" s="3" t="n">
        <v>25.17975727857814</v>
      </c>
      <c r="K5" s="3" t="inlineStr"/>
    </row>
  </sheetData>
  <autoFilter ref="A1:K5"/>
  <pageMargins left="0.75" right="0.75" top="1" bottom="1" header="0.5" footer="0.5"/>
</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29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</ns0:cols>
  <ns0:sheetData>
    <ns0:row r="1">
      <ns0:c r="A1" s="1" t="inlineStr">
        <ns0:is>
          <ns0:t>Metric</ns0:t>
        </ns0:is>
      </ns0:c>
      <ns0:c r="B1" s="1" t="inlineStr">
        <ns0:is>
          <ns0:t>Value</ns0:t>
        </ns0:is>
      </ns0:c>
    </ns0:row>
    <ns0:row r="2">
      <ns0:c r="A2" t="inlineStr">
        <ns0:is>
          <ns0:t>Attempts</ns0:t>
        </ns0:is>
      </ns0:c>
      <ns0:c r="B2">
        <ns0:f>COUNTA(Cases!A2:A1859)</ns0:f>
        <ns0:v>1858</ns0:v>
      </ns0:c>
    </ns0:row>
    <ns0:row r="3">
      <ns0:c r="A3" t="inlineStr">
        <ns0:is>
          <ns0:t>Functions</ns0:t>
        </ns0:is>
      </ns0:c>
      <ns0:c r="B3">
        <ns0:f>COUNTA(Functions!A2:A567)</ns0:f>
        <ns0:v>566</ns0:v>
      </ns0:c>
    </ns0:row>
    <ns0:row r="4">
      <ns0:c r="A4" t="inlineStr">
        <ns0:is>
          <ns0:t>RuTeR total tokens</ns0:t>
        </ns0:is>
      </ns0:c>
      <ns0:c r="B4">
        <ns0:f>SUM(Cases!J2:J1859)</ns0:f>
        <ns0:v>8663677</ns0:v>
      </ns0:c>
    </ns0:row>
    <ns0:row r="5">
      <ns0:c r="A5" t="inlineStr">
        <ns0:is>
          <ns0:t>Claude total tokens</ns0:t>
        </ns0:is>
      </ns0:c>
      <ns0:c r="B5">
        <ns0:f>SUM(Cases!O2:O1859)</ns0:f>
        <ns0:v>218149284</ns0:v>
      </ns0:c>
    </ns0:row>
    <ns0:row r="6">
      <ns0:c r="A6" t="inlineStr">
        <ns0:is>
          <ns0:t>RuTeR mean tokens</ns0:t>
        </ns0:is>
      </ns0:c>
      <ns0:c r="B6">
        <ns0:f>B4/B2</ns0:f>
        <ns0:v>4662.9047362755655</ns0:v>
      </ns0:c>
    </ns0:row>
    <ns0:row r="7">
      <ns0:c r="A7" t="inlineStr">
        <ns0:is>
          <ns0:t>Claude mean tokens</ns0:t>
        </ns0:is>
      </ns0:c>
      <ns0:c r="B7">
        <ns0:f>B5/B2</ns0:f>
        <ns0:v>117410.80947255113</ns0:v>
      </ns0:c>
    </ns0:row>
    <ns0:row r="8">
      <ns0:c r="A8" t="inlineStr">
        <ns0:is>
          <ns0:t>Claude/RuTeR ratio</ns0:t>
        </ns0:is>
      </ns0:c>
      <ns0:c r="B8">
        <ns0:f>B5/B4</ns0:f>
        <ns0:v>25.179757278578137</ns0:v>
      </ns0:c>
    </ns0:row>
    <ns0:row r="9">
      <ns0:c r="A9" t="inlineStr"/>
      <ns0:c r="B9" t="inlineStr"/>
    </ns0:row>
    <ns0:row r="10">
      <ns0:c r="A10" t="inlineStr">
        <ns0:is>
          <ns0:t>First budget multiplier</ns0:t>
        </ns0:is>
      </ns0:c>
      <ns0:c r="B10" t="n">
        <ns0:v>5</ns0:v>
      </ns0:c>
    </ns0:row>
    <ns0:row r="11">
      <ns0:c r="A11" t="inlineStr">
        <ns0:is>
          <ns0:t>Second budget multiplier</ns0:t>
        </ns0:is>
      </ns0:c>
      <ns0:c r="B11" t="n">
        <ns0:v>10</ns0:v>
      </ns0:c>
    </ns0:row>
    <ns0:row r="12">
      <ns0:c r="A12" t="inlineStr">
        <ns0:is>
          <ns0:t>First exact token cap</ns0:t>
        </ns0:is>
      </ns0:c>
      <ns0:c r="B12">
        <ns0:f>B10*B6</ns0:f>
        <ns0:v>23314.523681377825</ns0:v>
      </ns0:c>
    </ns0:row>
    <ns0:row r="13">
      <ns0:c r="A13" t="inlineStr">
        <ns0:is>
          <ns0:t>Second exact token cap</ns0:t>
        </ns0:is>
      </ns0:c>
      <ns0:c r="B13">
        <ns0:f>B11*B6</ns0:f>
        <ns0:v>46629.04736275565</ns0:v>
      </ns0:c>
    </ns0:row>
    <ns0:row r="14">
      <ns0:c r="A14" t="inlineStr">
        <ns0:is>
          <ns0:t>RuTeR repairs</ns0:t>
        </ns0:is>
      </ns0:c>
      <ns0:c r="B14">
        <ns0:f>SUM(Cases!G2:G1859)</ns0:f>
        <ns0:v>872</ns0:v>
      </ns0:c>
    </ns0:row>
    <ns0:row r="15">
      <ns0:c r="A15" t="inlineStr">
        <ns0:is>
          <ns0:t>First-budget Claude repairs</ns0:t>
        </ns0:is>
      </ns0:c>
      <ns0:c r="B15">
        <ns0:f>SUM(Cases!Q2:Q1859)</ns0:f>
        <ns0:v>251</ns0:v>
      </ns0:c>
    </ns0:row>
    <ns0:row r="16">
      <ns0:c r="A16" t="inlineStr">
        <ns0:is>
          <ns0:t>Second-budget Claude repairs</ns0:t>
        </ns0:is>
      </ns0:c>
      <ns0:c r="B16">
        <ns0:f>SUM(Cases!R2:R1859)</ns0:f>
        <ns0:v>600</ns0:v>
      </ns0:c>
    </ns0:row>
    <ns0:row r="17">
      <ns0:c r="A17" t="inlineStr">
        <ns0:is>
          <ns0:t>Unlimited Claude repairs</ns0:t>
        </ns0:is>
      </ns0:c>
      <ns0:c r="B17">
        <ns0:f>SUM(Cases!L2:L1859)</ns0:f>
        <ns0:v>1297</ns0:v>
      </ns0:c>
    </ns0:row>
    <ns0:row r="18">
      <ns0:c r="A18" t="inlineStr">
        <ns0:is>
          <ns0:t>RuTeR repair rate</ns0:t>
        </ns0:is>
      </ns0:c>
      <ns0:c r="B18" s="2">
        <ns0:f>B14/B2</ns0:f>
        <ns0:v>0.46932185145317545</ns0:v>
      </ns0:c>
    </ns0:row>
    <ns0:row r="19">
      <ns0:c r="A19" t="inlineStr">
        <ns0:is>
          <ns0:t>First-budget Claude repair rate</ns0:t>
        </ns0:is>
      </ns0:c>
      <ns0:c r="B19" s="2">
        <ns0:f>B15/B2</ns0:f>
        <ns0:v>0.13509149623250807</ns0:v>
      </ns0:c>
    </ns0:row>
    <ns0:row r="20">
      <ns0:c r="A20" t="inlineStr">
        <ns0:is>
          <ns0:t>Second-budget Claude repair rate</ns0:t>
        </ns0:is>
      </ns0:c>
      <ns0:c r="B20" s="2">
        <ns0:f>B16/B2</ns0:f>
        <ns0:v>0.32292787944025836</ns0:v>
      </ns0:c>
    </ns0:row>
    <ns0:row r="21">
      <ns0:c r="A21" t="inlineStr">
        <ns0:is>
          <ns0:t>Unlimited Claude repair rate</ns0:t>
        </ns0:is>
      </ns0:c>
      <ns0:c r="B21" s="2">
        <ns0:f>B17/B2</ns0:f>
        <ns0:v>0.6980624327233584</ns0:v>
      </ns0:c>
    </ns0:row>
    <ns0:row r="22">
      <ns0:c r="A22" t="inlineStr">
        <ns0:is>
          <ns0:t>RuTeR salvaged</ns0:t>
        </ns0:is>
      </ns0:c>
      <ns0:c r="B22">
        <ns0:f>SUM(Functions!F2:F567)</ns0:f>
        <ns0:v>375</ns0:v>
      </ns0:c>
    </ns0:row>
    <ns0:row r="23">
      <ns0:c r="A23" t="inlineStr">
        <ns0:is>
          <ns0:t>First-budget Claude salvaged</ns0:t>
        </ns0:is>
      </ns0:c>
      <ns0:c r="B23">
        <ns0:f>SUM(Functions!H2:H567)</ns0:f>
        <ns0:v>171</ns0:v>
      </ns0:c>
    </ns0:row>
    <ns0:row r="24">
      <ns0:c r="A24" t="inlineStr">
        <ns0:is>
          <ns0:t>Second-budget Claude salvaged</ns0:t>
        </ns0:is>
      </ns0:c>
      <ns0:c r="B24">
        <ns0:f>SUM(Functions!I2:I567)</ns0:f>
        <ns0:v>320</ns0:v>
      </ns0:c>
    </ns0:row>
    <ns0:row r="25">
      <ns0:c r="A25" t="inlineStr">
        <ns0:is>
          <ns0:t>Unlimited Claude salvaged</ns0:t>
        </ns0:is>
      </ns0:c>
      <ns0:c r="B25">
        <ns0:f>SUM(Functions!G2:G567)</ns0:f>
        <ns0:v>495</ns0:v>
      </ns0:c>
    </ns0:row>
    <ns0:row r="26">
      <ns0:c r="A26" t="inlineStr">
        <ns0:is>
          <ns0:t>RuTeR salvage rate</ns0:t>
        </ns0:is>
      </ns0:c>
      <ns0:c r="B26" s="2">
        <ns0:f>B22/B3</ns0:f>
        <ns0:v>0.6625441696113075</ns0:v>
      </ns0:c>
    </ns0:row>
    <ns0:row r="27">
      <ns0:c r="A27" t="inlineStr">
        <ns0:is>
          <ns0:t>First-budget Claude salvage rate</ns0:t>
        </ns0:is>
      </ns0:c>
      <ns0:c r="B27" s="2">
        <ns0:f>B23/B3</ns0:f>
        <ns0:v>0.30212014134275617</ns0:v>
      </ns0:c>
    </ns0:row>
    <ns0:row r="28">
      <ns0:c r="A28" t="inlineStr">
        <ns0:is>
          <ns0:t>Second-budget Claude salvage rate</ns0:t>
        </ns0:is>
      </ns0:c>
      <ns0:c r="B28" s="2">
        <ns0:f>B24/B3</ns0:f>
        <ns0:v>0.5653710247349824</ns0:v>
      </ns0:c>
    </ns0:row>
    <ns0:row r="29">
      <ns0:c r="A29" t="inlineStr">
        <ns0:is>
          <ns0:t>Unlimited Claude salvage rate</ns0:t>
        </ns0:is>
      </ns0:c>
      <ns0:c r="B29" s="2">
        <ns0:f>B25/B3</ns0:f>
        <ns0:v>0.8745583038869258</ns0:v>
      </ns0:c>
    </ns0:row>
  </ns0:sheetData>
  <ns0:autoFilter ref="A1:B29"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R1859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14" customWidth="1" min="3" max="3"/>
    <ns0:col width="14" customWidth="1" min="4" max="4"/>
    <ns0:col width="19" customWidth="1" min="5" max="5"/>
    <ns0:col width="14" customWidth="1" min="6" max="6"/>
    <ns0:col width="16" customWidth="1" min="7" max="7"/>
    <ns0:col width="21" customWidth="1" min="8" max="8"/>
    <ns0:col width="22" customWidth="1" min="9" max="9"/>
    <ns0:col width="21" customWidth="1" min="10" max="10"/>
    <ns0:col width="17" customWidth="1" min="11" max="11"/>
    <ns0:col width="17" customWidth="1" min="12" max="12"/>
    <ns0:col width="22" customWidth="1" min="13" max="13"/>
    <ns0:col width="23" customWidth="1" min="14" max="14"/>
    <ns0:col width="22" customWidth="1" min="15" max="15"/>
    <ns0:col width="18" customWidth="1" min="16" max="16"/>
    <ns0:col width="20" customWidth="1" min="17" max="17"/>
    <ns0:col width="21" customWidth="1" min="18" max="18"/>
  </ns0:cols>
  <ns0:sheetData>
    <ns0:row r="1">
      <ns0:c r="A1" s="1" t="inlineStr">
        <ns0:is>
          <ns0:t>case_id</ns0:t>
        </ns0:is>
      </ns0:c>
      <ns0:c r="B1" s="1" t="inlineStr">
        <ns0:is>
          <ns0:t>function_id</ns0:t>
        </ns0:is>
      </ns0:c>
      <ns0:c r="C1" s="1" t="inlineStr">
        <ns0:is>
          <ns0:t>run_id</ns0:t>
        </ns0:is>
      </ns0:c>
      <ns0:c r="D1" s="1" t="inlineStr">
        <ns0:is>
          <ns0:t>crate</ns0:t>
        </ns0:is>
      </ns0:c>
      <ns0:c r="E1" s="1" t="inlineStr">
        <ns0:is>
          <ns0:t>generation_model</ns0:t>
        </ns0:is>
      </ns0:c>
      <ns0:c r="F1" s="1" t="inlineStr">
        <ns0:is>
          <ns0:t>error_codes</ns0:t>
        </ns0:is>
      </ns0:c>
      <ns0:c r="G1" s="1" t="inlineStr">
        <ns0:is>
          <ns0:t>ruter_success</ns0:t>
        </ns0:is>
      </ns0:c>
      <ns0:c r="H1" s="1" t="inlineStr">
        <ns0:is>
          <ns0:t>ruter_input_tokens</ns0:t>
        </ns0:is>
      </ns0:c>
      <ns0:c r="I1" s="1" t="inlineStr">
        <ns0:is>
          <ns0:t>ruter_output_tokens</ns0:t>
        </ns0:is>
      </ns0:c>
      <ns0:c r="J1" s="1" t="inlineStr">
        <ns0:is>
          <ns0:t>ruter_total_tokens</ns0:t>
        </ns0:is>
      </ns0:c>
      <ns0:c r="K1" s="1" t="inlineStr">
        <ns0:is>
          <ns0:t>ruter_requests</ns0:t>
        </ns0:is>
      </ns0:c>
      <ns0:c r="L1" s="1" t="inlineStr">
        <ns0:is>
          <ns0:t>claude_success</ns0:t>
        </ns0:is>
      </ns0:c>
      <ns0:c r="M1" s="1" t="inlineStr">
        <ns0:is>
          <ns0:t>claude_input_tokens</ns0:t>
        </ns0:is>
      </ns0:c>
      <ns0:c r="N1" s="1" t="inlineStr">
        <ns0:is>
          <ns0:t>claude_output_tokens</ns0:t>
        </ns0:is>
      </ns0:c>
      <ns0:c r="O1" s="1" t="inlineStr">
        <ns0:is>
          <ns0:t>claude_total_tokens</ns0:t>
        </ns0:is>
      </ns0:c>
      <ns0:c r="P1" s="1" t="inlineStr">
        <ns0:is>
          <ns0:t>claude_requests</ns0:t>
        </ns0:is>
      </ns0:c>
      <ns0:c r="Q1" s="1" t="inlineStr">
        <ns0:is>
          <ns0:t>claude_success_5x</ns0:t>
        </ns0:is>
      </ns0:c>
      <ns0:c r="R1" s="1" t="inlineStr">
        <ns0:is>
          <ns0:t>claude_success_10x</ns0:t>
        </ns0:is>
      </ns0:c>
    </ns0:row>
    <ns0:row r="2">
      <ns0:c r="A2" t="inlineStr">
        <ns0:is>
          <ns0:t>case_0001</ns0:t>
        </ns0:is>
      </ns0:c>
      <ns0:c r="B2" t="inlineStr">
        <ns0:is>
          <ns0:t>function_0001</ns0:t>
        </ns0:is>
      </ns0:c>
      <ns0:c r="C2" t="inlineStr">
        <ns0:is>
          <ns0:t>run_001</ns0:t>
        </ns0:is>
      </ns0:c>
      <ns0:c r="D2" t="inlineStr">
        <ns0:is>
          <ns0:t>humantime</ns0:t>
        </ns0:is>
      </ns0:c>
      <ns0:c r="E2" t="inlineStr">
        <ns0:is>
          <ns0:t>claude-3-5-haiku-20241022</ns0:t>
        </ns0:is>
      </ns0:c>
      <ns0:c r="F2" t="inlineStr">
        <ns0:is>
          <ns0:t>E0433</ns0:t>
        </ns0:is>
      </ns0:c>
      <ns0:c r="G2" t="n">
        <ns0:v>1</ns0:v>
      </ns0:c>
      <ns0:c r="H2" t="n">
        <ns0:v>0</ns0:v>
      </ns0:c>
      <ns0:c r="I2" t="n">
        <ns0:v>0</ns0:v>
      </ns0:c>
      <ns0:c r="J2" t="n">
        <ns0:v>0</ns0:v>
      </ns0:c>
      <ns0:c r="K2" t="n">
        <ns0:v>0</ns0:v>
      </ns0:c>
      <ns0:c r="L2" t="n">
        <ns0:v>1</ns0:v>
      </ns0:c>
      <ns0:c r="M2" t="n">
        <ns0:v>41707</ns0:v>
      </ns0:c>
      <ns0:c r="N2" t="n">
        <ns0:v>496</ns0:v>
      </ns0:c>
      <ns0:c r="O2" t="n">
        <ns0:v>42203</ns0:v>
      </ns0:c>
      <ns0:c r="P2" t="n">
        <ns0:v>5</ns0:v>
      </ns0:c>
      <ns0:c r="Q2">
        <ns0:f>IF(AND(L2=1,O2*Calculations!$B$2&lt;=Calculations!$B$10*Calculations!$B$4),1,0)</ns0:f>
        <ns0:v>0</ns0:v>
      </ns0:c>
      <ns0:c r="R2">
        <ns0:f>IF(AND(L2=1,O2*Calculations!$B$2&lt;=Calculations!$B$11*Calculations!$B$4),1,0)</ns0:f>
        <ns0:v>1</ns0:v>
      </ns0:c>
    </ns0:row>
    <ns0:row r="3">
      <ns0:c r="A3" t="inlineStr">
        <ns0:is>
          <ns0:t>case_0002</ns0:t>
        </ns0:is>
      </ns0:c>
      <ns0:c r="B3" t="inlineStr">
        <ns0:is>
          <ns0:t>function_0001</ns0:t>
        </ns0:is>
      </ns0:c>
      <ns0:c r="C3" t="inlineStr">
        <ns0:is>
          <ns0:t>run_001</ns0:t>
        </ns0:is>
      </ns0:c>
      <ns0:c r="D3" t="inlineStr">
        <ns0:is>
          <ns0:t>humantime</ns0:t>
        </ns0:is>
      </ns0:c>
      <ns0:c r="E3" t="inlineStr">
        <ns0:is>
          <ns0:t>claude-3-5-haiku-20241022</ns0:t>
        </ns0:is>
      </ns0:c>
      <ns0:c r="F3" t="inlineStr">
        <ns0:is>
          <ns0:t>E0433</ns0:t>
        </ns0:is>
      </ns0:c>
      <ns0:c r="G3" t="n">
        <ns0:v>1</ns0:v>
      </ns0:c>
      <ns0:c r="H3" t="n">
        <ns0:v>0</ns0:v>
      </ns0:c>
      <ns0:c r="I3" t="n">
        <ns0:v>0</ns0:v>
      </ns0:c>
      <ns0:c r="J3" t="n">
        <ns0:v>0</ns0:v>
      </ns0:c>
      <ns0:c r="K3" t="n">
        <ns0:v>0</ns0:v>
      </ns0:c>
      <ns0:c r="L3" t="n">
        <ns0:v>1</ns0:v>
      </ns0:c>
      <ns0:c r="M3" t="n">
        <ns0:v>21308</ns0:v>
      </ns0:c>
      <ns0:c r="N3" t="n">
        <ns0:v>462</ns0:v>
      </ns0:c>
      <ns0:c r="O3" t="n">
        <ns0:v>21770</ns0:v>
      </ns0:c>
      <ns0:c r="P3" t="n">
        <ns0:v>3</ns0:v>
      </ns0:c>
      <ns0:c r="Q3">
        <ns0:f>IF(AND(L3=1,O3*Calculations!$B$2&lt;=Calculations!$B$10*Calculations!$B$4),1,0)</ns0:f>
        <ns0:v>1</ns0:v>
      </ns0:c>
      <ns0:c r="R3">
        <ns0:f>IF(AND(L3=1,O3*Calculations!$B$2&lt;=Calculations!$B$11*Calculations!$B$4),1,0)</ns0:f>
        <ns0:v>1</ns0:v>
      </ns0:c>
    </ns0:row>
    <ns0:row r="4">
      <ns0:c r="A4" t="inlineStr">
        <ns0:is>
          <ns0:t>case_0003</ns0:t>
        </ns0:is>
      </ns0:c>
      <ns0:c r="B4" t="inlineStr">
        <ns0:is>
          <ns0:t>function_0001</ns0:t>
        </ns0:is>
      </ns0:c>
      <ns0:c r="C4" t="inlineStr">
        <ns0:is>
          <ns0:t>run_001</ns0:t>
        </ns0:is>
      </ns0:c>
      <ns0:c r="D4" t="inlineStr">
        <ns0:is>
          <ns0:t>humantime</ns0:t>
        </ns0:is>
      </ns0:c>
      <ns0:c r="E4" t="inlineStr">
        <ns0:is>
          <ns0:t>claude-3-5-haiku-20241022</ns0:t>
        </ns0:is>
      </ns0:c>
      <ns0:c r="F4" t="inlineStr">
        <ns0:is>
          <ns0:t>E0433</ns0:t>
        </ns0:is>
      </ns0:c>
      <ns0:c r="G4" t="n">
        <ns0:v>1</ns0:v>
      </ns0:c>
      <ns0:c r="H4" t="n">
        <ns0:v>0</ns0:v>
      </ns0:c>
      <ns0:c r="I4" t="n">
        <ns0:v>0</ns0:v>
      </ns0:c>
      <ns0:c r="J4" t="n">
        <ns0:v>0</ns0:v>
      </ns0:c>
      <ns0:c r="K4" t="n">
        <ns0:v>0</ns0:v>
      </ns0:c>
      <ns0:c r="L4" t="n">
        <ns0:v>1</ns0:v>
      </ns0:c>
      <ns0:c r="M4" t="n">
        <ns0:v>21254</ns0:v>
      </ns0:c>
      <ns0:c r="N4" t="n">
        <ns0:v>457</ns0:v>
      </ns0:c>
      <ns0:c r="O4" t="n">
        <ns0:v>21711</ns0:v>
      </ns0:c>
      <ns0:c r="P4" t="n">
        <ns0:v>3</ns0:v>
      </ns0:c>
      <ns0:c r="Q4">
        <ns0:f>IF(AND(L4=1,O4*Calculations!$B$2&lt;=Calculations!$B$10*Calculations!$B$4),1,0)</ns0:f>
        <ns0:v>1</ns0:v>
      </ns0:c>
      <ns0:c r="R4">
        <ns0:f>IF(AND(L4=1,O4*Calculations!$B$2&lt;=Calculations!$B$11*Calculations!$B$4),1,0)</ns0:f>
        <ns0:v>1</ns0:v>
      </ns0:c>
    </ns0:row>
    <ns0:row r="5">
      <ns0:c r="A5" t="inlineStr">
        <ns0:is>
          <ns0:t>case_0004</ns0:t>
        </ns0:is>
      </ns0:c>
      <ns0:c r="B5" t="inlineStr">
        <ns0:is>
          <ns0:t>function_0002</ns0:t>
        </ns0:is>
      </ns0:c>
      <ns0:c r="C5" t="inlineStr">
        <ns0:is>
          <ns0:t>run_001</ns0:t>
        </ns0:is>
      </ns0:c>
      <ns0:c r="D5" t="inlineStr">
        <ns0:is>
          <ns0:t>humantime</ns0:t>
        </ns0:is>
      </ns0:c>
      <ns0:c r="E5" t="inlineStr">
        <ns0:is>
          <ns0:t>claude-3-5-haiku-20241022</ns0:t>
        </ns0:is>
      </ns0:c>
      <ns0:c r="F5" t="inlineStr">
        <ns0:is>
          <ns0:t>E0433</ns0:t>
        </ns0:is>
      </ns0:c>
      <ns0:c r="G5" t="n">
        <ns0:v>1</ns0:v>
      </ns0:c>
      <ns0:c r="H5" t="n">
        <ns0:v>0</ns0:v>
      </ns0:c>
      <ns0:c r="I5" t="n">
        <ns0:v>0</ns0:v>
      </ns0:c>
      <ns0:c r="J5" t="n">
        <ns0:v>0</ns0:v>
      </ns0:c>
      <ns0:c r="K5" t="n">
        <ns0:v>0</ns0:v>
      </ns0:c>
      <ns0:c r="L5" t="n">
        <ns0:v>1</ns0:v>
      </ns0:c>
      <ns0:c r="M5" t="n">
        <ns0:v>20144</ns0:v>
      </ns0:c>
      <ns0:c r="N5" t="n">
        <ns0:v>221</ns0:v>
      </ns0:c>
      <ns0:c r="O5" t="n">
        <ns0:v>20365</ns0:v>
      </ns0:c>
      <ns0:c r="P5" t="n">
        <ns0:v>3</ns0:v>
      </ns0:c>
      <ns0:c r="Q5">
        <ns0:f>IF(AND(L5=1,O5*Calculations!$B$2&lt;=Calculations!$B$10*Calculations!$B$4),1,0)</ns0:f>
        <ns0:v>1</ns0:v>
      </ns0:c>
      <ns0:c r="R5">
        <ns0:f>IF(AND(L5=1,O5*Calculations!$B$2&lt;=Calculations!$B$11*Calculations!$B$4),1,0)</ns0:f>
        <ns0:v>1</ns0:v>
      </ns0:c>
    </ns0:row>
    <ns0:row r="6">
      <ns0:c r="A6" t="inlineStr">
        <ns0:is>
          <ns0:t>case_0005</ns0:t>
        </ns0:is>
      </ns0:c>
      <ns0:c r="B6" t="inlineStr">
        <ns0:is>
          <ns0:t>function_0002</ns0:t>
        </ns0:is>
      </ns0:c>
      <ns0:c r="C6" t="inlineStr">
        <ns0:is>
          <ns0:t>run_001</ns0:t>
        </ns0:is>
      </ns0:c>
      <ns0:c r="D6" t="inlineStr">
        <ns0:is>
          <ns0:t>humantime</ns0:t>
        </ns0:is>
      </ns0:c>
      <ns0:c r="E6" t="inlineStr">
        <ns0:is>
          <ns0:t>claude-3-5-haiku-20241022</ns0:t>
        </ns0:is>
      </ns0:c>
      <ns0:c r="F6" t="inlineStr">
        <ns0:is>
          <ns0:t>E0433</ns0:t>
        </ns0:is>
      </ns0:c>
      <ns0:c r="G6" t="n">
        <ns0:v>1</ns0:v>
      </ns0:c>
      <ns0:c r="H6" t="n">
        <ns0:v>0</ns0:v>
      </ns0:c>
      <ns0:c r="I6" t="n">
        <ns0:v>0</ns0:v>
      </ns0:c>
      <ns0:c r="J6" t="n">
        <ns0:v>0</ns0:v>
      </ns0:c>
      <ns0:c r="K6" t="n">
        <ns0:v>0</ns0:v>
      </ns0:c>
      <ns0:c r="L6" t="n">
        <ns0:v>1</ns0:v>
      </ns0:c>
      <ns0:c r="M6" t="n">
        <ns0:v>31450</ns0:v>
      </ns0:c>
      <ns0:c r="N6" t="n">
        <ns0:v>277</ns0:v>
      </ns0:c>
      <ns0:c r="O6" t="n">
        <ns0:v>31727</ns0:v>
      </ns0:c>
      <ns0:c r="P6" t="n">
        <ns0:v>4</ns0:v>
      </ns0:c>
      <ns0:c r="Q6">
        <ns0:f>IF(AND(L6=1,O6*Calculations!$B$2&lt;=Calculations!$B$10*Calculations!$B$4),1,0)</ns0:f>
        <ns0:v>0</ns0:v>
      </ns0:c>
      <ns0:c r="R6">
        <ns0:f>IF(AND(L6=1,O6*Calculations!$B$2&lt;=Calculations!$B$11*Calculations!$B$4),1,0)</ns0:f>
        <ns0:v>1</ns0:v>
      </ns0:c>
    </ns0:row>
    <ns0:row r="7">
      <ns0:c r="A7" t="inlineStr">
        <ns0:is>
          <ns0:t>case_0006</ns0:t>
        </ns0:is>
      </ns0:c>
      <ns0:c r="B7" t="inlineStr">
        <ns0:is>
          <ns0:t>function_0002</ns0:t>
        </ns0:is>
      </ns0:c>
      <ns0:c r="C7" t="inlineStr">
        <ns0:is>
          <ns0:t>run_001</ns0:t>
        </ns0:is>
      </ns0:c>
      <ns0:c r="D7" t="inlineStr">
        <ns0:is>
          <ns0:t>humantime</ns0:t>
        </ns0:is>
      </ns0:c>
      <ns0:c r="E7" t="inlineStr">
        <ns0:is>
          <ns0:t>claude-3-5-haiku-20241022</ns0:t>
        </ns0:is>
      </ns0:c>
      <ns0:c r="F7" t="inlineStr">
        <ns0:is>
          <ns0:t>E0433</ns0:t>
        </ns0:is>
      </ns0:c>
      <ns0:c r="G7" t="n">
        <ns0:v>1</ns0:v>
      </ns0:c>
      <ns0:c r="H7" t="n">
        <ns0:v>0</ns0:v>
      </ns0:c>
      <ns0:c r="I7" t="n">
        <ns0:v>0</ns0:v>
      </ns0:c>
      <ns0:c r="J7" t="n">
        <ns0:v>0</ns0:v>
      </ns0:c>
      <ns0:c r="K7" t="n">
        <ns0:v>0</ns0:v>
      </ns0:c>
      <ns0:c r="L7" t="n">
        <ns0:v>1</ns0:v>
      </ns0:c>
      <ns0:c r="M7" t="n">
        <ns0:v>20148</ns0:v>
      </ns0:c>
      <ns0:c r="N7" t="n">
        <ns0:v>288</ns0:v>
      </ns0:c>
      <ns0:c r="O7" t="n">
        <ns0:v>20436</ns0:v>
      </ns0:c>
      <ns0:c r="P7" t="n">
        <ns0:v>3</ns0:v>
      </ns0:c>
      <ns0:c r="Q7">
        <ns0:f>IF(AND(L7=1,O7*Calculations!$B$2&lt;=Calculations!$B$10*Calculations!$B$4),1,0)</ns0:f>
        <ns0:v>1</ns0:v>
      </ns0:c>
      <ns0:c r="R7">
        <ns0:f>IF(AND(L7=1,O7*Calculations!$B$2&lt;=Calculations!$B$11*Calculations!$B$4),1,0)</ns0:f>
        <ns0:v>1</ns0:v>
      </ns0:c>
    </ns0:row>
    <ns0:row r="8">
      <ns0:c r="A8" t="inlineStr">
        <ns0:is>
          <ns0:t>case_0007</ns0:t>
        </ns0:is>
      </ns0:c>
      <ns0:c r="B8" t="inlineStr">
        <ns0:is>
          <ns0:t>function_0003</ns0:t>
        </ns0:is>
      </ns0:c>
      <ns0:c r="C8" t="inlineStr">
        <ns0:is>
          <ns0:t>run_001</ns0:t>
        </ns0:is>
      </ns0:c>
      <ns0:c r="D8" t="inlineStr">
        <ns0:is>
          <ns0:t>humantime</ns0:t>
        </ns0:is>
      </ns0:c>
      <ns0:c r="E8" t="inlineStr">
        <ns0:is>
          <ns0:t>claude-3-5-haiku-20241022</ns0:t>
        </ns0:is>
      </ns0:c>
      <ns0:c r="F8" t="inlineStr">
        <ns0:is>
          <ns0:t>E0433</ns0:t>
        </ns0:is>
      </ns0:c>
      <ns0:c r="G8" t="n">
        <ns0:v>1</ns0:v>
      </ns0:c>
      <ns0:c r="H8" t="n">
        <ns0:v>0</ns0:v>
      </ns0:c>
      <ns0:c r="I8" t="n">
        <ns0:v>0</ns0:v>
      </ns0:c>
      <ns0:c r="J8" t="n">
        <ns0:v>0</ns0:v>
      </ns0:c>
      <ns0:c r="K8" t="n">
        <ns0:v>0</ns0:v>
      </ns0:c>
      <ns0:c r="L8" t="n">
        <ns0:v>1</ns0:v>
      </ns0:c>
      <ns0:c r="M8" t="n">
        <ns0:v>112586</ns0:v>
      </ns0:c>
      <ns0:c r="N8" t="n">
        <ns0:v>1528</ns0:v>
      </ns0:c>
      <ns0:c r="O8" t="n">
        <ns0:v>114114</ns0:v>
      </ns0:c>
      <ns0:c r="P8" t="n">
        <ns0:v>14</ns0:v>
      </ns0:c>
      <ns0:c r="Q8">
        <ns0:f>IF(AND(L8=1,O8*Calculations!$B$2&lt;=Calculations!$B$10*Calculations!$B$4),1,0)</ns0:f>
        <ns0:v>0</ns0:v>
      </ns0:c>
      <ns0:c r="R8">
        <ns0:f>IF(AND(L8=1,O8*Calculations!$B$2&lt;=Calculations!$B$11*Calculations!$B$4),1,0)</ns0:f>
        <ns0:v>0</ns0:v>
      </ns0:c>
    </ns0:row>
    <ns0:row r="9">
      <ns0:c r="A9" t="inlineStr">
        <ns0:is>
          <ns0:t>case_0008</ns0:t>
        </ns0:is>
      </ns0:c>
      <ns0:c r="B9" t="inlineStr">
        <ns0:is>
          <ns0:t>function_0003</ns0:t>
        </ns0:is>
      </ns0:c>
      <ns0:c r="C9" t="inlineStr">
        <ns0:is>
          <ns0:t>run_001</ns0:t>
        </ns0:is>
      </ns0:c>
      <ns0:c r="D9" t="inlineStr">
        <ns0:is>
          <ns0:t>humantime</ns0:t>
        </ns0:is>
      </ns0:c>
      <ns0:c r="E9" t="inlineStr">
        <ns0:is>
          <ns0:t>claude-3-5-haiku-20241022</ns0:t>
        </ns0:is>
      </ns0:c>
      <ns0:c r="F9" t="inlineStr">
        <ns0:is>
          <ns0:t>E0433</ns0:t>
        </ns0:is>
      </ns0:c>
      <ns0:c r="G9" t="n">
        <ns0:v>1</ns0:v>
      </ns0:c>
      <ns0:c r="H9" t="n">
        <ns0:v>0</ns0:v>
      </ns0:c>
      <ns0:c r="I9" t="n">
        <ns0:v>0</ns0:v>
      </ns0:c>
      <ns0:c r="J9" t="n">
        <ns0:v>0</ns0:v>
      </ns0:c>
      <ns0:c r="K9" t="n">
        <ns0:v>0</ns0:v>
      </ns0:c>
      <ns0:c r="L9" t="n">
        <ns0:v>1</ns0:v>
      </ns0:c>
      <ns0:c r="M9" t="n">
        <ns0:v>37010</ns0:v>
      </ns0:c>
      <ns0:c r="N9" t="n">
        <ns0:v>581</ns0:v>
      </ns0:c>
      <ns0:c r="O9" t="n">
        <ns0:v>37591</ns0:v>
      </ns0:c>
      <ns0:c r="P9" t="n">
        <ns0:v>5</ns0:v>
      </ns0:c>
      <ns0:c r="Q9">
        <ns0:f>IF(AND(L9=1,O9*Calculations!$B$2&lt;=Calculations!$B$10*Calculations!$B$4),1,0)</ns0:f>
        <ns0:v>0</ns0:v>
      </ns0:c>
      <ns0:c r="R9">
        <ns0:f>IF(AND(L9=1,O9*Calculations!$B$2&lt;=Calculations!$B$11*Calculations!$B$4),1,0)</ns0:f>
        <ns0:v>1</ns0:v>
      </ns0:c>
    </ns0:row>
    <ns0:row r="10">
      <ns0:c r="A10" t="inlineStr">
        <ns0:is>
          <ns0:t>case_0009</ns0:t>
        </ns0:is>
      </ns0:c>
      <ns0:c r="B10" t="inlineStr">
        <ns0:is>
          <ns0:t>function_0003</ns0:t>
        </ns0:is>
      </ns0:c>
      <ns0:c r="C10" t="inlineStr">
        <ns0:is>
          <ns0:t>run_001</ns0:t>
        </ns0:is>
      </ns0:c>
      <ns0:c r="D10" t="inlineStr">
        <ns0:is>
          <ns0:t>humantime</ns0:t>
        </ns0:is>
      </ns0:c>
      <ns0:c r="E10" t="inlineStr">
        <ns0:is>
          <ns0:t>claude-3-5-haiku-20241022</ns0:t>
        </ns0:is>
      </ns0:c>
      <ns0:c r="F10" t="inlineStr">
        <ns0:is>
          <ns0:t>E0433</ns0:t>
        </ns0:is>
      </ns0:c>
      <ns0:c r="G10" t="n">
        <ns0:v>1</ns0:v>
      </ns0:c>
      <ns0:c r="H10" t="n">
        <ns0:v>0</ns0:v>
      </ns0:c>
      <ns0:c r="I10" t="n">
        <ns0:v>0</ns0:v>
      </ns0:c>
      <ns0:c r="J10" t="n">
        <ns0:v>0</ns0:v>
      </ns0:c>
      <ns0:c r="K10" t="n">
        <ns0:v>0</ns0:v>
      </ns0:c>
      <ns0:c r="L10" t="n">
        <ns0:v>1</ns0:v>
      </ns0:c>
      <ns0:c r="M10" t="n">
        <ns0:v>66469</ns0:v>
      </ns0:c>
      <ns0:c r="N10" t="n">
        <ns0:v>1136</ns0:v>
      </ns0:c>
      <ns0:c r="O10" t="n">
        <ns0:v>67605</ns0:v>
      </ns0:c>
      <ns0:c r="P10" t="n">
        <ns0:v>8</ns0:v>
      </ns0:c>
      <ns0:c r="Q10">
        <ns0:f>IF(AND(L10=1,O10*Calculations!$B$2&lt;=Calculations!$B$10*Calculations!$B$4),1,0)</ns0:f>
        <ns0:v>0</ns0:v>
      </ns0:c>
      <ns0:c r="R10">
        <ns0:f>IF(AND(L10=1,O10*Calculations!$B$2&lt;=Calculations!$B$11*Calculations!$B$4),1,0)</ns0:f>
        <ns0:v>0</ns0:v>
      </ns0:c>
    </ns0:row>
    <ns0:row r="11">
      <ns0:c r="A11" t="inlineStr">
        <ns0:is>
          <ns0:t>case_0010</ns0:t>
        </ns0:is>
      </ns0:c>
      <ns0:c r="B11" t="inlineStr">
        <ns0:is>
          <ns0:t>function_0003</ns0:t>
        </ns0:is>
      </ns0:c>
      <ns0:c r="C11" t="inlineStr">
        <ns0:is>
          <ns0:t>run_001</ns0:t>
        </ns0:is>
      </ns0:c>
      <ns0:c r="D11" t="inlineStr">
        <ns0:is>
          <ns0:t>humantime</ns0:t>
        </ns0:is>
      </ns0:c>
      <ns0:c r="E11" t="inlineStr">
        <ns0:is>
          <ns0:t>claude-3-5-haiku-20241022</ns0:t>
        </ns0:is>
      </ns0:c>
      <ns0:c r="F11" t="inlineStr">
        <ns0:is>
          <ns0:t>E0433</ns0:t>
        </ns0:is>
      </ns0:c>
      <ns0:c r="G11" t="n">
        <ns0:v>0</ns0:v>
      </ns0:c>
      <ns0:c r="H11" t="n">
        <ns0:v>4621</ns0:v>
      </ns0:c>
      <ns0:c r="I11" t="n">
        <ns0:v>156</ns0:v>
      </ns0:c>
      <ns0:c r="J11" t="n">
        <ns0:v>4777</ns0:v>
      </ns0:c>
      <ns0:c r="K11" t="n">
        <ns0:v>3</ns0:v>
      </ns0:c>
      <ns0:c r="L11" t="n">
        <ns0:v>1</ns0:v>
      </ns0:c>
      <ns0:c r="M11" t="n">
        <ns0:v>116436</ns0:v>
      </ns0:c>
      <ns0:c r="N11" t="n">
        <ns0:v>1121</ns0:v>
      </ns0:c>
      <ns0:c r="O11" t="n">
        <ns0:v>117557</ns0:v>
      </ns0:c>
      <ns0:c r="P11" t="n">
        <ns0:v>15</ns0:v>
      </ns0:c>
      <ns0:c r="Q11">
        <ns0:f>IF(AND(L11=1,O11*Calculations!$B$2&lt;=Calculations!$B$10*Calculations!$B$4),1,0)</ns0:f>
        <ns0:v>0</ns0:v>
      </ns0:c>
      <ns0:c r="R11">
        <ns0:f>IF(AND(L11=1,O11*Calculations!$B$2&lt;=Calculations!$B$11*Calculations!$B$4),1,0)</ns0:f>
        <ns0:v>0</ns0:v>
      </ns0:c>
    </ns0:row>
    <ns0:row r="12">
      <ns0:c r="A12" t="inlineStr">
        <ns0:is>
          <ns0:t>case_0011</ns0:t>
        </ns0:is>
      </ns0:c>
      <ns0:c r="B12" t="inlineStr">
        <ns0:is>
          <ns0:t>function_0003</ns0:t>
        </ns0:is>
      </ns0:c>
      <ns0:c r="C12" t="inlineStr">
        <ns0:is>
          <ns0:t>run_001</ns0:t>
        </ns0:is>
      </ns0:c>
      <ns0:c r="D12" t="inlineStr">
        <ns0:is>
          <ns0:t>humantime</ns0:t>
        </ns0:is>
      </ns0:c>
      <ns0:c r="E12" t="inlineStr">
        <ns0:is>
          <ns0:t>claude-3-5-haiku-20241022</ns0:t>
        </ns0:is>
      </ns0:c>
      <ns0:c r="F12" t="inlineStr">
        <ns0:is>
          <ns0:t>E0433</ns0:t>
        </ns0:is>
      </ns0:c>
      <ns0:c r="G12" t="n">
        <ns0:v>0</ns0:v>
      </ns0:c>
      <ns0:c r="H12" t="n">
        <ns0:v>5179</ns0:v>
      </ns0:c>
      <ns0:c r="I12" t="n">
        <ns0:v>142</ns0:v>
      </ns0:c>
      <ns0:c r="J12" t="n">
        <ns0:v>5321</ns0:v>
      </ns0:c>
      <ns0:c r="K12" t="n">
        <ns0:v>3</ns0:v>
      </ns0:c>
      <ns0:c r="L12" t="n">
        <ns0:v>1</ns0:v>
      </ns0:c>
      <ns0:c r="M12" t="n">
        <ns0:v>159682</ns0:v>
      </ns0:c>
      <ns0:c r="N12" t="n">
        <ns0:v>1821</ns0:v>
      </ns0:c>
      <ns0:c r="O12" t="n">
        <ns0:v>161503</ns0:v>
      </ns0:c>
      <ns0:c r="P12" t="n">
        <ns0:v>19</ns0:v>
      </ns0:c>
      <ns0:c r="Q12">
        <ns0:f>IF(AND(L12=1,O12*Calculations!$B$2&lt;=Calculations!$B$10*Calculations!$B$4),1,0)</ns0:f>
        <ns0:v>0</ns0:v>
      </ns0:c>
      <ns0:c r="R12">
        <ns0:f>IF(AND(L12=1,O12*Calculations!$B$2&lt;=Calculations!$B$11*Calculations!$B$4),1,0)</ns0:f>
        <ns0:v>0</ns0:v>
      </ns0:c>
    </ns0:row>
    <ns0:row r="13">
      <ns0:c r="A13" t="inlineStr">
        <ns0:is>
          <ns0:t>case_0012</ns0:t>
        </ns0:is>
      </ns0:c>
      <ns0:c r="B13" t="inlineStr">
        <ns0:is>
          <ns0:t>function_0003</ns0:t>
        </ns0:is>
      </ns0:c>
      <ns0:c r="C13" t="inlineStr">
        <ns0:is>
          <ns0:t>run_001</ns0:t>
        </ns0:is>
      </ns0:c>
      <ns0:c r="D13" t="inlineStr">
        <ns0:is>
          <ns0:t>humantime</ns0:t>
        </ns0:is>
      </ns0:c>
      <ns0:c r="E13" t="inlineStr">
        <ns0:is>
          <ns0:t>claude-3-5-haiku-20241022</ns0:t>
        </ns0:is>
      </ns0:c>
      <ns0:c r="F13" t="inlineStr">
        <ns0:is>
          <ns0:t>E0433</ns0:t>
        </ns0:is>
      </ns0:c>
      <ns0:c r="G13" t="n">
        <ns0:v>0</ns0:v>
      </ns0:c>
      <ns0:c r="H13" t="n">
        <ns0:v>4627</ns0:v>
      </ns0:c>
      <ns0:c r="I13" t="n">
        <ns0:v>165</ns0:v>
      </ns0:c>
      <ns0:c r="J13" t="n">
        <ns0:v>4792</ns0:v>
      </ns0:c>
      <ns0:c r="K13" t="n">
        <ns0:v>3</ns0:v>
      </ns0:c>
      <ns0:c r="L13" t="n">
        <ns0:v>0</ns0:v>
      </ns0:c>
      <ns0:c r="M13" t="n">
        <ns0:v>167865</ns0:v>
      </ns0:c>
      <ns0:c r="N13" t="n">
        <ns0:v>1247</ns0:v>
      </ns0:c>
      <ns0:c r="O13" t="n">
        <ns0:v>169112</ns0:v>
      </ns0:c>
      <ns0:c r="P13" t="n">
        <ns0:v>20</ns0:v>
      </ns0:c>
      <ns0:c r="Q13">
        <ns0:f>IF(AND(L13=1,O13*Calculations!$B$2&lt;=Calculations!$B$10*Calculations!$B$4),1,0)</ns0:f>
        <ns0:v>0</ns0:v>
      </ns0:c>
      <ns0:c r="R13">
        <ns0:f>IF(AND(L13=1,O13*Calculations!$B$2&lt;=Calculations!$B$11*Calculations!$B$4),1,0)</ns0:f>
        <ns0:v>0</ns0:v>
      </ns0:c>
    </ns0:row>
    <ns0:row r="14">
      <ns0:c r="A14" t="inlineStr">
        <ns0:is>
          <ns0:t>case_0013</ns0:t>
        </ns0:is>
      </ns0:c>
      <ns0:c r="B14" t="inlineStr">
        <ns0:is>
          <ns0:t>function_0004</ns0:t>
        </ns0:is>
      </ns0:c>
      <ns0:c r="C14" t="inlineStr">
        <ns0:is>
          <ns0:t>run_001</ns0:t>
        </ns0:is>
      </ns0:c>
      <ns0:c r="D14" t="inlineStr">
        <ns0:is>
          <ns0:t>humantime</ns0:t>
        </ns0:is>
      </ns0:c>
      <ns0:c r="E14" t="inlineStr">
        <ns0:is>
          <ns0:t>claude-3-5-haiku-20241022</ns0:t>
        </ns0:is>
      </ns0:c>
      <ns0:c r="F14" t="inlineStr">
        <ns0:is>
          <ns0:t>E0433</ns0:t>
        </ns0:is>
      </ns0:c>
      <ns0:c r="G14" t="n">
        <ns0:v>1</ns0:v>
      </ns0:c>
      <ns0:c r="H14" t="n">
        <ns0:v>0</ns0:v>
      </ns0:c>
      <ns0:c r="I14" t="n">
        <ns0:v>0</ns0:v>
      </ns0:c>
      <ns0:c r="J14" t="n">
        <ns0:v>0</ns0:v>
      </ns0:c>
      <ns0:c r="K14" t="n">
        <ns0:v>0</ns0:v>
      </ns0:c>
      <ns0:c r="L14" t="n">
        <ns0:v>1</ns0:v>
      </ns0:c>
      <ns0:c r="M14" t="n">
        <ns0:v>53731</ns0:v>
      </ns0:c>
      <ns0:c r="N14" t="n">
        <ns0:v>1287</ns0:v>
      </ns0:c>
      <ns0:c r="O14" t="n">
        <ns0:v>55018</ns0:v>
      </ns0:c>
      <ns0:c r="P14" t="n">
        <ns0:v>7</ns0:v>
      </ns0:c>
      <ns0:c r="Q14">
        <ns0:f>IF(AND(L14=1,O14*Calculations!$B$2&lt;=Calculations!$B$10*Calculations!$B$4),1,0)</ns0:f>
        <ns0:v>0</ns0:v>
      </ns0:c>
      <ns0:c r="R14">
        <ns0:f>IF(AND(L14=1,O14*Calculations!$B$2&lt;=Calculations!$B$11*Calculations!$B$4),1,0)</ns0:f>
        <ns0:v>0</ns0:v>
      </ns0:c>
    </ns0:row>
    <ns0:row r="15">
      <ns0:c r="A15" t="inlineStr">
        <ns0:is>
          <ns0:t>case_0014</ns0:t>
        </ns0:is>
      </ns0:c>
      <ns0:c r="B15" t="inlineStr">
        <ns0:is>
          <ns0:t>function_0004</ns0:t>
        </ns0:is>
      </ns0:c>
      <ns0:c r="C15" t="inlineStr">
        <ns0:is>
          <ns0:t>run_001</ns0:t>
        </ns0:is>
      </ns0:c>
      <ns0:c r="D15" t="inlineStr">
        <ns0:is>
          <ns0:t>humantime</ns0:t>
        </ns0:is>
      </ns0:c>
      <ns0:c r="E15" t="inlineStr">
        <ns0:is>
          <ns0:t>claude-3-5-haiku-20241022</ns0:t>
        </ns0:is>
      </ns0:c>
      <ns0:c r="F15" t="inlineStr">
        <ns0:is>
          <ns0:t>E0433</ns0:t>
        </ns0:is>
      </ns0:c>
      <ns0:c r="G15" t="n">
        <ns0:v>1</ns0:v>
      </ns0:c>
      <ns0:c r="H15" t="n">
        <ns0:v>0</ns0:v>
      </ns0:c>
      <ns0:c r="I15" t="n">
        <ns0:v>0</ns0:v>
      </ns0:c>
      <ns0:c r="J15" t="n">
        <ns0:v>0</ns0:v>
      </ns0:c>
      <ns0:c r="K15" t="n">
        <ns0:v>0</ns0:v>
      </ns0:c>
      <ns0:c r="L15" t="n">
        <ns0:v>1</ns0:v>
      </ns0:c>
      <ns0:c r="M15" t="n">
        <ns0:v>21069</ns0:v>
      </ns0:c>
      <ns0:c r="N15" t="n">
        <ns0:v>489</ns0:v>
      </ns0:c>
      <ns0:c r="O15" t="n">
        <ns0:v>21558</ns0:v>
      </ns0:c>
      <ns0:c r="P15" t="n">
        <ns0:v>3</ns0:v>
      </ns0:c>
      <ns0:c r="Q15">
        <ns0:f>IF(AND(L15=1,O15*Calculations!$B$2&lt;=Calculations!$B$10*Calculations!$B$4),1,0)</ns0:f>
        <ns0:v>1</ns0:v>
      </ns0:c>
      <ns0:c r="R15">
        <ns0:f>IF(AND(L15=1,O15*Calculations!$B$2&lt;=Calculations!$B$11*Calculations!$B$4),1,0)</ns0:f>
        <ns0:v>1</ns0:v>
      </ns0:c>
    </ns0:row>
    <ns0:row r="16">
      <ns0:c r="A16" t="inlineStr">
        <ns0:is>
          <ns0:t>case_0015</ns0:t>
        </ns0:is>
      </ns0:c>
      <ns0:c r="B16" t="inlineStr">
        <ns0:is>
          <ns0:t>function_0004</ns0:t>
        </ns0:is>
      </ns0:c>
      <ns0:c r="C16" t="inlineStr">
        <ns0:is>
          <ns0:t>run_001</ns0:t>
        </ns0:is>
      </ns0:c>
      <ns0:c r="D16" t="inlineStr">
        <ns0:is>
          <ns0:t>humantime</ns0:t>
        </ns0:is>
      </ns0:c>
      <ns0:c r="E16" t="inlineStr">
        <ns0:is>
          <ns0:t>claude-3-5-haiku-20241022</ns0:t>
        </ns0:is>
      </ns0:c>
      <ns0:c r="F16" t="inlineStr">
        <ns0:is>
          <ns0:t>E0433</ns0:t>
        </ns0:is>
      </ns0:c>
      <ns0:c r="G16" t="n">
        <ns0:v>1</ns0:v>
      </ns0:c>
      <ns0:c r="H16" t="n">
        <ns0:v>0</ns0:v>
      </ns0:c>
      <ns0:c r="I16" t="n">
        <ns0:v>0</ns0:v>
      </ns0:c>
      <ns0:c r="J16" t="n">
        <ns0:v>0</ns0:v>
      </ns0:c>
      <ns0:c r="K16" t="n">
        <ns0:v>0</ns0:v>
      </ns0:c>
      <ns0:c r="L16" t="n">
        <ns0:v>1</ns0:v>
      </ns0:c>
      <ns0:c r="M16" t="n">
        <ns0:v>35771</ns0:v>
      </ns0:c>
      <ns0:c r="N16" t="n">
        <ns0:v>327</ns0:v>
      </ns0:c>
      <ns0:c r="O16" t="n">
        <ns0:v>36098</ns0:v>
      </ns0:c>
      <ns0:c r="P16" t="n">
        <ns0:v>5</ns0:v>
      </ns0:c>
      <ns0:c r="Q16">
        <ns0:f>IF(AND(L16=1,O16*Calculations!$B$2&lt;=Calculations!$B$10*Calculations!$B$4),1,0)</ns0:f>
        <ns0:v>0</ns0:v>
      </ns0:c>
      <ns0:c r="R16">
        <ns0:f>IF(AND(L16=1,O16*Calculations!$B$2&lt;=Calculations!$B$11*Calculations!$B$4),1,0)</ns0:f>
        <ns0:v>1</ns0:v>
      </ns0:c>
    </ns0:row>
    <ns0:row r="17">
      <ns0:c r="A17" t="inlineStr">
        <ns0:is>
          <ns0:t>case_0016</ns0:t>
        </ns0:is>
      </ns0:c>
      <ns0:c r="B17" t="inlineStr">
        <ns0:is>
          <ns0:t>function_0004</ns0:t>
        </ns0:is>
      </ns0:c>
      <ns0:c r="C17" t="inlineStr">
        <ns0:is>
          <ns0:t>run_001</ns0:t>
        </ns0:is>
      </ns0:c>
      <ns0:c r="D17" t="inlineStr">
        <ns0:is>
          <ns0:t>humantime</ns0:t>
        </ns0:is>
      </ns0:c>
      <ns0:c r="E17" t="inlineStr">
        <ns0:is>
          <ns0:t>claude-3-5-haiku-20241022</ns0:t>
        </ns0:is>
      </ns0:c>
      <ns0:c r="F17" t="inlineStr">
        <ns0:is>
          <ns0:t>E0433</ns0:t>
        </ns0:is>
      </ns0:c>
      <ns0:c r="G17" t="n">
        <ns0:v>1</ns0:v>
      </ns0:c>
      <ns0:c r="H17" t="n">
        <ns0:v>0</ns0:v>
      </ns0:c>
      <ns0:c r="I17" t="n">
        <ns0:v>0</ns0:v>
      </ns0:c>
      <ns0:c r="J17" t="n">
        <ns0:v>0</ns0:v>
      </ns0:c>
      <ns0:c r="K17" t="n">
        <ns0:v>0</ns0:v>
      </ns0:c>
      <ns0:c r="L17" t="n">
        <ns0:v>1</ns0:v>
      </ns0:c>
      <ns0:c r="M17" t="n">
        <ns0:v>20528</ns0:v>
      </ns0:c>
      <ns0:c r="N17" t="n">
        <ns0:v>443</ns0:v>
      </ns0:c>
      <ns0:c r="O17" t="n">
        <ns0:v>20971</ns0:v>
      </ns0:c>
      <ns0:c r="P17" t="n">
        <ns0:v>3</ns0:v>
      </ns0:c>
      <ns0:c r="Q17">
        <ns0:f>IF(AND(L17=1,O17*Calculations!$B$2&lt;=Calculations!$B$10*Calculations!$B$4),1,0)</ns0:f>
        <ns0:v>1</ns0:v>
      </ns0:c>
      <ns0:c r="R17">
        <ns0:f>IF(AND(L17=1,O17*Calculations!$B$2&lt;=Calculations!$B$11*Calculations!$B$4),1,0)</ns0:f>
        <ns0:v>1</ns0:v>
      </ns0:c>
    </ns0:row>
    <ns0:row r="18">
      <ns0:c r="A18" t="inlineStr">
        <ns0:is>
          <ns0:t>case_0017</ns0:t>
        </ns0:is>
      </ns0:c>
      <ns0:c r="B18" t="inlineStr">
        <ns0:is>
          <ns0:t>function_0004</ns0:t>
        </ns0:is>
      </ns0:c>
      <ns0:c r="C18" t="inlineStr">
        <ns0:is>
          <ns0:t>run_001</ns0:t>
        </ns0:is>
      </ns0:c>
      <ns0:c r="D18" t="inlineStr">
        <ns0:is>
          <ns0:t>humantime</ns0:t>
        </ns0:is>
      </ns0:c>
      <ns0:c r="E18" t="inlineStr">
        <ns0:is>
          <ns0:t>claude-3-5-haiku-20241022</ns0:t>
        </ns0:is>
      </ns0:c>
      <ns0:c r="F18" t="inlineStr">
        <ns0:is>
          <ns0:t>E0433</ns0:t>
        </ns0:is>
      </ns0:c>
      <ns0:c r="G18" t="n">
        <ns0:v>1</ns0:v>
      </ns0:c>
      <ns0:c r="H18" t="n">
        <ns0:v>0</ns0:v>
      </ns0:c>
      <ns0:c r="I18" t="n">
        <ns0:v>0</ns0:v>
      </ns0:c>
      <ns0:c r="J18" t="n">
        <ns0:v>0</ns0:v>
      </ns0:c>
      <ns0:c r="K18" t="n">
        <ns0:v>0</ns0:v>
      </ns0:c>
      <ns0:c r="L18" t="n">
        <ns0:v>1</ns0:v>
      </ns0:c>
      <ns0:c r="M18" t="n">
        <ns0:v>27800</ns0:v>
      </ns0:c>
      <ns0:c r="N18" t="n">
        <ns0:v>406</ns0:v>
      </ns0:c>
      <ns0:c r="O18" t="n">
        <ns0:v>28206</ns0:v>
      </ns0:c>
      <ns0:c r="P18" t="n">
        <ns0:v>4</ns0:v>
      </ns0:c>
      <ns0:c r="Q18">
        <ns0:f>IF(AND(L18=1,O18*Calculations!$B$2&lt;=Calculations!$B$10*Calculations!$B$4),1,0)</ns0:f>
        <ns0:v>0</ns0:v>
      </ns0:c>
      <ns0:c r="R18">
        <ns0:f>IF(AND(L18=1,O18*Calculations!$B$2&lt;=Calculations!$B$11*Calculations!$B$4),1,0)</ns0:f>
        <ns0:v>1</ns0:v>
      </ns0:c>
    </ns0:row>
    <ns0:row r="19">
      <ns0:c r="A19" t="inlineStr">
        <ns0:is>
          <ns0:t>case_0018</ns0:t>
        </ns0:is>
      </ns0:c>
      <ns0:c r="B19" t="inlineStr">
        <ns0:is>
          <ns0:t>function_0004</ns0:t>
        </ns0:is>
      </ns0:c>
      <ns0:c r="C19" t="inlineStr">
        <ns0:is>
          <ns0:t>run_001</ns0:t>
        </ns0:is>
      </ns0:c>
      <ns0:c r="D19" t="inlineStr">
        <ns0:is>
          <ns0:t>humantime</ns0:t>
        </ns0:is>
      </ns0:c>
      <ns0:c r="E19" t="inlineStr">
        <ns0:is>
          <ns0:t>claude-3-5-haiku-20241022</ns0:t>
        </ns0:is>
      </ns0:c>
      <ns0:c r="F19" t="inlineStr">
        <ns0:is>
          <ns0:t>E0433</ns0:t>
        </ns0:is>
      </ns0:c>
      <ns0:c r="G19" t="n">
        <ns0:v>1</ns0:v>
      </ns0:c>
      <ns0:c r="H19" t="n">
        <ns0:v>0</ns0:v>
      </ns0:c>
      <ns0:c r="I19" t="n">
        <ns0:v>0</ns0:v>
      </ns0:c>
      <ns0:c r="J19" t="n">
        <ns0:v>0</ns0:v>
      </ns0:c>
      <ns0:c r="K19" t="n">
        <ns0:v>0</ns0:v>
      </ns0:c>
      <ns0:c r="L19" t="n">
        <ns0:v>1</ns0:v>
      </ns0:c>
      <ns0:c r="M19" t="n">
        <ns0:v>20865</ns0:v>
      </ns0:c>
      <ns0:c r="N19" t="n">
        <ns0:v>381</ns0:v>
      </ns0:c>
      <ns0:c r="O19" t="n">
        <ns0:v>21246</ns0:v>
      </ns0:c>
      <ns0:c r="P19" t="n">
        <ns0:v>3</ns0:v>
      </ns0:c>
      <ns0:c r="Q19">
        <ns0:f>IF(AND(L19=1,O19*Calculations!$B$2&lt;=Calculations!$B$10*Calculations!$B$4),1,0)</ns0:f>
        <ns0:v>1</ns0:v>
      </ns0:c>
      <ns0:c r="R19">
        <ns0:f>IF(AND(L19=1,O19*Calculations!$B$2&lt;=Calculations!$B$11*Calculations!$B$4),1,0)</ns0:f>
        <ns0:v>1</ns0:v>
      </ns0:c>
    </ns0:row>
    <ns0:row r="20">
      <ns0:c r="A20" t="inlineStr">
        <ns0:is>
          <ns0:t>case_0019</ns0:t>
        </ns0:is>
      </ns0:c>
      <ns0:c r="B20" t="inlineStr">
        <ns0:is>
          <ns0:t>function_0005</ns0:t>
        </ns0:is>
      </ns0:c>
      <ns0:c r="C20" t="inlineStr">
        <ns0:is>
          <ns0:t>run_001</ns0:t>
        </ns0:is>
      </ns0:c>
      <ns0:c r="D20" t="inlineStr">
        <ns0:is>
          <ns0:t>humantime</ns0:t>
        </ns0:is>
      </ns0:c>
      <ns0:c r="E20" t="inlineStr">
        <ns0:is>
          <ns0:t>claude-3-5-haiku-20241022</ns0:t>
        </ns0:is>
      </ns0:c>
      <ns0:c r="F20" t="inlineStr">
        <ns0:is>
          <ns0:t>E0433</ns0:t>
        </ns0:is>
      </ns0:c>
      <ns0:c r="G20" t="n">
        <ns0:v>1</ns0:v>
      </ns0:c>
      <ns0:c r="H20" t="n">
        <ns0:v>0</ns0:v>
      </ns0:c>
      <ns0:c r="I20" t="n">
        <ns0:v>0</ns0:v>
      </ns0:c>
      <ns0:c r="J20" t="n">
        <ns0:v>0</ns0:v>
      </ns0:c>
      <ns0:c r="K20" t="n">
        <ns0:v>0</ns0:v>
      </ns0:c>
      <ns0:c r="L20" t="n">
        <ns0:v>1</ns0:v>
      </ns0:c>
      <ns0:c r="M20" t="n">
        <ns0:v>40119</ns0:v>
      </ns0:c>
      <ns0:c r="N20" t="n">
        <ns0:v>762</ns0:v>
      </ns0:c>
      <ns0:c r="O20" t="n">
        <ns0:v>40881</ns0:v>
      </ns0:c>
      <ns0:c r="P20" t="n">
        <ns0:v>5</ns0:v>
      </ns0:c>
      <ns0:c r="Q20">
        <ns0:f>IF(AND(L20=1,O20*Calculations!$B$2&lt;=Calculations!$B$10*Calculations!$B$4),1,0)</ns0:f>
        <ns0:v>0</ns0:v>
      </ns0:c>
      <ns0:c r="R20">
        <ns0:f>IF(AND(L20=1,O20*Calculations!$B$2&lt;=Calculations!$B$11*Calculations!$B$4),1,0)</ns0:f>
        <ns0:v>1</ns0:v>
      </ns0:c>
    </ns0:row>
    <ns0:row r="21">
      <ns0:c r="A21" t="inlineStr">
        <ns0:is>
          <ns0:t>case_0020</ns0:t>
        </ns0:is>
      </ns0:c>
      <ns0:c r="B21" t="inlineStr">
        <ns0:is>
          <ns0:t>function_0005</ns0:t>
        </ns0:is>
      </ns0:c>
      <ns0:c r="C21" t="inlineStr">
        <ns0:is>
          <ns0:t>run_001</ns0:t>
        </ns0:is>
      </ns0:c>
      <ns0:c r="D21" t="inlineStr">
        <ns0:is>
          <ns0:t>humantime</ns0:t>
        </ns0:is>
      </ns0:c>
      <ns0:c r="E21" t="inlineStr">
        <ns0:is>
          <ns0:t>claude-3-5-haiku-20241022</ns0:t>
        </ns0:is>
      </ns0:c>
      <ns0:c r="F21" t="inlineStr">
        <ns0:is>
          <ns0:t>E0433</ns0:t>
        </ns0:is>
      </ns0:c>
      <ns0:c r="G21" t="n">
        <ns0:v>1</ns0:v>
      </ns0:c>
      <ns0:c r="H21" t="n">
        <ns0:v>0</ns0:v>
      </ns0:c>
      <ns0:c r="I21" t="n">
        <ns0:v>0</ns0:v>
      </ns0:c>
      <ns0:c r="J21" t="n">
        <ns0:v>0</ns0:v>
      </ns0:c>
      <ns0:c r="K21" t="n">
        <ns0:v>0</ns0:v>
      </ns0:c>
      <ns0:c r="L21" t="n">
        <ns0:v>1</ns0:v>
      </ns0:c>
      <ns0:c r="M21" t="n">
        <ns0:v>20405</ns0:v>
      </ns0:c>
      <ns0:c r="N21" t="n">
        <ns0:v>351</ns0:v>
      </ns0:c>
      <ns0:c r="O21" t="n">
        <ns0:v>20756</ns0:v>
      </ns0:c>
      <ns0:c r="P21" t="n">
        <ns0:v>3</ns0:v>
      </ns0:c>
      <ns0:c r="Q21">
        <ns0:f>IF(AND(L21=1,O21*Calculations!$B$2&lt;=Calculations!$B$10*Calculations!$B$4),1,0)</ns0:f>
        <ns0:v>1</ns0:v>
      </ns0:c>
      <ns0:c r="R21">
        <ns0:f>IF(AND(L21=1,O21*Calculations!$B$2&lt;=Calculations!$B$11*Calculations!$B$4),1,0)</ns0:f>
        <ns0:v>1</ns0:v>
      </ns0:c>
    </ns0:row>
    <ns0:row r="22">
      <ns0:c r="A22" t="inlineStr">
        <ns0:is>
          <ns0:t>case_0021</ns0:t>
        </ns0:is>
      </ns0:c>
      <ns0:c r="B22" t="inlineStr">
        <ns0:is>
          <ns0:t>function_0005</ns0:t>
        </ns0:is>
      </ns0:c>
      <ns0:c r="C22" t="inlineStr">
        <ns0:is>
          <ns0:t>run_001</ns0:t>
        </ns0:is>
      </ns0:c>
      <ns0:c r="D22" t="inlineStr">
        <ns0:is>
          <ns0:t>humantime</ns0:t>
        </ns0:is>
      </ns0:c>
      <ns0:c r="E22" t="inlineStr">
        <ns0:is>
          <ns0:t>claude-3-5-haiku-20241022</ns0:t>
        </ns0:is>
      </ns0:c>
      <ns0:c r="F22" t="inlineStr">
        <ns0:is>
          <ns0:t>E0433</ns0:t>
        </ns0:is>
      </ns0:c>
      <ns0:c r="G22" t="n">
        <ns0:v>1</ns0:v>
      </ns0:c>
      <ns0:c r="H22" t="n">
        <ns0:v>0</ns0:v>
      </ns0:c>
      <ns0:c r="I22" t="n">
        <ns0:v>0</ns0:v>
      </ns0:c>
      <ns0:c r="J22" t="n">
        <ns0:v>0</ns0:v>
      </ns0:c>
      <ns0:c r="K22" t="n">
        <ns0:v>0</ns0:v>
      </ns0:c>
      <ns0:c r="L22" t="n">
        <ns0:v>1</ns0:v>
      </ns0:c>
      <ns0:c r="M22" t="n">
        <ns0:v>27205</ns0:v>
      </ns0:c>
      <ns0:c r="N22" t="n">
        <ns0:v>707</ns0:v>
      </ns0:c>
      <ns0:c r="O22" t="n">
        <ns0:v>27912</ns0:v>
      </ns0:c>
      <ns0:c r="P22" t="n">
        <ns0:v>4</ns0:v>
      </ns0:c>
      <ns0:c r="Q22">
        <ns0:f>IF(AND(L22=1,O22*Calculations!$B$2&lt;=Calculations!$B$10*Calculations!$B$4),1,0)</ns0:f>
        <ns0:v>0</ns0:v>
      </ns0:c>
      <ns0:c r="R22">
        <ns0:f>IF(AND(L22=1,O22*Calculations!$B$2&lt;=Calculations!$B$11*Calculations!$B$4),1,0)</ns0:f>
        <ns0:v>1</ns0:v>
      </ns0:c>
    </ns0:row>
    <ns0:row r="23">
      <ns0:c r="A23" t="inlineStr">
        <ns0:is>
          <ns0:t>case_0022</ns0:t>
        </ns0:is>
      </ns0:c>
      <ns0:c r="B23" t="inlineStr">
        <ns0:is>
          <ns0:t>function_0006</ns0:t>
        </ns0:is>
      </ns0:c>
      <ns0:c r="C23" t="inlineStr">
        <ns0:is>
          <ns0:t>run_001</ns0:t>
        </ns0:is>
      </ns0:c>
      <ns0:c r="D23" t="inlineStr">
        <ns0:is>
          <ns0:t>humantime</ns0:t>
        </ns0:is>
      </ns0:c>
      <ns0:c r="E23" t="inlineStr">
        <ns0:is>
          <ns0:t>claude-3-5-haiku-20241022</ns0:t>
        </ns0:is>
      </ns0:c>
      <ns0:c r="F23" t="inlineStr">
        <ns0:is>
          <ns0:t>E0433</ns0:t>
        </ns0:is>
      </ns0:c>
      <ns0:c r="G23" t="n">
        <ns0:v>1</ns0:v>
      </ns0:c>
      <ns0:c r="H23" t="n">
        <ns0:v>0</ns0:v>
      </ns0:c>
      <ns0:c r="I23" t="n">
        <ns0:v>0</ns0:v>
      </ns0:c>
      <ns0:c r="J23" t="n">
        <ns0:v>0</ns0:v>
      </ns0:c>
      <ns0:c r="K23" t="n">
        <ns0:v>0</ns0:v>
      </ns0:c>
      <ns0:c r="L23" t="n">
        <ns0:v>1</ns0:v>
      </ns0:c>
      <ns0:c r="M23" t="n">
        <ns0:v>35686</ns0:v>
      </ns0:c>
      <ns0:c r="N23" t="n">
        <ns0:v>364</ns0:v>
      </ns0:c>
      <ns0:c r="O23" t="n">
        <ns0:v>36050</ns0:v>
      </ns0:c>
      <ns0:c r="P23" t="n">
        <ns0:v>5</ns0:v>
      </ns0:c>
      <ns0:c r="Q23">
        <ns0:f>IF(AND(L23=1,O23*Calculations!$B$2&lt;=Calculations!$B$10*Calculations!$B$4),1,0)</ns0:f>
        <ns0:v>0</ns0:v>
      </ns0:c>
      <ns0:c r="R23">
        <ns0:f>IF(AND(L23=1,O23*Calculations!$B$2&lt;=Calculations!$B$11*Calculations!$B$4),1,0)</ns0:f>
        <ns0:v>1</ns0:v>
      </ns0:c>
    </ns0:row>
    <ns0:row r="24">
      <ns0:c r="A24" t="inlineStr">
        <ns0:is>
          <ns0:t>case_0023</ns0:t>
        </ns0:is>
      </ns0:c>
      <ns0:c r="B24" t="inlineStr">
        <ns0:is>
          <ns0:t>function_0006</ns0:t>
        </ns0:is>
      </ns0:c>
      <ns0:c r="C24" t="inlineStr">
        <ns0:is>
          <ns0:t>run_001</ns0:t>
        </ns0:is>
      </ns0:c>
      <ns0:c r="D24" t="inlineStr">
        <ns0:is>
          <ns0:t>humantime</ns0:t>
        </ns0:is>
      </ns0:c>
      <ns0:c r="E24" t="inlineStr">
        <ns0:is>
          <ns0:t>claude-3-5-haiku-20241022</ns0:t>
        </ns0:is>
      </ns0:c>
      <ns0:c r="F24" t="inlineStr">
        <ns0:is>
          <ns0:t>E0433</ns0:t>
        </ns0:is>
      </ns0:c>
      <ns0:c r="G24" t="n">
        <ns0:v>1</ns0:v>
      </ns0:c>
      <ns0:c r="H24" t="n">
        <ns0:v>0</ns0:v>
      </ns0:c>
      <ns0:c r="I24" t="n">
        <ns0:v>0</ns0:v>
      </ns0:c>
      <ns0:c r="J24" t="n">
        <ns0:v>0</ns0:v>
      </ns0:c>
      <ns0:c r="K24" t="n">
        <ns0:v>0</ns0:v>
      </ns0:c>
      <ns0:c r="L24" t="n">
        <ns0:v>1</ns0:v>
      </ns0:c>
      <ns0:c r="M24" t="n">
        <ns0:v>33129</ns0:v>
      </ns0:c>
      <ns0:c r="N24" t="n">
        <ns0:v>477</ns0:v>
      </ns0:c>
      <ns0:c r="O24" t="n">
        <ns0:v>33606</ns0:v>
      </ns0:c>
      <ns0:c r="P24" t="n">
        <ns0:v>4</ns0:v>
      </ns0:c>
      <ns0:c r="Q24">
        <ns0:f>IF(AND(L24=1,O24*Calculations!$B$2&lt;=Calculations!$B$10*Calculations!$B$4),1,0)</ns0:f>
        <ns0:v>0</ns0:v>
      </ns0:c>
      <ns0:c r="R24">
        <ns0:f>IF(AND(L24=1,O24*Calculations!$B$2&lt;=Calculations!$B$11*Calculations!$B$4),1,0)</ns0:f>
        <ns0:v>1</ns0:v>
      </ns0:c>
    </ns0:row>
    <ns0:row r="25">
      <ns0:c r="A25" t="inlineStr">
        <ns0:is>
          <ns0:t>case_0024</ns0:t>
        </ns0:is>
      </ns0:c>
      <ns0:c r="B25" t="inlineStr">
        <ns0:is>
          <ns0:t>function_0006</ns0:t>
        </ns0:is>
      </ns0:c>
      <ns0:c r="C25" t="inlineStr">
        <ns0:is>
          <ns0:t>run_001</ns0:t>
        </ns0:is>
      </ns0:c>
      <ns0:c r="D25" t="inlineStr">
        <ns0:is>
          <ns0:t>humantime</ns0:t>
        </ns0:is>
      </ns0:c>
      <ns0:c r="E25" t="inlineStr">
        <ns0:is>
          <ns0:t>claude-3-5-haiku-20241022</ns0:t>
        </ns0:is>
      </ns0:c>
      <ns0:c r="F25" t="inlineStr">
        <ns0:is>
          <ns0:t>E0433</ns0:t>
        </ns0:is>
      </ns0:c>
      <ns0:c r="G25" t="n">
        <ns0:v>1</ns0:v>
      </ns0:c>
      <ns0:c r="H25" t="n">
        <ns0:v>0</ns0:v>
      </ns0:c>
      <ns0:c r="I25" t="n">
        <ns0:v>0</ns0:v>
      </ns0:c>
      <ns0:c r="J25" t="n">
        <ns0:v>0</ns0:v>
      </ns0:c>
      <ns0:c r="K25" t="n">
        <ns0:v>0</ns0:v>
      </ns0:c>
      <ns0:c r="L25" t="n">
        <ns0:v>1</ns0:v>
      </ns0:c>
      <ns0:c r="M25" t="n">
        <ns0:v>21521</ns0:v>
      </ns0:c>
      <ns0:c r="N25" t="n">
        <ns0:v>768</ns0:v>
      </ns0:c>
      <ns0:c r="O25" t="n">
        <ns0:v>22289</ns0:v>
      </ns0:c>
      <ns0:c r="P25" t="n">
        <ns0:v>3</ns0:v>
      </ns0:c>
      <ns0:c r="Q25">
        <ns0:f>IF(AND(L25=1,O25*Calculations!$B$2&lt;=Calculations!$B$10*Calculations!$B$4),1,0)</ns0:f>
        <ns0:v>1</ns0:v>
      </ns0:c>
      <ns0:c r="R25">
        <ns0:f>IF(AND(L25=1,O25*Calculations!$B$2&lt;=Calculations!$B$11*Calculations!$B$4),1,0)</ns0:f>
        <ns0:v>1</ns0:v>
      </ns0:c>
    </ns0:row>
    <ns0:row r="26">
      <ns0:c r="A26" t="inlineStr">
        <ns0:is>
          <ns0:t>case_0025</ns0:t>
        </ns0:is>
      </ns0:c>
      <ns0:c r="B26" t="inlineStr">
        <ns0:is>
          <ns0:t>function_0007</ns0:t>
        </ns0:is>
      </ns0:c>
      <ns0:c r="C26" t="inlineStr">
        <ns0:is>
          <ns0:t>run_001</ns0:t>
        </ns0:is>
      </ns0:c>
      <ns0:c r="D26" t="inlineStr">
        <ns0:is>
          <ns0:t>humantime</ns0:t>
        </ns0:is>
      </ns0:c>
      <ns0:c r="E26" t="inlineStr">
        <ns0:is>
          <ns0:t>claude-3-5-haiku-20241022</ns0:t>
        </ns0:is>
      </ns0:c>
      <ns0:c r="F26" t="inlineStr">
        <ns0:is>
          <ns0:t>E0433</ns0:t>
        </ns0:is>
      </ns0:c>
      <ns0:c r="G26" t="n">
        <ns0:v>1</ns0:v>
      </ns0:c>
      <ns0:c r="H26" t="n">
        <ns0:v>0</ns0:v>
      </ns0:c>
      <ns0:c r="I26" t="n">
        <ns0:v>0</ns0:v>
      </ns0:c>
      <ns0:c r="J26" t="n">
        <ns0:v>0</ns0:v>
      </ns0:c>
      <ns0:c r="K26" t="n">
        <ns0:v>0</ns0:v>
      </ns0:c>
      <ns0:c r="L26" t="n">
        <ns0:v>1</ns0:v>
      </ns0:c>
      <ns0:c r="M26" t="n">
        <ns0:v>20213</ns0:v>
      </ns0:c>
      <ns0:c r="N26" t="n">
        <ns0:v>208</ns0:v>
      </ns0:c>
      <ns0:c r="O26" t="n">
        <ns0:v>20421</ns0:v>
      </ns0:c>
      <ns0:c r="P26" t="n">
        <ns0:v>3</ns0:v>
      </ns0:c>
      <ns0:c r="Q26">
        <ns0:f>IF(AND(L26=1,O26*Calculations!$B$2&lt;=Calculations!$B$10*Calculations!$B$4),1,0)</ns0:f>
        <ns0:v>1</ns0:v>
      </ns0:c>
      <ns0:c r="R26">
        <ns0:f>IF(AND(L26=1,O26*Calculations!$B$2&lt;=Calculations!$B$11*Calculations!$B$4),1,0)</ns0:f>
        <ns0:v>1</ns0:v>
      </ns0:c>
    </ns0:row>
    <ns0:row r="27">
      <ns0:c r="A27" t="inlineStr">
        <ns0:is>
          <ns0:t>case_0026</ns0:t>
        </ns0:is>
      </ns0:c>
      <ns0:c r="B27" t="inlineStr">
        <ns0:is>
          <ns0:t>function_0007</ns0:t>
        </ns0:is>
      </ns0:c>
      <ns0:c r="C27" t="inlineStr">
        <ns0:is>
          <ns0:t>run_001</ns0:t>
        </ns0:is>
      </ns0:c>
      <ns0:c r="D27" t="inlineStr">
        <ns0:is>
          <ns0:t>humantime</ns0:t>
        </ns0:is>
      </ns0:c>
      <ns0:c r="E27" t="inlineStr">
        <ns0:is>
          <ns0:t>claude-3-5-haiku-20241022</ns0:t>
        </ns0:is>
      </ns0:c>
      <ns0:c r="F27" t="inlineStr">
        <ns0:is>
          <ns0:t>E0433</ns0:t>
        </ns0:is>
      </ns0:c>
      <ns0:c r="G27" t="n">
        <ns0:v>1</ns0:v>
      </ns0:c>
      <ns0:c r="H27" t="n">
        <ns0:v>0</ns0:v>
      </ns0:c>
      <ns0:c r="I27" t="n">
        <ns0:v>0</ns0:v>
      </ns0:c>
      <ns0:c r="J27" t="n">
        <ns0:v>0</ns0:v>
      </ns0:c>
      <ns0:c r="K27" t="n">
        <ns0:v>0</ns0:v>
      </ns0:c>
      <ns0:c r="L27" t="n">
        <ns0:v>1</ns0:v>
      </ns0:c>
      <ns0:c r="M27" t="n">
        <ns0:v>31367</ns0:v>
      </ns0:c>
      <ns0:c r="N27" t="n">
        <ns0:v>522</ns0:v>
      </ns0:c>
      <ns0:c r="O27" t="n">
        <ns0:v>31889</ns0:v>
      </ns0:c>
      <ns0:c r="P27" t="n">
        <ns0:v>4</ns0:v>
      </ns0:c>
      <ns0:c r="Q27">
        <ns0:f>IF(AND(L27=1,O27*Calculations!$B$2&lt;=Calculations!$B$10*Calculations!$B$4),1,0)</ns0:f>
        <ns0:v>0</ns0:v>
      </ns0:c>
      <ns0:c r="R27">
        <ns0:f>IF(AND(L27=1,O27*Calculations!$B$2&lt;=Calculations!$B$11*Calculations!$B$4),1,0)</ns0:f>
        <ns0:v>1</ns0:v>
      </ns0:c>
    </ns0:row>
    <ns0:row r="28">
      <ns0:c r="A28" t="inlineStr">
        <ns0:is>
          <ns0:t>case_0027</ns0:t>
        </ns0:is>
      </ns0:c>
      <ns0:c r="B28" t="inlineStr">
        <ns0:is>
          <ns0:t>function_0007</ns0:t>
        </ns0:is>
      </ns0:c>
      <ns0:c r="C28" t="inlineStr">
        <ns0:is>
          <ns0:t>run_001</ns0:t>
        </ns0:is>
      </ns0:c>
      <ns0:c r="D28" t="inlineStr">
        <ns0:is>
          <ns0:t>humantime</ns0:t>
        </ns0:is>
      </ns0:c>
      <ns0:c r="E28" t="inlineStr">
        <ns0:is>
          <ns0:t>claude-3-5-haiku-20241022</ns0:t>
        </ns0:is>
      </ns0:c>
      <ns0:c r="F28" t="inlineStr">
        <ns0:is>
          <ns0:t>E0433</ns0:t>
        </ns0:is>
      </ns0:c>
      <ns0:c r="G28" t="n">
        <ns0:v>1</ns0:v>
      </ns0:c>
      <ns0:c r="H28" t="n">
        <ns0:v>0</ns0:v>
      </ns0:c>
      <ns0:c r="I28" t="n">
        <ns0:v>0</ns0:v>
      </ns0:c>
      <ns0:c r="J28" t="n">
        <ns0:v>0</ns0:v>
      </ns0:c>
      <ns0:c r="K28" t="n">
        <ns0:v>0</ns0:v>
      </ns0:c>
      <ns0:c r="L28" t="n">
        <ns0:v>1</ns0:v>
      </ns0:c>
      <ns0:c r="M28" t="n">
        <ns0:v>20120</ns0:v>
      </ns0:c>
      <ns0:c r="N28" t="n">
        <ns0:v>579</ns0:v>
      </ns0:c>
      <ns0:c r="O28" t="n">
        <ns0:v>20699</ns0:v>
      </ns0:c>
      <ns0:c r="P28" t="n">
        <ns0:v>3</ns0:v>
      </ns0:c>
      <ns0:c r="Q28">
        <ns0:f>IF(AND(L28=1,O28*Calculations!$B$2&lt;=Calculations!$B$10*Calculations!$B$4),1,0)</ns0:f>
        <ns0:v>1</ns0:v>
      </ns0:c>
      <ns0:c r="R28">
        <ns0:f>IF(AND(L28=1,O28*Calculations!$B$2&lt;=Calculations!$B$11*Calculations!$B$4),1,0)</ns0:f>
        <ns0:v>1</ns0:v>
      </ns0:c>
    </ns0:row>
    <ns0:row r="29">
      <ns0:c r="A29" t="inlineStr">
        <ns0:is>
          <ns0:t>case_0028</ns0:t>
        </ns0:is>
      </ns0:c>
      <ns0:c r="B29" t="inlineStr">
        <ns0:is>
          <ns0:t>function_0008</ns0:t>
        </ns0:is>
      </ns0:c>
      <ns0:c r="C29" t="inlineStr">
        <ns0:is>
          <ns0:t>run_001</ns0:t>
        </ns0:is>
      </ns0:c>
      <ns0:c r="D29" t="inlineStr">
        <ns0:is>
          <ns0:t>humantime</ns0:t>
        </ns0:is>
      </ns0:c>
      <ns0:c r="E29" t="inlineStr">
        <ns0:is>
          <ns0:t>claude-3-5-haiku-20241022</ns0:t>
        </ns0:is>
      </ns0:c>
      <ns0:c r="F29" t="inlineStr">
        <ns0:is>
          <ns0:t>E0433</ns0:t>
        </ns0:is>
      </ns0:c>
      <ns0:c r="G29" t="n">
        <ns0:v>1</ns0:v>
      </ns0:c>
      <ns0:c r="H29" t="n">
        <ns0:v>1446</ns0:v>
      </ns0:c>
      <ns0:c r="I29" t="n">
        <ns0:v>68</ns0:v>
      </ns0:c>
      <ns0:c r="J29" t="n">
        <ns0:v>1514</ns0:v>
      </ns0:c>
      <ns0:c r="K29" t="n">
        <ns0:v>1</ns0:v>
      </ns0:c>
      <ns0:c r="L29" t="n">
        <ns0:v>1</ns0:v>
      </ns0:c>
      <ns0:c r="M29" t="n">
        <ns0:v>36331</ns0:v>
      </ns0:c>
      <ns0:c r="N29" t="n">
        <ns0:v>600</ns0:v>
      </ns0:c>
      <ns0:c r="O29" t="n">
        <ns0:v>36931</ns0:v>
      </ns0:c>
      <ns0:c r="P29" t="n">
        <ns0:v>5</ns0:v>
      </ns0:c>
      <ns0:c r="Q29">
        <ns0:f>IF(AND(L29=1,O29*Calculations!$B$2&lt;=Calculations!$B$10*Calculations!$B$4),1,0)</ns0:f>
        <ns0:v>0</ns0:v>
      </ns0:c>
      <ns0:c r="R29">
        <ns0:f>IF(AND(L29=1,O29*Calculations!$B$2&lt;=Calculations!$B$11*Calculations!$B$4),1,0)</ns0:f>
        <ns0:v>1</ns0:v>
      </ns0:c>
    </ns0:row>
    <ns0:row r="30">
      <ns0:c r="A30" t="inlineStr">
        <ns0:is>
          <ns0:t>case_0029</ns0:t>
        </ns0:is>
      </ns0:c>
      <ns0:c r="B30" t="inlineStr">
        <ns0:is>
          <ns0:t>function_0008</ns0:t>
        </ns0:is>
      </ns0:c>
      <ns0:c r="C30" t="inlineStr">
        <ns0:is>
          <ns0:t>run_001</ns0:t>
        </ns0:is>
      </ns0:c>
      <ns0:c r="D30" t="inlineStr">
        <ns0:is>
          <ns0:t>humantime</ns0:t>
        </ns0:is>
      </ns0:c>
      <ns0:c r="E30" t="inlineStr">
        <ns0:is>
          <ns0:t>claude-3-5-haiku-20241022</ns0:t>
        </ns0:is>
      </ns0:c>
      <ns0:c r="F30" t="inlineStr">
        <ns0:is>
          <ns0:t>E0433</ns0:t>
        </ns0:is>
      </ns0:c>
      <ns0:c r="G30" t="n">
        <ns0:v>0</ns0:v>
      </ns0:c>
      <ns0:c r="H30" t="n">
        <ns0:v>5744</ns0:v>
      </ns0:c>
      <ns0:c r="I30" t="n">
        <ns0:v>186</ns0:v>
      </ns0:c>
      <ns0:c r="J30" t="n">
        <ns0:v>5930</ns0:v>
      </ns0:c>
      <ns0:c r="K30" t="n">
        <ns0:v>3</ns0:v>
      </ns0:c>
      <ns0:c r="L30" t="n">
        <ns0:v>1</ns0:v>
      </ns0:c>
      <ns0:c r="M30" t="n">
        <ns0:v>51548</ns0:v>
      </ns0:c>
      <ns0:c r="N30" t="n">
        <ns0:v>819</ns0:v>
      </ns0:c>
      <ns0:c r="O30" t="n">
        <ns0:v>52367</ns0:v>
      </ns0:c>
      <ns0:c r="P30" t="n">
        <ns0:v>6</ns0:v>
      </ns0:c>
      <ns0:c r="Q30">
        <ns0:f>IF(AND(L30=1,O30*Calculations!$B$2&lt;=Calculations!$B$10*Calculations!$B$4),1,0)</ns0:f>
        <ns0:v>0</ns0:v>
      </ns0:c>
      <ns0:c r="R30">
        <ns0:f>IF(AND(L30=1,O30*Calculations!$B$2&lt;=Calculations!$B$11*Calculations!$B$4),1,0)</ns0:f>
        <ns0:v>0</ns0:v>
      </ns0:c>
    </ns0:row>
    <ns0:row r="31">
      <ns0:c r="A31" t="inlineStr">
        <ns0:is>
          <ns0:t>case_0030</ns0:t>
        </ns0:is>
      </ns0:c>
      <ns0:c r="B31" t="inlineStr">
        <ns0:is>
          <ns0:t>function_0008</ns0:t>
        </ns0:is>
      </ns0:c>
      <ns0:c r="C31" t="inlineStr">
        <ns0:is>
          <ns0:t>run_001</ns0:t>
        </ns0:is>
      </ns0:c>
      <ns0:c r="D31" t="inlineStr">
        <ns0:is>
          <ns0:t>humantime</ns0:t>
        </ns0:is>
      </ns0:c>
      <ns0:c r="E31" t="inlineStr">
        <ns0:is>
          <ns0:t>claude-3-5-haiku-20241022</ns0:t>
        </ns0:is>
      </ns0:c>
      <ns0:c r="F31" t="inlineStr">
        <ns0:is>
          <ns0:t>E0433</ns0:t>
        </ns0:is>
      </ns0:c>
      <ns0:c r="G31" t="n">
        <ns0:v>1</ns0:v>
      </ns0:c>
      <ns0:c r="H31" t="n">
        <ns0:v>0</ns0:v>
      </ns0:c>
      <ns0:c r="I31" t="n">
        <ns0:v>0</ns0:v>
      </ns0:c>
      <ns0:c r="J31" t="n">
        <ns0:v>0</ns0:v>
      </ns0:c>
      <ns0:c r="K31" t="n">
        <ns0:v>0</ns0:v>
      </ns0:c>
      <ns0:c r="L31" t="n">
        <ns0:v>1</ns0:v>
      </ns0:c>
      <ns0:c r="M31" t="n">
        <ns0:v>32652</ns0:v>
      </ns0:c>
      <ns0:c r="N31" t="n">
        <ns0:v>629</ns0:v>
      </ns0:c>
      <ns0:c r="O31" t="n">
        <ns0:v>33281</ns0:v>
      </ns0:c>
      <ns0:c r="P31" t="n">
        <ns0:v>4</ns0:v>
      </ns0:c>
      <ns0:c r="Q31">
        <ns0:f>IF(AND(L31=1,O31*Calculations!$B$2&lt;=Calculations!$B$10*Calculations!$B$4),1,0)</ns0:f>
        <ns0:v>0</ns0:v>
      </ns0:c>
      <ns0:c r="R31">
        <ns0:f>IF(AND(L31=1,O31*Calculations!$B$2&lt;=Calculations!$B$11*Calculations!$B$4),1,0)</ns0:f>
        <ns0:v>1</ns0:v>
      </ns0:c>
    </ns0:row>
    <ns0:row r="32">
      <ns0:c r="A32" t="inlineStr">
        <ns0:is>
          <ns0:t>case_0031</ns0:t>
        </ns0:is>
      </ns0:c>
      <ns0:c r="B32" t="inlineStr">
        <ns0:is>
          <ns0:t>function_0008</ns0:t>
        </ns0:is>
      </ns0:c>
      <ns0:c r="C32" t="inlineStr">
        <ns0:is>
          <ns0:t>run_001</ns0:t>
        </ns0:is>
      </ns0:c>
      <ns0:c r="D32" t="inlineStr">
        <ns0:is>
          <ns0:t>humantime</ns0:t>
        </ns0:is>
      </ns0:c>
      <ns0:c r="E32" t="inlineStr">
        <ns0:is>
          <ns0:t>claude-3-5-haiku-20241022</ns0:t>
        </ns0:is>
      </ns0:c>
      <ns0:c r="F32" t="inlineStr">
        <ns0:is>
          <ns0:t>E0433</ns0:t>
        </ns0:is>
      </ns0:c>
      <ns0:c r="G32" t="n">
        <ns0:v>1</ns0:v>
      </ns0:c>
      <ns0:c r="H32" t="n">
        <ns0:v>1097</ns0:v>
      </ns0:c>
      <ns0:c r="I32" t="n">
        <ns0:v>55</ns0:v>
      </ns0:c>
      <ns0:c r="J32" t="n">
        <ns0:v>1152</ns0:v>
      </ns0:c>
      <ns0:c r="K32" t="n">
        <ns0:v>1</ns0:v>
      </ns0:c>
      <ns0:c r="L32" t="n">
        <ns0:v>1</ns0:v>
      </ns0:c>
      <ns0:c r="M32" t="n">
        <ns0:v>67364</ns0:v>
      </ns0:c>
      <ns0:c r="N32" t="n">
        <ns0:v>485</ns0:v>
      </ns0:c>
      <ns0:c r="O32" t="n">
        <ns0:v>67849</ns0:v>
      </ns0:c>
      <ns0:c r="P32" t="n">
        <ns0:v>9</ns0:v>
      </ns0:c>
      <ns0:c r="Q32">
        <ns0:f>IF(AND(L32=1,O32*Calculations!$B$2&lt;=Calculations!$B$10*Calculations!$B$4),1,0)</ns0:f>
        <ns0:v>0</ns0:v>
      </ns0:c>
      <ns0:c r="R32">
        <ns0:f>IF(AND(L32=1,O32*Calculations!$B$2&lt;=Calculations!$B$11*Calculations!$B$4),1,0)</ns0:f>
        <ns0:v>0</ns0:v>
      </ns0:c>
    </ns0:row>
    <ns0:row r="33">
      <ns0:c r="A33" t="inlineStr">
        <ns0:is>
          <ns0:t>case_0032</ns0:t>
        </ns0:is>
      </ns0:c>
      <ns0:c r="B33" t="inlineStr">
        <ns0:is>
          <ns0:t>function_0008</ns0:t>
        </ns0:is>
      </ns0:c>
      <ns0:c r="C33" t="inlineStr">
        <ns0:is>
          <ns0:t>run_001</ns0:t>
        </ns0:is>
      </ns0:c>
      <ns0:c r="D33" t="inlineStr">
        <ns0:is>
          <ns0:t>humantime</ns0:t>
        </ns0:is>
      </ns0:c>
      <ns0:c r="E33" t="inlineStr">
        <ns0:is>
          <ns0:t>claude-3-5-haiku-20241022</ns0:t>
        </ns0:is>
      </ns0:c>
      <ns0:c r="F33" t="inlineStr">
        <ns0:is>
          <ns0:t>E0283</ns0:t>
        </ns0:is>
      </ns0:c>
      <ns0:c r="G33" t="n">
        <ns0:v>0</ns0:v>
      </ns0:c>
      <ns0:c r="H33" t="n">
        <ns0:v>3028</ns0:v>
      </ns0:c>
      <ns0:c r="I33" t="n">
        <ns0:v>157</ns0:v>
      </ns0:c>
      <ns0:c r="J33" t="n">
        <ns0:v>3185</ns0:v>
      </ns0:c>
      <ns0:c r="K33" t="n">
        <ns0:v>3</ns0:v>
      </ns0:c>
      <ns0:c r="L33" t="n">
        <ns0:v>1</ns0:v>
      </ns0:c>
      <ns0:c r="M33" t="n">
        <ns0:v>85955</ns0:v>
      </ns0:c>
      <ns0:c r="N33" t="n">
        <ns0:v>1720</ns0:v>
      </ns0:c>
      <ns0:c r="O33" t="n">
        <ns0:v>87675</ns0:v>
      </ns0:c>
      <ns0:c r="P33" t="n">
        <ns0:v>6</ns0:v>
      </ns0:c>
      <ns0:c r="Q33">
        <ns0:f>IF(AND(L33=1,O33*Calculations!$B$2&lt;=Calculations!$B$10*Calculations!$B$4),1,0)</ns0:f>
        <ns0:v>0</ns0:v>
      </ns0:c>
      <ns0:c r="R33">
        <ns0:f>IF(AND(L33=1,O33*Calculations!$B$2&lt;=Calculations!$B$11*Calculations!$B$4),1,0)</ns0:f>
        <ns0:v>0</ns0:v>
      </ns0:c>
    </ns0:row>
    <ns0:row r="34">
      <ns0:c r="A34" t="inlineStr">
        <ns0:is>
          <ns0:t>case_0033</ns0:t>
        </ns0:is>
      </ns0:c>
      <ns0:c r="B34" t="inlineStr">
        <ns0:is>
          <ns0:t>function_0008</ns0:t>
        </ns0:is>
      </ns0:c>
      <ns0:c r="C34" t="inlineStr">
        <ns0:is>
          <ns0:t>run_001</ns0:t>
        </ns0:is>
      </ns0:c>
      <ns0:c r="D34" t="inlineStr">
        <ns0:is>
          <ns0:t>humantime</ns0:t>
        </ns0:is>
      </ns0:c>
      <ns0:c r="E34" t="inlineStr">
        <ns0:is>
          <ns0:t>claude-3-5-haiku-20241022</ns0:t>
        </ns0:is>
      </ns0:c>
      <ns0:c r="F34" t="inlineStr">
        <ns0:is>
          <ns0:t>E0283</ns0:t>
        </ns0:is>
      </ns0:c>
      <ns0:c r="G34" t="n">
        <ns0:v>0</ns0:v>
      </ns0:c>
      <ns0:c r="H34" t="n">
        <ns0:v>3221</ns0:v>
      </ns0:c>
      <ns0:c r="I34" t="n">
        <ns0:v>177</ns0:v>
      </ns0:c>
      <ns0:c r="J34" t="n">
        <ns0:v>3398</ns0:v>
      </ns0:c>
      <ns0:c r="K34" t="n">
        <ns0:v>3</ns0:v>
      </ns0:c>
      <ns0:c r="L34" t="n">
        <ns0:v>1</ns0:v>
      </ns0:c>
      <ns0:c r="M34" t="n">
        <ns0:v>78701</ns0:v>
      </ns0:c>
      <ns0:c r="N34" t="n">
        <ns0:v>3435</ns0:v>
      </ns0:c>
      <ns0:c r="O34" t="n">
        <ns0:v>82136</ns0:v>
      </ns0:c>
      <ns0:c r="P34" t="n">
        <ns0:v>6</ns0:v>
      </ns0:c>
      <ns0:c r="Q34">
        <ns0:f>IF(AND(L34=1,O34*Calculations!$B$2&lt;=Calculations!$B$10*Calculations!$B$4),1,0)</ns0:f>
        <ns0:v>0</ns0:v>
      </ns0:c>
      <ns0:c r="R34">
        <ns0:f>IF(AND(L34=1,O34*Calculations!$B$2&lt;=Calculations!$B$11*Calculations!$B$4),1,0)</ns0:f>
        <ns0:v>0</ns0:v>
      </ns0:c>
    </ns0:row>
    <ns0:row r="35">
      <ns0:c r="A35" t="inlineStr">
        <ns0:is>
          <ns0:t>case_0034</ns0:t>
        </ns0:is>
      </ns0:c>
      <ns0:c r="B35" t="inlineStr">
        <ns0:is>
          <ns0:t>function_0009</ns0:t>
        </ns0:is>
      </ns0:c>
      <ns0:c r="C35" t="inlineStr">
        <ns0:is>
          <ns0:t>run_001</ns0:t>
        </ns0:is>
      </ns0:c>
      <ns0:c r="D35" t="inlineStr">
        <ns0:is>
          <ns0:t>humantime</ns0:t>
        </ns0:is>
      </ns0:c>
      <ns0:c r="E35" t="inlineStr">
        <ns0:is>
          <ns0:t>claude-3-5-haiku-20241022</ns0:t>
        </ns0:is>
      </ns0:c>
      <ns0:c r="F35" t="inlineStr">
        <ns0:is>
          <ns0:t>E0433</ns0:t>
        </ns0:is>
      </ns0:c>
      <ns0:c r="G35" t="n">
        <ns0:v>1</ns0:v>
      </ns0:c>
      <ns0:c r="H35" t="n">
        <ns0:v>0</ns0:v>
      </ns0:c>
      <ns0:c r="I35" t="n">
        <ns0:v>0</ns0:v>
      </ns0:c>
      <ns0:c r="J35" t="n">
        <ns0:v>0</ns0:v>
      </ns0:c>
      <ns0:c r="K35" t="n">
        <ns0:v>0</ns0:v>
      </ns0:c>
      <ns0:c r="L35" t="n">
        <ns0:v>1</ns0:v>
      </ns0:c>
      <ns0:c r="M35" t="n">
        <ns0:v>20910</ns0:v>
      </ns0:c>
      <ns0:c r="N35" t="n">
        <ns0:v>435</ns0:v>
      </ns0:c>
      <ns0:c r="O35" t="n">
        <ns0:v>21345</ns0:v>
      </ns0:c>
      <ns0:c r="P35" t="n">
        <ns0:v>3</ns0:v>
      </ns0:c>
      <ns0:c r="Q35">
        <ns0:f>IF(AND(L35=1,O35*Calculations!$B$2&lt;=Calculations!$B$10*Calculations!$B$4),1,0)</ns0:f>
        <ns0:v>1</ns0:v>
      </ns0:c>
      <ns0:c r="R35">
        <ns0:f>IF(AND(L35=1,O35*Calculations!$B$2&lt;=Calculations!$B$11*Calculations!$B$4),1,0)</ns0:f>
        <ns0:v>1</ns0:v>
      </ns0:c>
    </ns0:row>
    <ns0:row r="36">
      <ns0:c r="A36" t="inlineStr">
        <ns0:is>
          <ns0:t>case_0035</ns0:t>
        </ns0:is>
      </ns0:c>
      <ns0:c r="B36" t="inlineStr">
        <ns0:is>
          <ns0:t>function_0009</ns0:t>
        </ns0:is>
      </ns0:c>
      <ns0:c r="C36" t="inlineStr">
        <ns0:is>
          <ns0:t>run_001</ns0:t>
        </ns0:is>
      </ns0:c>
      <ns0:c r="D36" t="inlineStr">
        <ns0:is>
          <ns0:t>humantime</ns0:t>
        </ns0:is>
      </ns0:c>
      <ns0:c r="E36" t="inlineStr">
        <ns0:is>
          <ns0:t>claude-3-5-haiku-20241022</ns0:t>
        </ns0:is>
      </ns0:c>
      <ns0:c r="F36" t="inlineStr">
        <ns0:is>
          <ns0:t>E0433</ns0:t>
        </ns0:is>
      </ns0:c>
      <ns0:c r="G36" t="n">
        <ns0:v>1</ns0:v>
      </ns0:c>
      <ns0:c r="H36" t="n">
        <ns0:v>0</ns0:v>
      </ns0:c>
      <ns0:c r="I36" t="n">
        <ns0:v>0</ns0:v>
      </ns0:c>
      <ns0:c r="J36" t="n">
        <ns0:v>0</ns0:v>
      </ns0:c>
      <ns0:c r="K36" t="n">
        <ns0:v>0</ns0:v>
      </ns0:c>
      <ns0:c r="L36" t="n">
        <ns0:v>1</ns0:v>
      </ns0:c>
      <ns0:c r="M36" t="n">
        <ns0:v>41033</ns0:v>
      </ns0:c>
      <ns0:c r="N36" t="n">
        <ns0:v>716</ns0:v>
      </ns0:c>
      <ns0:c r="O36" t="n">
        <ns0:v>41749</ns0:v>
      </ns0:c>
      <ns0:c r="P36" t="n">
        <ns0:v>5</ns0:v>
      </ns0:c>
      <ns0:c r="Q36">
        <ns0:f>IF(AND(L36=1,O36*Calculations!$B$2&lt;=Calculations!$B$10*Calculations!$B$4),1,0)</ns0:f>
        <ns0:v>0</ns0:v>
      </ns0:c>
      <ns0:c r="R36">
        <ns0:f>IF(AND(L36=1,O36*Calculations!$B$2&lt;=Calculations!$B$11*Calculations!$B$4),1,0)</ns0:f>
        <ns0:v>1</ns0:v>
      </ns0:c>
    </ns0:row>
    <ns0:row r="37">
      <ns0:c r="A37" t="inlineStr">
        <ns0:is>
          <ns0:t>case_0036</ns0:t>
        </ns0:is>
      </ns0:c>
      <ns0:c r="B37" t="inlineStr">
        <ns0:is>
          <ns0:t>function_0009</ns0:t>
        </ns0:is>
      </ns0:c>
      <ns0:c r="C37" t="inlineStr">
        <ns0:is>
          <ns0:t>run_001</ns0:t>
        </ns0:is>
      </ns0:c>
      <ns0:c r="D37" t="inlineStr">
        <ns0:is>
          <ns0:t>humantime</ns0:t>
        </ns0:is>
      </ns0:c>
      <ns0:c r="E37" t="inlineStr">
        <ns0:is>
          <ns0:t>claude-3-5-haiku-20241022</ns0:t>
        </ns0:is>
      </ns0:c>
      <ns0:c r="F37" t="inlineStr">
        <ns0:is>
          <ns0:t>E0433</ns0:t>
        </ns0:is>
      </ns0:c>
      <ns0:c r="G37" t="n">
        <ns0:v>1</ns0:v>
      </ns0:c>
      <ns0:c r="H37" t="n">
        <ns0:v>0</ns0:v>
      </ns0:c>
      <ns0:c r="I37" t="n">
        <ns0:v>0</ns0:v>
      </ns0:c>
      <ns0:c r="J37" t="n">
        <ns0:v>0</ns0:v>
      </ns0:c>
      <ns0:c r="K37" t="n">
        <ns0:v>0</ns0:v>
      </ns0:c>
      <ns0:c r="L37" t="n">
        <ns0:v>1</ns0:v>
      </ns0:c>
      <ns0:c r="M37" t="n">
        <ns0:v>27883</ns0:v>
      </ns0:c>
      <ns0:c r="N37" t="n">
        <ns0:v>317</ns0:v>
      </ns0:c>
      <ns0:c r="O37" t="n">
        <ns0:v>28200</ns0:v>
      </ns0:c>
      <ns0:c r="P37" t="n">
        <ns0:v>4</ns0:v>
      </ns0:c>
      <ns0:c r="Q37">
        <ns0:f>IF(AND(L37=1,O37*Calculations!$B$2&lt;=Calculations!$B$10*Calculations!$B$4),1,0)</ns0:f>
        <ns0:v>0</ns0:v>
      </ns0:c>
      <ns0:c r="R37">
        <ns0:f>IF(AND(L37=1,O37*Calculations!$B$2&lt;=Calculations!$B$11*Calculations!$B$4),1,0)</ns0:f>
        <ns0:v>1</ns0:v>
      </ns0:c>
    </ns0:row>
    <ns0:row r="38">
      <ns0:c r="A38" t="inlineStr">
        <ns0:is>
          <ns0:t>case_0037</ns0:t>
        </ns0:is>
      </ns0:c>
      <ns0:c r="B38" t="inlineStr">
        <ns0:is>
          <ns0:t>function_0009</ns0:t>
        </ns0:is>
      </ns0:c>
      <ns0:c r="C38" t="inlineStr">
        <ns0:is>
          <ns0:t>run_001</ns0:t>
        </ns0:is>
      </ns0:c>
      <ns0:c r="D38" t="inlineStr">
        <ns0:is>
          <ns0:t>humantime</ns0:t>
        </ns0:is>
      </ns0:c>
      <ns0:c r="E38" t="inlineStr">
        <ns0:is>
          <ns0:t>claude-3-5-haiku-20241022</ns0:t>
        </ns0:is>
      </ns0:c>
      <ns0:c r="F38" t="inlineStr">
        <ns0:is>
          <ns0:t>E0433</ns0:t>
        </ns0:is>
      </ns0:c>
      <ns0:c r="G38" t="n">
        <ns0:v>1</ns0:v>
      </ns0:c>
      <ns0:c r="H38" t="n">
        <ns0:v>0</ns0:v>
      </ns0:c>
      <ns0:c r="I38" t="n">
        <ns0:v>0</ns0:v>
      </ns0:c>
      <ns0:c r="J38" t="n">
        <ns0:v>0</ns0:v>
      </ns0:c>
      <ns0:c r="K38" t="n">
        <ns0:v>0</ns0:v>
      </ns0:c>
      <ns0:c r="L38" t="n">
        <ns0:v>1</ns0:v>
      </ns0:c>
      <ns0:c r="M38" t="n">
        <ns0:v>35300</ns0:v>
      </ns0:c>
      <ns0:c r="N38" t="n">
        <ns0:v>429</ns0:v>
      </ns0:c>
      <ns0:c r="O38" t="n">
        <ns0:v>35729</ns0:v>
      </ns0:c>
      <ns0:c r="P38" t="n">
        <ns0:v>5</ns0:v>
      </ns0:c>
      <ns0:c r="Q38">
        <ns0:f>IF(AND(L38=1,O38*Calculations!$B$2&lt;=Calculations!$B$10*Calculations!$B$4),1,0)</ns0:f>
        <ns0:v>0</ns0:v>
      </ns0:c>
      <ns0:c r="R38">
        <ns0:f>IF(AND(L38=1,O38*Calculations!$B$2&lt;=Calculations!$B$11*Calculations!$B$4),1,0)</ns0:f>
        <ns0:v>1</ns0:v>
      </ns0:c>
    </ns0:row>
    <ns0:row r="39">
      <ns0:c r="A39" t="inlineStr">
        <ns0:is>
          <ns0:t>case_0038</ns0:t>
        </ns0:is>
      </ns0:c>
      <ns0:c r="B39" t="inlineStr">
        <ns0:is>
          <ns0:t>function_0009</ns0:t>
        </ns0:is>
      </ns0:c>
      <ns0:c r="C39" t="inlineStr">
        <ns0:is>
          <ns0:t>run_001</ns0:t>
        </ns0:is>
      </ns0:c>
      <ns0:c r="D39" t="inlineStr">
        <ns0:is>
          <ns0:t>humantime</ns0:t>
        </ns0:is>
      </ns0:c>
      <ns0:c r="E39" t="inlineStr">
        <ns0:is>
          <ns0:t>claude-3-5-haiku-20241022</ns0:t>
        </ns0:is>
      </ns0:c>
      <ns0:c r="F39" t="inlineStr">
        <ns0:is>
          <ns0:t>E0433</ns0:t>
        </ns0:is>
      </ns0:c>
      <ns0:c r="G39" t="n">
        <ns0:v>1</ns0:v>
      </ns0:c>
      <ns0:c r="H39" t="n">
        <ns0:v>0</ns0:v>
      </ns0:c>
      <ns0:c r="I39" t="n">
        <ns0:v>0</ns0:v>
      </ns0:c>
      <ns0:c r="J39" t="n">
        <ns0:v>0</ns0:v>
      </ns0:c>
      <ns0:c r="K39" t="n">
        <ns0:v>0</ns0:v>
      </ns0:c>
      <ns0:c r="L39" t="n">
        <ns0:v>1</ns0:v>
      </ns0:c>
      <ns0:c r="M39" t="n">
        <ns0:v>31697</ns0:v>
      </ns0:c>
      <ns0:c r="N39" t="n">
        <ns0:v>576</ns0:v>
      </ns0:c>
      <ns0:c r="O39" t="n">
        <ns0:v>32273</ns0:v>
      </ns0:c>
      <ns0:c r="P39" t="n">
        <ns0:v>4</ns0:v>
      </ns0:c>
      <ns0:c r="Q39">
        <ns0:f>IF(AND(L39=1,O39*Calculations!$B$2&lt;=Calculations!$B$10*Calculations!$B$4),1,0)</ns0:f>
        <ns0:v>0</ns0:v>
      </ns0:c>
      <ns0:c r="R39">
        <ns0:f>IF(AND(L39=1,O39*Calculations!$B$2&lt;=Calculations!$B$11*Calculations!$B$4),1,0)</ns0:f>
        <ns0:v>1</ns0:v>
      </ns0:c>
    </ns0:row>
    <ns0:row r="40">
      <ns0:c r="A40" t="inlineStr">
        <ns0:is>
          <ns0:t>case_0039</ns0:t>
        </ns0:is>
      </ns0:c>
      <ns0:c r="B40" t="inlineStr">
        <ns0:is>
          <ns0:t>function_0009</ns0:t>
        </ns0:is>
      </ns0:c>
      <ns0:c r="C40" t="inlineStr">
        <ns0:is>
          <ns0:t>run_001</ns0:t>
        </ns0:is>
      </ns0:c>
      <ns0:c r="D40" t="inlineStr">
        <ns0:is>
          <ns0:t>humantime</ns0:t>
        </ns0:is>
      </ns0:c>
      <ns0:c r="E40" t="inlineStr">
        <ns0:is>
          <ns0:t>claude-3-5-haiku-20241022</ns0:t>
        </ns0:is>
      </ns0:c>
      <ns0:c r="F40" t="inlineStr">
        <ns0:is>
          <ns0:t>E0433</ns0:t>
        </ns0:is>
      </ns0:c>
      <ns0:c r="G40" t="n">
        <ns0:v>1</ns0:v>
      </ns0:c>
      <ns0:c r="H40" t="n">
        <ns0:v>0</ns0:v>
      </ns0:c>
      <ns0:c r="I40" t="n">
        <ns0:v>0</ns0:v>
      </ns0:c>
      <ns0:c r="J40" t="n">
        <ns0:v>0</ns0:v>
      </ns0:c>
      <ns0:c r="K40" t="n">
        <ns0:v>0</ns0:v>
      </ns0:c>
      <ns0:c r="L40" t="n">
        <ns0:v>1</ns0:v>
      </ns0:c>
      <ns0:c r="M40" t="n">
        <ns0:v>31710</ns0:v>
      </ns0:c>
      <ns0:c r="N40" t="n">
        <ns0:v>520</ns0:v>
      </ns0:c>
      <ns0:c r="O40" t="n">
        <ns0:v>32230</ns0:v>
      </ns0:c>
      <ns0:c r="P40" t="n">
        <ns0:v>4</ns0:v>
      </ns0:c>
      <ns0:c r="Q40">
        <ns0:f>IF(AND(L40=1,O40*Calculations!$B$2&lt;=Calculations!$B$10*Calculations!$B$4),1,0)</ns0:f>
        <ns0:v>0</ns0:v>
      </ns0:c>
      <ns0:c r="R40">
        <ns0:f>IF(AND(L40=1,O40*Calculations!$B$2&lt;=Calculations!$B$11*Calculations!$B$4),1,0)</ns0:f>
        <ns0:v>1</ns0:v>
      </ns0:c>
    </ns0:row>
    <ns0:row r="41">
      <ns0:c r="A41" t="inlineStr">
        <ns0:is>
          <ns0:t>case_0040</ns0:t>
        </ns0:is>
      </ns0:c>
      <ns0:c r="B41" t="inlineStr">
        <ns0:is>
          <ns0:t>function_0010</ns0:t>
        </ns0:is>
      </ns0:c>
      <ns0:c r="C41" t="inlineStr">
        <ns0:is>
          <ns0:t>run_001</ns0:t>
        </ns0:is>
      </ns0:c>
      <ns0:c r="D41" t="inlineStr">
        <ns0:is>
          <ns0:t>humantime</ns0:t>
        </ns0:is>
      </ns0:c>
      <ns0:c r="E41" t="inlineStr">
        <ns0:is>
          <ns0:t>claude-3-5-haiku-20241022</ns0:t>
        </ns0:is>
      </ns0:c>
      <ns0:c r="F41" t="inlineStr">
        <ns0:is>
          <ns0:t>E0433</ns0:t>
        </ns0:is>
      </ns0:c>
      <ns0:c r="G41" t="n">
        <ns0:v>1</ns0:v>
      </ns0:c>
      <ns0:c r="H41" t="n">
        <ns0:v>0</ns0:v>
      </ns0:c>
      <ns0:c r="I41" t="n">
        <ns0:v>0</ns0:v>
      </ns0:c>
      <ns0:c r="J41" t="n">
        <ns0:v>0</ns0:v>
      </ns0:c>
      <ns0:c r="K41" t="n">
        <ns0:v>0</ns0:v>
      </ns0:c>
      <ns0:c r="L41" t="n">
        <ns0:v>1</ns0:v>
      </ns0:c>
      <ns0:c r="M41" t="n">
        <ns0:v>40272</ns0:v>
      </ns0:c>
      <ns0:c r="N41" t="n">
        <ns0:v>652</ns0:v>
      </ns0:c>
      <ns0:c r="O41" t="n">
        <ns0:v>40924</ns0:v>
      </ns0:c>
      <ns0:c r="P41" t="n">
        <ns0:v>5</ns0:v>
      </ns0:c>
      <ns0:c r="Q41">
        <ns0:f>IF(AND(L41=1,O41*Calculations!$B$2&lt;=Calculations!$B$10*Calculations!$B$4),1,0)</ns0:f>
        <ns0:v>0</ns0:v>
      </ns0:c>
      <ns0:c r="R41">
        <ns0:f>IF(AND(L41=1,O41*Calculations!$B$2&lt;=Calculations!$B$11*Calculations!$B$4),1,0)</ns0:f>
        <ns0:v>1</ns0:v>
      </ns0:c>
    </ns0:row>
    <ns0:row r="42">
      <ns0:c r="A42" t="inlineStr">
        <ns0:is>
          <ns0:t>case_0041</ns0:t>
        </ns0:is>
      </ns0:c>
      <ns0:c r="B42" t="inlineStr">
        <ns0:is>
          <ns0:t>function_0010</ns0:t>
        </ns0:is>
      </ns0:c>
      <ns0:c r="C42" t="inlineStr">
        <ns0:is>
          <ns0:t>run_001</ns0:t>
        </ns0:is>
      </ns0:c>
      <ns0:c r="D42" t="inlineStr">
        <ns0:is>
          <ns0:t>humantime</ns0:t>
        </ns0:is>
      </ns0:c>
      <ns0:c r="E42" t="inlineStr">
        <ns0:is>
          <ns0:t>claude-3-5-haiku-20241022</ns0:t>
        </ns0:is>
      </ns0:c>
      <ns0:c r="F42" t="inlineStr">
        <ns0:is>
          <ns0:t>E0433</ns0:t>
        </ns0:is>
      </ns0:c>
      <ns0:c r="G42" t="n">
        <ns0:v>1</ns0:v>
      </ns0:c>
      <ns0:c r="H42" t="n">
        <ns0:v>0</ns0:v>
      </ns0:c>
      <ns0:c r="I42" t="n">
        <ns0:v>0</ns0:v>
      </ns0:c>
      <ns0:c r="J42" t="n">
        <ns0:v>0</ns0:v>
      </ns0:c>
      <ns0:c r="K42" t="n">
        <ns0:v>0</ns0:v>
      </ns0:c>
      <ns0:c r="L42" t="n">
        <ns0:v>1</ns0:v>
      </ns0:c>
      <ns0:c r="M42" t="n">
        <ns0:v>27285</ns0:v>
      </ns0:c>
      <ns0:c r="N42" t="n">
        <ns0:v>545</ns0:v>
      </ns0:c>
      <ns0:c r="O42" t="n">
        <ns0:v>27830</ns0:v>
      </ns0:c>
      <ns0:c r="P42" t="n">
        <ns0:v>4</ns0:v>
      </ns0:c>
      <ns0:c r="Q42">
        <ns0:f>IF(AND(L42=1,O42*Calculations!$B$2&lt;=Calculations!$B$10*Calculations!$B$4),1,0)</ns0:f>
        <ns0:v>0</ns0:v>
      </ns0:c>
      <ns0:c r="R42">
        <ns0:f>IF(AND(L42=1,O42*Calculations!$B$2&lt;=Calculations!$B$11*Calculations!$B$4),1,0)</ns0:f>
        <ns0:v>1</ns0:v>
      </ns0:c>
    </ns0:row>
    <ns0:row r="43">
      <ns0:c r="A43" t="inlineStr">
        <ns0:is>
          <ns0:t>case_0042</ns0:t>
        </ns0:is>
      </ns0:c>
      <ns0:c r="B43" t="inlineStr">
        <ns0:is>
          <ns0:t>function_0010</ns0:t>
        </ns0:is>
      </ns0:c>
      <ns0:c r="C43" t="inlineStr">
        <ns0:is>
          <ns0:t>run_001</ns0:t>
        </ns0:is>
      </ns0:c>
      <ns0:c r="D43" t="inlineStr">
        <ns0:is>
          <ns0:t>humantime</ns0:t>
        </ns0:is>
      </ns0:c>
      <ns0:c r="E43" t="inlineStr">
        <ns0:is>
          <ns0:t>claude-3-5-haiku-20241022</ns0:t>
        </ns0:is>
      </ns0:c>
      <ns0:c r="F43" t="inlineStr">
        <ns0:is>
          <ns0:t>E0433</ns0:t>
        </ns0:is>
      </ns0:c>
      <ns0:c r="G43" t="n">
        <ns0:v>1</ns0:v>
      </ns0:c>
      <ns0:c r="H43" t="n">
        <ns0:v>0</ns0:v>
      </ns0:c>
      <ns0:c r="I43" t="n">
        <ns0:v>0</ns0:v>
      </ns0:c>
      <ns0:c r="J43" t="n">
        <ns0:v>0</ns0:v>
      </ns0:c>
      <ns0:c r="K43" t="n">
        <ns0:v>0</ns0:v>
      </ns0:c>
      <ns0:c r="L43" t="n">
        <ns0:v>1</ns0:v>
      </ns0:c>
      <ns0:c r="M43" t="n">
        <ns0:v>20166</ns0:v>
      </ns0:c>
      <ns0:c r="N43" t="n">
        <ns0:v>534</ns0:v>
      </ns0:c>
      <ns0:c r="O43" t="n">
        <ns0:v>20700</ns0:v>
      </ns0:c>
      <ns0:c r="P43" t="n">
        <ns0:v>3</ns0:v>
      </ns0:c>
      <ns0:c r="Q43">
        <ns0:f>IF(AND(L43=1,O43*Calculations!$B$2&lt;=Calculations!$B$10*Calculations!$B$4),1,0)</ns0:f>
        <ns0:v>1</ns0:v>
      </ns0:c>
      <ns0:c r="R43">
        <ns0:f>IF(AND(L43=1,O43*Calculations!$B$2&lt;=Calculations!$B$11*Calculations!$B$4),1,0)</ns0:f>
        <ns0:v>1</ns0:v>
      </ns0:c>
    </ns0:row>
    <ns0:row r="44">
      <ns0:c r="A44" t="inlineStr">
        <ns0:is>
          <ns0:t>case_0043</ns0:t>
        </ns0:is>
      </ns0:c>
      <ns0:c r="B44" t="inlineStr">
        <ns0:is>
          <ns0:t>function_0011</ns0:t>
        </ns0:is>
      </ns0:c>
      <ns0:c r="C44" t="inlineStr">
        <ns0:is>
          <ns0:t>run_001</ns0:t>
        </ns0:is>
      </ns0:c>
      <ns0:c r="D44" t="inlineStr">
        <ns0:is>
          <ns0:t>humantime</ns0:t>
        </ns0:is>
      </ns0:c>
      <ns0:c r="E44" t="inlineStr">
        <ns0:is>
          <ns0:t>claude-3-5-haiku-20241022</ns0:t>
        </ns0:is>
      </ns0:c>
      <ns0:c r="F44" t="inlineStr">
        <ns0:is>
          <ns0:t>E0599</ns0:t>
        </ns0:is>
      </ns0:c>
      <ns0:c r="G44" t="n">
        <ns0:v>1</ns0:v>
      </ns0:c>
      <ns0:c r="H44" t="n">
        <ns0:v>1232</ns0:v>
      </ns0:c>
      <ns0:c r="I44" t="n">
        <ns0:v>50</ns0:v>
      </ns0:c>
      <ns0:c r="J44" t="n">
        <ns0:v>1282</ns0:v>
      </ns0:c>
      <ns0:c r="K44" t="n">
        <ns0:v>1</ns0:v>
      </ns0:c>
      <ns0:c r="L44" t="n">
        <ns0:v>1</ns0:v>
      </ns0:c>
      <ns0:c r="M44" t="n">
        <ns0:v>179381</ns0:v>
      </ns0:c>
      <ns0:c r="N44" t="n">
        <ns0:v>985</ns0:v>
      </ns0:c>
      <ns0:c r="O44" t="n">
        <ns0:v>180366</ns0:v>
      </ns0:c>
      <ns0:c r="P44" t="n">
        <ns0:v>9</ns0:v>
      </ns0:c>
      <ns0:c r="Q44">
        <ns0:f>IF(AND(L44=1,O44*Calculations!$B$2&lt;=Calculations!$B$10*Calculations!$B$4),1,0)</ns0:f>
        <ns0:v>0</ns0:v>
      </ns0:c>
      <ns0:c r="R44">
        <ns0:f>IF(AND(L44=1,O44*Calculations!$B$2&lt;=Calculations!$B$11*Calculations!$B$4),1,0)</ns0:f>
        <ns0:v>0</ns0:v>
      </ns0:c>
    </ns0:row>
    <ns0:row r="45">
      <ns0:c r="A45" t="inlineStr">
        <ns0:is>
          <ns0:t>case_0044</ns0:t>
        </ns0:is>
      </ns0:c>
      <ns0:c r="B45" t="inlineStr">
        <ns0:is>
          <ns0:t>function_0011</ns0:t>
        </ns0:is>
      </ns0:c>
      <ns0:c r="C45" t="inlineStr">
        <ns0:is>
          <ns0:t>run_001</ns0:t>
        </ns0:is>
      </ns0:c>
      <ns0:c r="D45" t="inlineStr">
        <ns0:is>
          <ns0:t>humantime</ns0:t>
        </ns0:is>
      </ns0:c>
      <ns0:c r="E45" t="inlineStr">
        <ns0:is>
          <ns0:t>claude-3-5-haiku-20241022</ns0:t>
        </ns0:is>
      </ns0:c>
      <ns0:c r="F45" t="inlineStr">
        <ns0:is>
          <ns0:t>E0433</ns0:t>
        </ns0:is>
      </ns0:c>
      <ns0:c r="G45" t="n">
        <ns0:v>1</ns0:v>
      </ns0:c>
      <ns0:c r="H45" t="n">
        <ns0:v>1617</ns0:v>
      </ns0:c>
      <ns0:c r="I45" t="n">
        <ns0:v>68</ns0:v>
      </ns0:c>
      <ns0:c r="J45" t="n">
        <ns0:v>1685</ns0:v>
      </ns0:c>
      <ns0:c r="K45" t="n">
        <ns0:v>1</ns0:v>
      </ns0:c>
      <ns0:c r="L45" t="n">
        <ns0:v>1</ns0:v>
      </ns0:c>
      <ns0:c r="M45" t="n">
        <ns0:v>157189</ns0:v>
      </ns0:c>
      <ns0:c r="N45" t="n">
        <ns0:v>602</ns0:v>
      </ns0:c>
      <ns0:c r="O45" t="n">
        <ns0:v>157791</ns0:v>
      </ns0:c>
      <ns0:c r="P45" t="n">
        <ns0:v>9</ns0:v>
      </ns0:c>
      <ns0:c r="Q45">
        <ns0:f>IF(AND(L45=1,O45*Calculations!$B$2&lt;=Calculations!$B$10*Calculations!$B$4),1,0)</ns0:f>
        <ns0:v>0</ns0:v>
      </ns0:c>
      <ns0:c r="R45">
        <ns0:f>IF(AND(L45=1,O45*Calculations!$B$2&lt;=Calculations!$B$11*Calculations!$B$4),1,0)</ns0:f>
        <ns0:v>0</ns0:v>
      </ns0:c>
    </ns0:row>
    <ns0:row r="46">
      <ns0:c r="A46" t="inlineStr">
        <ns0:is>
          <ns0:t>case_0045</ns0:t>
        </ns0:is>
      </ns0:c>
      <ns0:c r="B46" t="inlineStr">
        <ns0:is>
          <ns0:t>function_0011</ns0:t>
        </ns0:is>
      </ns0:c>
      <ns0:c r="C46" t="inlineStr">
        <ns0:is>
          <ns0:t>run_001</ns0:t>
        </ns0:is>
      </ns0:c>
      <ns0:c r="D46" t="inlineStr">
        <ns0:is>
          <ns0:t>humantime</ns0:t>
        </ns0:is>
      </ns0:c>
      <ns0:c r="E46" t="inlineStr">
        <ns0:is>
          <ns0:t>claude-3-5-haiku-20241022</ns0:t>
        </ns0:is>
      </ns0:c>
      <ns0:c r="F46" t="inlineStr">
        <ns0:is>
          <ns0:t>E0433</ns0:t>
        </ns0:is>
      </ns0:c>
      <ns0:c r="G46" t="n">
        <ns0:v>1</ns0:v>
      </ns0:c>
      <ns0:c r="H46" t="n">
        <ns0:v>1622</ns0:v>
      </ns0:c>
      <ns0:c r="I46" t="n">
        <ns0:v>72</ns0:v>
      </ns0:c>
      <ns0:c r="J46" t="n">
        <ns0:v>1694</ns0:v>
      </ns0:c>
      <ns0:c r="K46" t="n">
        <ns0:v>1</ns0:v>
      </ns0:c>
      <ns0:c r="L46" t="n">
        <ns0:v>1</ns0:v>
      </ns0:c>
      <ns0:c r="M46" t="n">
        <ns0:v>86438</ns0:v>
      </ns0:c>
      <ns0:c r="N46" t="n">
        <ns0:v>1368</ns0:v>
      </ns0:c>
      <ns0:c r="O46" t="n">
        <ns0:v>87806</ns0:v>
      </ns0:c>
      <ns0:c r="P46" t="n">
        <ns0:v>11</ns0:v>
      </ns0:c>
      <ns0:c r="Q46">
        <ns0:f>IF(AND(L46=1,O46*Calculations!$B$2&lt;=Calculations!$B$10*Calculations!$B$4),1,0)</ns0:f>
        <ns0:v>0</ns0:v>
      </ns0:c>
      <ns0:c r="R46">
        <ns0:f>IF(AND(L46=1,O46*Calculations!$B$2&lt;=Calculations!$B$11*Calculations!$B$4),1,0)</ns0:f>
        <ns0:v>0</ns0:v>
      </ns0:c>
    </ns0:row>
    <ns0:row r="47">
      <ns0:c r="A47" t="inlineStr">
        <ns0:is>
          <ns0:t>case_0046</ns0:t>
        </ns0:is>
      </ns0:c>
      <ns0:c r="B47" t="inlineStr">
        <ns0:is>
          <ns0:t>function_0011</ns0:t>
        </ns0:is>
      </ns0:c>
      <ns0:c r="C47" t="inlineStr">
        <ns0:is>
          <ns0:t>run_001</ns0:t>
        </ns0:is>
      </ns0:c>
      <ns0:c r="D47" t="inlineStr">
        <ns0:is>
          <ns0:t>humantime</ns0:t>
        </ns0:is>
      </ns0:c>
      <ns0:c r="E47" t="inlineStr">
        <ns0:is>
          <ns0:t>claude-3-5-haiku-20241022</ns0:t>
        </ns0:is>
      </ns0:c>
      <ns0:c r="F47" t="inlineStr">
        <ns0:is>
          <ns0:t>E0433</ns0:t>
        </ns0:is>
      </ns0:c>
      <ns0:c r="G47" t="n">
        <ns0:v>1</ns0:v>
      </ns0:c>
      <ns0:c r="H47" t="n">
        <ns0:v>1613</ns0:v>
      </ns0:c>
      <ns0:c r="I47" t="n">
        <ns0:v>68</ns0:v>
      </ns0:c>
      <ns0:c r="J47" t="n">
        <ns0:v>1681</ns0:v>
      </ns0:c>
      <ns0:c r="K47" t="n">
        <ns0:v>1</ns0:v>
      </ns0:c>
      <ns0:c r="L47" t="n">
        <ns0:v>1</ns0:v>
      </ns0:c>
      <ns0:c r="M47" t="n">
        <ns0:v>99311</ns0:v>
      </ns0:c>
      <ns0:c r="N47" t="n">
        <ns0:v>463</ns0:v>
      </ns0:c>
      <ns0:c r="O47" t="n">
        <ns0:v>99774</ns0:v>
      </ns0:c>
      <ns0:c r="P47" t="n">
        <ns0:v>6</ns0:v>
      </ns0:c>
      <ns0:c r="Q47">
        <ns0:f>IF(AND(L47=1,O47*Calculations!$B$2&lt;=Calculations!$B$10*Calculations!$B$4),1,0)</ns0:f>
        <ns0:v>0</ns0:v>
      </ns0:c>
      <ns0:c r="R47">
        <ns0:f>IF(AND(L47=1,O47*Calculations!$B$2&lt;=Calculations!$B$11*Calculations!$B$4),1,0)</ns0:f>
        <ns0:v>0</ns0:v>
      </ns0:c>
    </ns0:row>
    <ns0:row r="48">
      <ns0:c r="A48" t="inlineStr">
        <ns0:is>
          <ns0:t>case_0047</ns0:t>
        </ns0:is>
      </ns0:c>
      <ns0:c r="B48" t="inlineStr">
        <ns0:is>
          <ns0:t>function_0011</ns0:t>
        </ns0:is>
      </ns0:c>
      <ns0:c r="C48" t="inlineStr">
        <ns0:is>
          <ns0:t>run_001</ns0:t>
        </ns0:is>
      </ns0:c>
      <ns0:c r="D48" t="inlineStr">
        <ns0:is>
          <ns0:t>humantime</ns0:t>
        </ns0:is>
      </ns0:c>
      <ns0:c r="E48" t="inlineStr">
        <ns0:is>
          <ns0:t>claude-3-5-haiku-20241022</ns0:t>
        </ns0:is>
      </ns0:c>
      <ns0:c r="F48" t="inlineStr">
        <ns0:is>
          <ns0:t>E0599</ns0:t>
        </ns0:is>
      </ns0:c>
      <ns0:c r="G48" t="n">
        <ns0:v>1</ns0:v>
      </ns0:c>
      <ns0:c r="H48" t="n">
        <ns0:v>802</ns0:v>
      </ns0:c>
      <ns0:c r="I48" t="n">
        <ns0:v>66</ns0:v>
      </ns0:c>
      <ns0:c r="J48" t="n">
        <ns0:v>868</ns0:v>
      </ns0:c>
      <ns0:c r="K48" t="n">
        <ns0:v>1</ns0:v>
      </ns0:c>
      <ns0:c r="L48" t="n">
        <ns0:v>1</ns0:v>
      </ns0:c>
      <ns0:c r="M48" t="n">
        <ns0:v>29424</ns0:v>
      </ns0:c>
      <ns0:c r="N48" t="n">
        <ns0:v>873</ns0:v>
      </ns0:c>
      <ns0:c r="O48" t="n">
        <ns0:v>30297</ns0:v>
      </ns0:c>
      <ns0:c r="P48" t="n">
        <ns0:v>4</ns0:v>
      </ns0:c>
      <ns0:c r="Q48">
        <ns0:f>IF(AND(L48=1,O48*Calculations!$B$2&lt;=Calculations!$B$10*Calculations!$B$4),1,0)</ns0:f>
        <ns0:v>0</ns0:v>
      </ns0:c>
      <ns0:c r="R48">
        <ns0:f>IF(AND(L48=1,O48*Calculations!$B$2&lt;=Calculations!$B$11*Calculations!$B$4),1,0)</ns0:f>
        <ns0:v>1</ns0:v>
      </ns0:c>
    </ns0:row>
    <ns0:row r="49">
      <ns0:c r="A49" t="inlineStr">
        <ns0:is>
          <ns0:t>case_0048</ns0:t>
        </ns0:is>
      </ns0:c>
      <ns0:c r="B49" t="inlineStr">
        <ns0:is>
          <ns0:t>function_0011</ns0:t>
        </ns0:is>
      </ns0:c>
      <ns0:c r="C49" t="inlineStr">
        <ns0:is>
          <ns0:t>run_001</ns0:t>
        </ns0:is>
      </ns0:c>
      <ns0:c r="D49" t="inlineStr">
        <ns0:is>
          <ns0:t>humantime</ns0:t>
        </ns0:is>
      </ns0:c>
      <ns0:c r="E49" t="inlineStr">
        <ns0:is>
          <ns0:t>claude-3-5-haiku-20241022</ns0:t>
        </ns0:is>
      </ns0:c>
      <ns0:c r="F49" t="inlineStr">
        <ns0:is>
          <ns0:t>E0599</ns0:t>
        </ns0:is>
      </ns0:c>
      <ns0:c r="G49" t="n">
        <ns0:v>1</ns0:v>
      </ns0:c>
      <ns0:c r="H49" t="n">
        <ns0:v>841</ns0:v>
      </ns0:c>
      <ns0:c r="I49" t="n">
        <ns0:v>70</ns0:v>
      </ns0:c>
      <ns0:c r="J49" t="n">
        <ns0:v>911</ns0:v>
      </ns0:c>
      <ns0:c r="K49" t="n">
        <ns0:v>1</ns0:v>
      </ns0:c>
      <ns0:c r="L49" t="n">
        <ns0:v>1</ns0:v>
      </ns0:c>
      <ns0:c r="M49" t="n">
        <ns0:v>61646</ns0:v>
      </ns0:c>
      <ns0:c r="N49" t="n">
        <ns0:v>1201</ns0:v>
      </ns0:c>
      <ns0:c r="O49" t="n">
        <ns0:v>62847</ns0:v>
      </ns0:c>
      <ns0:c r="P49" t="n">
        <ns0:v>7</ns0:v>
      </ns0:c>
      <ns0:c r="Q49">
        <ns0:f>IF(AND(L49=1,O49*Calculations!$B$2&lt;=Calculations!$B$10*Calculations!$B$4),1,0)</ns0:f>
        <ns0:v>0</ns0:v>
      </ns0:c>
      <ns0:c r="R49">
        <ns0:f>IF(AND(L49=1,O49*Calculations!$B$2&lt;=Calculations!$B$11*Calculations!$B$4),1,0)</ns0:f>
        <ns0:v>0</ns0:v>
      </ns0:c>
    </ns0:row>
    <ns0:row r="50">
      <ns0:c r="A50" t="inlineStr">
        <ns0:is>
          <ns0:t>case_0049</ns0:t>
        </ns0:is>
      </ns0:c>
      <ns0:c r="B50" t="inlineStr">
        <ns0:is>
          <ns0:t>function_0011</ns0:t>
        </ns0:is>
      </ns0:c>
      <ns0:c r="C50" t="inlineStr">
        <ns0:is>
          <ns0:t>run_001</ns0:t>
        </ns0:is>
      </ns0:c>
      <ns0:c r="D50" t="inlineStr">
        <ns0:is>
          <ns0:t>humantime</ns0:t>
        </ns0:is>
      </ns0:c>
      <ns0:c r="E50" t="inlineStr">
        <ns0:is>
          <ns0:t>claude-3-5-haiku-20241022</ns0:t>
        </ns0:is>
      </ns0:c>
      <ns0:c r="F50" t="inlineStr">
        <ns0:is>
          <ns0:t>E0433</ns0:t>
        </ns0:is>
      </ns0:c>
      <ns0:c r="G50" t="n">
        <ns0:v>1</ns0:v>
      </ns0:c>
      <ns0:c r="H50" t="n">
        <ns0:v>1955</ns0:v>
      </ns0:c>
      <ns0:c r="I50" t="n">
        <ns0:v>68</ns0:v>
      </ns0:c>
      <ns0:c r="J50" t="n">
        <ns0:v>2023</ns0:v>
      </ns0:c>
      <ns0:c r="K50" t="n">
        <ns0:v>1</ns0:v>
      </ns0:c>
      <ns0:c r="L50" t="n">
        <ns0:v>1</ns0:v>
      </ns0:c>
      <ns0:c r="M50" t="n">
        <ns0:v>109191</ns0:v>
      </ns0:c>
      <ns0:c r="N50" t="n">
        <ns0:v>880</ns0:v>
      </ns0:c>
      <ns0:c r="O50" t="n">
        <ns0:v>110071</ns0:v>
      </ns0:c>
      <ns0:c r="P50" t="n">
        <ns0:v>9</ns0:v>
      </ns0:c>
      <ns0:c r="Q50">
        <ns0:f>IF(AND(L50=1,O50*Calculations!$B$2&lt;=Calculations!$B$10*Calculations!$B$4),1,0)</ns0:f>
        <ns0:v>0</ns0:v>
      </ns0:c>
      <ns0:c r="R50">
        <ns0:f>IF(AND(L50=1,O50*Calculations!$B$2&lt;=Calculations!$B$11*Calculations!$B$4),1,0)</ns0:f>
        <ns0:v>0</ns0:v>
      </ns0:c>
    </ns0:row>
    <ns0:row r="51">
      <ns0:c r="A51" t="inlineStr">
        <ns0:is>
          <ns0:t>case_0050</ns0:t>
        </ns0:is>
      </ns0:c>
      <ns0:c r="B51" t="inlineStr">
        <ns0:is>
          <ns0:t>function_0011</ns0:t>
        </ns0:is>
      </ns0:c>
      <ns0:c r="C51" t="inlineStr">
        <ns0:is>
          <ns0:t>run_001</ns0:t>
        </ns0:is>
      </ns0:c>
      <ns0:c r="D51" t="inlineStr">
        <ns0:is>
          <ns0:t>humantime</ns0:t>
        </ns0:is>
      </ns0:c>
      <ns0:c r="E51" t="inlineStr">
        <ns0:is>
          <ns0:t>claude-3-5-haiku-20241022</ns0:t>
        </ns0:is>
      </ns0:c>
      <ns0:c r="F51" t="inlineStr">
        <ns0:is>
          <ns0:t>E0432</ns0:t>
        </ns0:is>
      </ns0:c>
      <ns0:c r="G51" t="n">
        <ns0:v>0</ns0:v>
      </ns0:c>
      <ns0:c r="H51" t="n">
        <ns0:v>4041</ns0:v>
      </ns0:c>
      <ns0:c r="I51" t="n">
        <ns0:v>273</ns0:v>
      </ns0:c>
      <ns0:c r="J51" t="n">
        <ns0:v>4314</ns0:v>
      </ns0:c>
      <ns0:c r="K51" t="n">
        <ns0:v>3</ns0:v>
      </ns0:c>
      <ns0:c r="L51" t="n">
        <ns0:v>1</ns0:v>
      </ns0:c>
      <ns0:c r="M51" t="n">
        <ns0:v>75454</ns0:v>
      </ns0:c>
      <ns0:c r="N51" t="n">
        <ns0:v>864</ns0:v>
      </ns0:c>
      <ns0:c r="O51" t="n">
        <ns0:v>76318</ns0:v>
      </ns0:c>
      <ns0:c r="P51" t="n">
        <ns0:v>10</ns0:v>
      </ns0:c>
      <ns0:c r="Q51">
        <ns0:f>IF(AND(L51=1,O51*Calculations!$B$2&lt;=Calculations!$B$10*Calculations!$B$4),1,0)</ns0:f>
        <ns0:v>0</ns0:v>
      </ns0:c>
      <ns0:c r="R51">
        <ns0:f>IF(AND(L51=1,O51*Calculations!$B$2&lt;=Calculations!$B$11*Calculations!$B$4),1,0)</ns0:f>
        <ns0:v>0</ns0:v>
      </ns0:c>
    </ns0:row>
    <ns0:row r="52">
      <ns0:c r="A52" t="inlineStr">
        <ns0:is>
          <ns0:t>case_0051</ns0:t>
        </ns0:is>
      </ns0:c>
      <ns0:c r="B52" t="inlineStr">
        <ns0:is>
          <ns0:t>function_0011</ns0:t>
        </ns0:is>
      </ns0:c>
      <ns0:c r="C52" t="inlineStr">
        <ns0:is>
          <ns0:t>run_001</ns0:t>
        </ns0:is>
      </ns0:c>
      <ns0:c r="D52" t="inlineStr">
        <ns0:is>
          <ns0:t>humantime</ns0:t>
        </ns0:is>
      </ns0:c>
      <ns0:c r="E52" t="inlineStr">
        <ns0:is>
          <ns0:t>claude-3-5-haiku-20241022</ns0:t>
        </ns0:is>
      </ns0:c>
      <ns0:c r="F52" t="inlineStr">
        <ns0:is>
          <ns0:t>E0433</ns0:t>
        </ns0:is>
      </ns0:c>
      <ns0:c r="G52" t="n">
        <ns0:v>1</ns0:v>
      </ns0:c>
      <ns0:c r="H52" t="n">
        <ns0:v>2019</ns0:v>
      </ns0:c>
      <ns0:c r="I52" t="n">
        <ns0:v>95</ns0:v>
      </ns0:c>
      <ns0:c r="J52" t="n">
        <ns0:v>2114</ns0:v>
      </ns0:c>
      <ns0:c r="K52" t="n">
        <ns0:v>1</ns0:v>
      </ns0:c>
      <ns0:c r="L52" t="n">
        <ns0:v>1</ns0:v>
      </ns0:c>
      <ns0:c r="M52" t="n">
        <ns0:v>112338</ns0:v>
      </ns0:c>
      <ns0:c r="N52" t="n">
        <ns0:v>1286</ns0:v>
      </ns0:c>
      <ns0:c r="O52" t="n">
        <ns0:v>113624</ns0:v>
      </ns0:c>
      <ns0:c r="P52" t="n">
        <ns0:v>14</ns0:v>
      </ns0:c>
      <ns0:c r="Q52">
        <ns0:f>IF(AND(L52=1,O52*Calculations!$B$2&lt;=Calculations!$B$10*Calculations!$B$4),1,0)</ns0:f>
        <ns0:v>0</ns0:v>
      </ns0:c>
      <ns0:c r="R52">
        <ns0:f>IF(AND(L52=1,O52*Calculations!$B$2&lt;=Calculations!$B$11*Calculations!$B$4),1,0)</ns0:f>
        <ns0:v>0</ns0:v>
      </ns0:c>
    </ns0:row>
    <ns0:row r="53">
      <ns0:c r="A53" t="inlineStr">
        <ns0:is>
          <ns0:t>case_0052</ns0:t>
        </ns0:is>
      </ns0:c>
      <ns0:c r="B53" t="inlineStr">
        <ns0:is>
          <ns0:t>function_0011</ns0:t>
        </ns0:is>
      </ns0:c>
      <ns0:c r="C53" t="inlineStr">
        <ns0:is>
          <ns0:t>run_001</ns0:t>
        </ns0:is>
      </ns0:c>
      <ns0:c r="D53" t="inlineStr">
        <ns0:is>
          <ns0:t>humantime</ns0:t>
        </ns0:is>
      </ns0:c>
      <ns0:c r="E53" t="inlineStr">
        <ns0:is>
          <ns0:t>claude-3-5-haiku-20241022</ns0:t>
        </ns0:is>
      </ns0:c>
      <ns0:c r="F53" t="inlineStr">
        <ns0:is>
          <ns0:t>E0599</ns0:t>
        </ns0:is>
      </ns0:c>
      <ns0:c r="G53" t="n">
        <ns0:v>1</ns0:v>
      </ns0:c>
      <ns0:c r="H53" t="n">
        <ns0:v>1273</ns0:v>
      </ns0:c>
      <ns0:c r="I53" t="n">
        <ns0:v>60</ns0:v>
      </ns0:c>
      <ns0:c r="J53" t="n">
        <ns0:v>1333</ns0:v>
      </ns0:c>
      <ns0:c r="K53" t="n">
        <ns0:v>1</ns0:v>
      </ns0:c>
      <ns0:c r="L53" t="n">
        <ns0:v>1</ns0:v>
      </ns0:c>
      <ns0:c r="M53" t="n">
        <ns0:v>104669</ns0:v>
      </ns0:c>
      <ns0:c r="N53" t="n">
        <ns0:v>1320</ns0:v>
      </ns0:c>
      <ns0:c r="O53" t="n">
        <ns0:v>105989</ns0:v>
      </ns0:c>
      <ns0:c r="P53" t="n">
        <ns0:v>13</ns0:v>
      </ns0:c>
      <ns0:c r="Q53">
        <ns0:f>IF(AND(L53=1,O53*Calculations!$B$2&lt;=Calculations!$B$10*Calculations!$B$4),1,0)</ns0:f>
        <ns0:v>0</ns0:v>
      </ns0:c>
      <ns0:c r="R53">
        <ns0:f>IF(AND(L53=1,O53*Calculations!$B$2&lt;=Calculations!$B$11*Calculations!$B$4),1,0)</ns0:f>
        <ns0:v>0</ns0:v>
      </ns0:c>
    </ns0:row>
    <ns0:row r="54">
      <ns0:c r="A54" t="inlineStr">
        <ns0:is>
          <ns0:t>case_0053</ns0:t>
        </ns0:is>
      </ns0:c>
      <ns0:c r="B54" t="inlineStr">
        <ns0:is>
          <ns0:t>function_0011</ns0:t>
        </ns0:is>
      </ns0:c>
      <ns0:c r="C54" t="inlineStr">
        <ns0:is>
          <ns0:t>run_001</ns0:t>
        </ns0:is>
      </ns0:c>
      <ns0:c r="D54" t="inlineStr">
        <ns0:is>
          <ns0:t>humantime</ns0:t>
        </ns0:is>
      </ns0:c>
      <ns0:c r="E54" t="inlineStr">
        <ns0:is>
          <ns0:t>claude-3-5-haiku-20241022</ns0:t>
        </ns0:is>
      </ns0:c>
      <ns0:c r="F54" t="inlineStr">
        <ns0:is>
          <ns0:t>E0599</ns0:t>
        </ns0:is>
      </ns0:c>
      <ns0:c r="G54" t="n">
        <ns0:v>1</ns0:v>
      </ns0:c>
      <ns0:c r="H54" t="n">
        <ns0:v>1339</ns0:v>
      </ns0:c>
      <ns0:c r="I54" t="n">
        <ns0:v>80</ns0:v>
      </ns0:c>
      <ns0:c r="J54" t="n">
        <ns0:v>1419</ns0:v>
      </ns0:c>
      <ns0:c r="K54" t="n">
        <ns0:v>1</ns0:v>
      </ns0:c>
      <ns0:c r="L54" t="n">
        <ns0:v>1</ns0:v>
      </ns0:c>
      <ns0:c r="M54" t="n">
        <ns0:v>113214</ns0:v>
      </ns0:c>
      <ns0:c r="N54" t="n">
        <ns0:v>764</ns0:v>
      </ns0:c>
      <ns0:c r="O54" t="n">
        <ns0:v>113978</ns0:v>
      </ns0:c>
      <ns0:c r="P54" t="n">
        <ns0:v>8</ns0:v>
      </ns0:c>
      <ns0:c r="Q54">
        <ns0:f>IF(AND(L54=1,O54*Calculations!$B$2&lt;=Calculations!$B$10*Calculations!$B$4),1,0)</ns0:f>
        <ns0:v>0</ns0:v>
      </ns0:c>
      <ns0:c r="R54">
        <ns0:f>IF(AND(L54=1,O54*Calculations!$B$2&lt;=Calculations!$B$11*Calculations!$B$4),1,0)</ns0:f>
        <ns0:v>0</ns0:v>
      </ns0:c>
    </ns0:row>
    <ns0:row r="55">
      <ns0:c r="A55" t="inlineStr">
        <ns0:is>
          <ns0:t>case_0054</ns0:t>
        </ns0:is>
      </ns0:c>
      <ns0:c r="B55" t="inlineStr">
        <ns0:is>
          <ns0:t>function_0011</ns0:t>
        </ns0:is>
      </ns0:c>
      <ns0:c r="C55" t="inlineStr">
        <ns0:is>
          <ns0:t>run_001</ns0:t>
        </ns0:is>
      </ns0:c>
      <ns0:c r="D55" t="inlineStr">
        <ns0:is>
          <ns0:t>humantime</ns0:t>
        </ns0:is>
      </ns0:c>
      <ns0:c r="E55" t="inlineStr">
        <ns0:is>
          <ns0:t>claude-3-5-haiku-20241022</ns0:t>
        </ns0:is>
      </ns0:c>
      <ns0:c r="F55" t="inlineStr">
        <ns0:is>
          <ns0:t>E0599</ns0:t>
        </ns0:is>
      </ns0:c>
      <ns0:c r="G55" t="n">
        <ns0:v>1</ns0:v>
      </ns0:c>
      <ns0:c r="H55" t="n">
        <ns0:v>1232</ns0:v>
      </ns0:c>
      <ns0:c r="I55" t="n">
        <ns0:v>52</ns0:v>
      </ns0:c>
      <ns0:c r="J55" t="n">
        <ns0:v>1284</ns0:v>
      </ns0:c>
      <ns0:c r="K55" t="n">
        <ns0:v>1</ns0:v>
      </ns0:c>
      <ns0:c r="L55" t="n">
        <ns0:v>1</ns0:v>
      </ns0:c>
      <ns0:c r="M55" t="n">
        <ns0:v>192343</ns0:v>
      </ns0:c>
      <ns0:c r="N55" t="n">
        <ns0:v>2223</ns0:v>
      </ns0:c>
      <ns0:c r="O55" t="n">
        <ns0:v>194566</ns0:v>
      </ns0:c>
      <ns0:c r="P55" t="n">
        <ns0:v>19</ns0:v>
      </ns0:c>
      <ns0:c r="Q55">
        <ns0:f>IF(AND(L55=1,O55*Calculations!$B$2&lt;=Calculations!$B$10*Calculations!$B$4),1,0)</ns0:f>
        <ns0:v>0</ns0:v>
      </ns0:c>
      <ns0:c r="R55">
        <ns0:f>IF(AND(L55=1,O55*Calculations!$B$2&lt;=Calculations!$B$11*Calculations!$B$4),1,0)</ns0:f>
        <ns0:v>0</ns0:v>
      </ns0:c>
    </ns0:row>
    <ns0:row r="56">
      <ns0:c r="A56" t="inlineStr">
        <ns0:is>
          <ns0:t>case_0055</ns0:t>
        </ns0:is>
      </ns0:c>
      <ns0:c r="B56" t="inlineStr">
        <ns0:is>
          <ns0:t>function_0012</ns0:t>
        </ns0:is>
      </ns0:c>
      <ns0:c r="C56" t="inlineStr">
        <ns0:is>
          <ns0:t>run_001</ns0:t>
        </ns0:is>
      </ns0:c>
      <ns0:c r="D56" t="inlineStr">
        <ns0:is>
          <ns0:t>humantime</ns0:t>
        </ns0:is>
      </ns0:c>
      <ns0:c r="E56" t="inlineStr">
        <ns0:is>
          <ns0:t>claude-3-5-haiku-20241022</ns0:t>
        </ns0:is>
      </ns0:c>
      <ns0:c r="F56" t="inlineStr">
        <ns0:is>
          <ns0:t>E0433</ns0:t>
        </ns0:is>
      </ns0:c>
      <ns0:c r="G56" t="n">
        <ns0:v>1</ns0:v>
      </ns0:c>
      <ns0:c r="H56" t="n">
        <ns0:v>2533</ns0:v>
      </ns0:c>
      <ns0:c r="I56" t="n">
        <ns0:v>228</ns0:v>
      </ns0:c>
      <ns0:c r="J56" t="n">
        <ns0:v>2761</ns0:v>
      </ns0:c>
      <ns0:c r="K56" t="n">
        <ns0:v>3</ns0:v>
      </ns0:c>
      <ns0:c r="L56" t="n">
        <ns0:v>0</ns0:v>
      </ns0:c>
      <ns0:c r="M56" t="n">
        <ns0:v>168524</ns0:v>
      </ns0:c>
      <ns0:c r="N56" t="n">
        <ns0:v>2170</ns0:v>
      </ns0:c>
      <ns0:c r="O56" t="n">
        <ns0:v>170694</ns0:v>
      </ns0:c>
      <ns0:c r="P56" t="n">
        <ns0:v>20</ns0:v>
      </ns0:c>
      <ns0:c r="Q56">
        <ns0:f>IF(AND(L56=1,O56*Calculations!$B$2&lt;=Calculations!$B$10*Calculations!$B$4),1,0)</ns0:f>
        <ns0:v>0</ns0:v>
      </ns0:c>
      <ns0:c r="R56">
        <ns0:f>IF(AND(L56=1,O56*Calculations!$B$2&lt;=Calculations!$B$11*Calculations!$B$4),1,0)</ns0:f>
        <ns0:v>0</ns0:v>
      </ns0:c>
    </ns0:row>
    <ns0:row r="57">
      <ns0:c r="A57" t="inlineStr">
        <ns0:is>
          <ns0:t>case_0056</ns0:t>
        </ns0:is>
      </ns0:c>
      <ns0:c r="B57" t="inlineStr">
        <ns0:is>
          <ns0:t>function_0012</ns0:t>
        </ns0:is>
      </ns0:c>
      <ns0:c r="C57" t="inlineStr">
        <ns0:is>
          <ns0:t>run_001</ns0:t>
        </ns0:is>
      </ns0:c>
      <ns0:c r="D57" t="inlineStr">
        <ns0:is>
          <ns0:t>humantime</ns0:t>
        </ns0:is>
      </ns0:c>
      <ns0:c r="E57" t="inlineStr">
        <ns0:is>
          <ns0:t>claude-3-5-haiku-20241022</ns0:t>
        </ns0:is>
      </ns0:c>
      <ns0:c r="F57" t="inlineStr">
        <ns0:is>
          <ns0:t>E0433</ns0:t>
        </ns0:is>
      </ns0:c>
      <ns0:c r="G57" t="n">
        <ns0:v>1</ns0:v>
      </ns0:c>
      <ns0:c r="H57" t="n">
        <ns0:v>655</ns0:v>
      </ns0:c>
      <ns0:c r="I57" t="n">
        <ns0:v>62</ns0:v>
      </ns0:c>
      <ns0:c r="J57" t="n">
        <ns0:v>717</ns0:v>
      </ns0:c>
      <ns0:c r="K57" t="n">
        <ns0:v>1</ns0:v>
      </ns0:c>
      <ns0:c r="L57" t="n">
        <ns0:v>1</ns0:v>
      </ns0:c>
      <ns0:c r="M57" t="n">
        <ns0:v>60720</ns0:v>
      </ns0:c>
      <ns0:c r="N57" t="n">
        <ns0:v>351</ns0:v>
      </ns0:c>
      <ns0:c r="O57" t="n">
        <ns0:v>61071</ns0:v>
      </ns0:c>
      <ns0:c r="P57" t="n">
        <ns0:v>4</ns0:v>
      </ns0:c>
      <ns0:c r="Q57">
        <ns0:f>IF(AND(L57=1,O57*Calculations!$B$2&lt;=Calculations!$B$10*Calculations!$B$4),1,0)</ns0:f>
        <ns0:v>0</ns0:v>
      </ns0:c>
      <ns0:c r="R57">
        <ns0:f>IF(AND(L57=1,O57*Calculations!$B$2&lt;=Calculations!$B$11*Calculations!$B$4),1,0)</ns0:f>
        <ns0:v>0</ns0:v>
      </ns0:c>
    </ns0:row>
    <ns0:row r="58">
      <ns0:c r="A58" t="inlineStr">
        <ns0:is>
          <ns0:t>case_0057</ns0:t>
        </ns0:is>
      </ns0:c>
      <ns0:c r="B58" t="inlineStr">
        <ns0:is>
          <ns0:t>function_0012</ns0:t>
        </ns0:is>
      </ns0:c>
      <ns0:c r="C58" t="inlineStr">
        <ns0:is>
          <ns0:t>run_001</ns0:t>
        </ns0:is>
      </ns0:c>
      <ns0:c r="D58" t="inlineStr">
        <ns0:is>
          <ns0:t>humantime</ns0:t>
        </ns0:is>
      </ns0:c>
      <ns0:c r="E58" t="inlineStr">
        <ns0:is>
          <ns0:t>claude-3-5-haiku-20241022</ns0:t>
        </ns0:is>
      </ns0:c>
      <ns0:c r="F58" t="inlineStr">
        <ns0:is>
          <ns0:t>E0433</ns0:t>
        </ns0:is>
      </ns0:c>
      <ns0:c r="G58" t="n">
        <ns0:v>1</ns0:v>
      </ns0:c>
      <ns0:c r="H58" t="n">
        <ns0:v>1412</ns0:v>
      </ns0:c>
      <ns0:c r="I58" t="n">
        <ns0:v>163</ns0:v>
      </ns0:c>
      <ns0:c r="J58" t="n">
        <ns0:v>1575</ns0:v>
      </ns0:c>
      <ns0:c r="K58" t="n">
        <ns0:v>2</ns0:v>
      </ns0:c>
      <ns0:c r="L58" t="n">
        <ns0:v>1</ns0:v>
      </ns0:c>
      <ns0:c r="M58" t="n">
        <ns0:v>118419</ns0:v>
      </ns0:c>
      <ns0:c r="N58" t="n">
        <ns0:v>2091</ns0:v>
      </ns0:c>
      <ns0:c r="O58" t="n">
        <ns0:v>120510</ns0:v>
      </ns0:c>
      <ns0:c r="P58" t="n">
        <ns0:v>7</ns0:v>
      </ns0:c>
      <ns0:c r="Q58">
        <ns0:f>IF(AND(L58=1,O58*Calculations!$B$2&lt;=Calculations!$B$10*Calculations!$B$4),1,0)</ns0:f>
        <ns0:v>0</ns0:v>
      </ns0:c>
      <ns0:c r="R58">
        <ns0:f>IF(AND(L58=1,O58*Calculations!$B$2&lt;=Calculations!$B$11*Calculations!$B$4),1,0)</ns0:f>
        <ns0:v>0</ns0:v>
      </ns0:c>
    </ns0:row>
    <ns0:row r="59">
      <ns0:c r="A59" t="inlineStr">
        <ns0:is>
          <ns0:t>case_0058</ns0:t>
        </ns0:is>
      </ns0:c>
      <ns0:c r="B59" t="inlineStr">
        <ns0:is>
          <ns0:t>function_0012</ns0:t>
        </ns0:is>
      </ns0:c>
      <ns0:c r="C59" t="inlineStr">
        <ns0:is>
          <ns0:t>run_001</ns0:t>
        </ns0:is>
      </ns0:c>
      <ns0:c r="D59" t="inlineStr">
        <ns0:is>
          <ns0:t>humantime</ns0:t>
        </ns0:is>
      </ns0:c>
      <ns0:c r="E59" t="inlineStr">
        <ns0:is>
          <ns0:t>claude-3-5-haiku-20241022</ns0:t>
        </ns0:is>
      </ns0:c>
      <ns0:c r="F59" t="inlineStr">
        <ns0:is>
          <ns0:t>E0433</ns0:t>
        </ns0:is>
      </ns0:c>
      <ns0:c r="G59" t="n">
        <ns0:v>1</ns0:v>
      </ns0:c>
      <ns0:c r="H59" t="n">
        <ns0:v>678</ns0:v>
      </ns0:c>
      <ns0:c r="I59" t="n">
        <ns0:v>60</ns0:v>
      </ns0:c>
      <ns0:c r="J59" t="n">
        <ns0:v>738</ns0:v>
      </ns0:c>
      <ns0:c r="K59" t="n">
        <ns0:v>1</ns0:v>
      </ns0:c>
      <ns0:c r="L59" t="n">
        <ns0:v>1</ns0:v>
      </ns0:c>
      <ns0:c r="M59" t="n">
        <ns0:v>147292</ns0:v>
      </ns0:c>
      <ns0:c r="N59" t="n">
        <ns0:v>944</ns0:v>
      </ns0:c>
      <ns0:c r="O59" t="n">
        <ns0:v>148236</ns0:v>
      </ns0:c>
      <ns0:c r="P59" t="n">
        <ns0:v>8</ns0:v>
      </ns0:c>
      <ns0:c r="Q59">
        <ns0:f>IF(AND(L59=1,O59*Calculations!$B$2&lt;=Calculations!$B$10*Calculations!$B$4),1,0)</ns0:f>
        <ns0:v>0</ns0:v>
      </ns0:c>
      <ns0:c r="R59">
        <ns0:f>IF(AND(L59=1,O59*Calculations!$B$2&lt;=Calculations!$B$11*Calculations!$B$4),1,0)</ns0:f>
        <ns0:v>0</ns0:v>
      </ns0:c>
    </ns0:row>
    <ns0:row r="60">
      <ns0:c r="A60" t="inlineStr">
        <ns0:is>
          <ns0:t>case_0059</ns0:t>
        </ns0:is>
      </ns0:c>
      <ns0:c r="B60" t="inlineStr">
        <ns0:is>
          <ns0:t>function_0012</ns0:t>
        </ns0:is>
      </ns0:c>
      <ns0:c r="C60" t="inlineStr">
        <ns0:is>
          <ns0:t>run_001</ns0:t>
        </ns0:is>
      </ns0:c>
      <ns0:c r="D60" t="inlineStr">
        <ns0:is>
          <ns0:t>humantime</ns0:t>
        </ns0:is>
      </ns0:c>
      <ns0:c r="E60" t="inlineStr">
        <ns0:is>
          <ns0:t>claude-3-5-haiku-20241022</ns0:t>
        </ns0:is>
      </ns0:c>
      <ns0:c r="F60" t="inlineStr">
        <ns0:is>
          <ns0:t>E0433</ns0:t>
        </ns0:is>
      </ns0:c>
      <ns0:c r="G60" t="n">
        <ns0:v>1</ns0:v>
      </ns0:c>
      <ns0:c r="H60" t="n">
        <ns0:v>677</ns0:v>
      </ns0:c>
      <ns0:c r="I60" t="n">
        <ns0:v>60</ns0:v>
      </ns0:c>
      <ns0:c r="J60" t="n">
        <ns0:v>737</ns0:v>
      </ns0:c>
      <ns0:c r="K60" t="n">
        <ns0:v>1</ns0:v>
      </ns0:c>
      <ns0:c r="L60" t="n">
        <ns0:v>0</ns0:v>
      </ns0:c>
      <ns0:c r="M60" t="n">
        <ns0:v>159595</ns0:v>
      </ns0:c>
      <ns0:c r="N60" t="n">
        <ns0:v>1086</ns0:v>
      </ns0:c>
      <ns0:c r="O60" t="n">
        <ns0:v>160681</ns0:v>
      </ns0:c>
      <ns0:c r="P60" t="n">
        <ns0:v>20</ns0:v>
      </ns0:c>
      <ns0:c r="Q60">
        <ns0:f>IF(AND(L60=1,O60*Calculations!$B$2&lt;=Calculations!$B$10*Calculations!$B$4),1,0)</ns0:f>
        <ns0:v>0</ns0:v>
      </ns0:c>
      <ns0:c r="R60">
        <ns0:f>IF(AND(L60=1,O60*Calculations!$B$2&lt;=Calculations!$B$11*Calculations!$B$4),1,0)</ns0:f>
        <ns0:v>0</ns0:v>
      </ns0:c>
    </ns0:row>
    <ns0:row r="61">
      <ns0:c r="A61" t="inlineStr">
        <ns0:is>
          <ns0:t>case_0060</ns0:t>
        </ns0:is>
      </ns0:c>
      <ns0:c r="B61" t="inlineStr">
        <ns0:is>
          <ns0:t>function_0012</ns0:t>
        </ns0:is>
      </ns0:c>
      <ns0:c r="C61" t="inlineStr">
        <ns0:is>
          <ns0:t>run_001</ns0:t>
        </ns0:is>
      </ns0:c>
      <ns0:c r="D61" t="inlineStr">
        <ns0:is>
          <ns0:t>humantime</ns0:t>
        </ns0:is>
      </ns0:c>
      <ns0:c r="E61" t="inlineStr">
        <ns0:is>
          <ns0:t>claude-3-5-haiku-20241022</ns0:t>
        </ns0:is>
      </ns0:c>
      <ns0:c r="F61" t="inlineStr">
        <ns0:is>
          <ns0:t>E0433</ns0:t>
        </ns0:is>
      </ns0:c>
      <ns0:c r="G61" t="n">
        <ns0:v>1</ns0:v>
      </ns0:c>
      <ns0:c r="H61" t="n">
        <ns0:v>677</ns0:v>
      </ns0:c>
      <ns0:c r="I61" t="n">
        <ns0:v>60</ns0:v>
      </ns0:c>
      <ns0:c r="J61" t="n">
        <ns0:v>737</ns0:v>
      </ns0:c>
      <ns0:c r="K61" t="n">
        <ns0:v>1</ns0:v>
      </ns0:c>
      <ns0:c r="L61" t="n">
        <ns0:v>1</ns0:v>
      </ns0:c>
      <ns0:c r="M61" t="n">
        <ns0:v>144363</ns0:v>
      </ns0:c>
      <ns0:c r="N61" t="n">
        <ns0:v>1387</ns0:v>
      </ns0:c>
      <ns0:c r="O61" t="n">
        <ns0:v>145750</ns0:v>
      </ns0:c>
      <ns0:c r="P61" t="n">
        <ns0:v>18</ns0:v>
      </ns0:c>
      <ns0:c r="Q61">
        <ns0:f>IF(AND(L61=1,O61*Calculations!$B$2&lt;=Calculations!$B$10*Calculations!$B$4),1,0)</ns0:f>
        <ns0:v>0</ns0:v>
      </ns0:c>
      <ns0:c r="R61">
        <ns0:f>IF(AND(L61=1,O61*Calculations!$B$2&lt;=Calculations!$B$11*Calculations!$B$4),1,0)</ns0:f>
        <ns0:v>0</ns0:v>
      </ns0:c>
    </ns0:row>
    <ns0:row r="62">
      <ns0:c r="A62" t="inlineStr">
        <ns0:is>
          <ns0:t>case_0061</ns0:t>
        </ns0:is>
      </ns0:c>
      <ns0:c r="B62" t="inlineStr">
        <ns0:is>
          <ns0:t>function_0013</ns0:t>
        </ns0:is>
      </ns0:c>
      <ns0:c r="C62" t="inlineStr">
        <ns0:is>
          <ns0:t>run_001</ns0:t>
        </ns0:is>
      </ns0:c>
      <ns0:c r="D62" t="inlineStr">
        <ns0:is>
          <ns0:t>humantime</ns0:t>
        </ns0:is>
      </ns0:c>
      <ns0:c r="E62" t="inlineStr">
        <ns0:is>
          <ns0:t>claude-3-5-haiku-20241022</ns0:t>
        </ns0:is>
      </ns0:c>
      <ns0:c r="F62" t="inlineStr">
        <ns0:is>
          <ns0:t>E0433</ns0:t>
        </ns0:is>
      </ns0:c>
      <ns0:c r="G62" t="n">
        <ns0:v>1</ns0:v>
      </ns0:c>
      <ns0:c r="H62" t="n">
        <ns0:v>0</ns0:v>
      </ns0:c>
      <ns0:c r="I62" t="n">
        <ns0:v>0</ns0:v>
      </ns0:c>
      <ns0:c r="J62" t="n">
        <ns0:v>0</ns0:v>
      </ns0:c>
      <ns0:c r="K62" t="n">
        <ns0:v>0</ns0:v>
      </ns0:c>
      <ns0:c r="L62" t="n">
        <ns0:v>1</ns0:v>
      </ns0:c>
      <ns0:c r="M62" t="n">
        <ns0:v>28070</ns0:v>
      </ns0:c>
      <ns0:c r="N62" t="n">
        <ns0:v>574</ns0:v>
      </ns0:c>
      <ns0:c r="O62" t="n">
        <ns0:v>28644</ns0:v>
      </ns0:c>
      <ns0:c r="P62" t="n">
        <ns0:v>4</ns0:v>
      </ns0:c>
      <ns0:c r="Q62">
        <ns0:f>IF(AND(L62=1,O62*Calculations!$B$2&lt;=Calculations!$B$10*Calculations!$B$4),1,0)</ns0:f>
        <ns0:v>0</ns0:v>
      </ns0:c>
      <ns0:c r="R62">
        <ns0:f>IF(AND(L62=1,O62*Calculations!$B$2&lt;=Calculations!$B$11*Calculations!$B$4),1,0)</ns0:f>
        <ns0:v>1</ns0:v>
      </ns0:c>
    </ns0:row>
    <ns0:row r="63">
      <ns0:c r="A63" t="inlineStr">
        <ns0:is>
          <ns0:t>case_0062</ns0:t>
        </ns0:is>
      </ns0:c>
      <ns0:c r="B63" t="inlineStr">
        <ns0:is>
          <ns0:t>function_0013</ns0:t>
        </ns0:is>
      </ns0:c>
      <ns0:c r="C63" t="inlineStr">
        <ns0:is>
          <ns0:t>run_001</ns0:t>
        </ns0:is>
      </ns0:c>
      <ns0:c r="D63" t="inlineStr">
        <ns0:is>
          <ns0:t>humantime</ns0:t>
        </ns0:is>
      </ns0:c>
      <ns0:c r="E63" t="inlineStr">
        <ns0:is>
          <ns0:t>claude-3-5-haiku-20241022</ns0:t>
        </ns0:is>
      </ns0:c>
      <ns0:c r="F63" t="inlineStr">
        <ns0:is>
          <ns0:t>E0433</ns0:t>
        </ns0:is>
      </ns0:c>
      <ns0:c r="G63" t="n">
        <ns0:v>1</ns0:v>
      </ns0:c>
      <ns0:c r="H63" t="n">
        <ns0:v>0</ns0:v>
      </ns0:c>
      <ns0:c r="I63" t="n">
        <ns0:v>0</ns0:v>
      </ns0:c>
      <ns0:c r="J63" t="n">
        <ns0:v>0</ns0:v>
      </ns0:c>
      <ns0:c r="K63" t="n">
        <ns0:v>0</ns0:v>
      </ns0:c>
      <ns0:c r="L63" t="n">
        <ns0:v>1</ns0:v>
      </ns0:c>
      <ns0:c r="M63" t="n">
        <ns0:v>20257</ns0:v>
      </ns0:c>
      <ns0:c r="N63" t="n">
        <ns0:v>617</ns0:v>
      </ns0:c>
      <ns0:c r="O63" t="n">
        <ns0:v>20874</ns0:v>
      </ns0:c>
      <ns0:c r="P63" t="n">
        <ns0:v>3</ns0:v>
      </ns0:c>
      <ns0:c r="Q63">
        <ns0:f>IF(AND(L63=1,O63*Calculations!$B$2&lt;=Calculations!$B$10*Calculations!$B$4),1,0)</ns0:f>
        <ns0:v>1</ns0:v>
      </ns0:c>
      <ns0:c r="R63">
        <ns0:f>IF(AND(L63=1,O63*Calculations!$B$2&lt;=Calculations!$B$11*Calculations!$B$4),1,0)</ns0:f>
        <ns0:v>1</ns0:v>
      </ns0:c>
    </ns0:row>
    <ns0:row r="64">
      <ns0:c r="A64" t="inlineStr">
        <ns0:is>
          <ns0:t>case_0063</ns0:t>
        </ns0:is>
      </ns0:c>
      <ns0:c r="B64" t="inlineStr">
        <ns0:is>
          <ns0:t>function_0013</ns0:t>
        </ns0:is>
      </ns0:c>
      <ns0:c r="C64" t="inlineStr">
        <ns0:is>
          <ns0:t>run_001</ns0:t>
        </ns0:is>
      </ns0:c>
      <ns0:c r="D64" t="inlineStr">
        <ns0:is>
          <ns0:t>humantime</ns0:t>
        </ns0:is>
      </ns0:c>
      <ns0:c r="E64" t="inlineStr">
        <ns0:is>
          <ns0:t>claude-3-5-haiku-20241022</ns0:t>
        </ns0:is>
      </ns0:c>
      <ns0:c r="F64" t="inlineStr">
        <ns0:is>
          <ns0:t>E0433</ns0:t>
        </ns0:is>
      </ns0:c>
      <ns0:c r="G64" t="n">
        <ns0:v>1</ns0:v>
      </ns0:c>
      <ns0:c r="H64" t="n">
        <ns0:v>0</ns0:v>
      </ns0:c>
      <ns0:c r="I64" t="n">
        <ns0:v>0</ns0:v>
      </ns0:c>
      <ns0:c r="J64" t="n">
        <ns0:v>0</ns0:v>
      </ns0:c>
      <ns0:c r="K64" t="n">
        <ns0:v>0</ns0:v>
      </ns0:c>
      <ns0:c r="L64" t="n">
        <ns0:v>1</ns0:v>
      </ns0:c>
      <ns0:c r="M64" t="n">
        <ns0:v>20276</ns0:v>
      </ns0:c>
      <ns0:c r="N64" t="n">
        <ns0:v>632</ns0:v>
      </ns0:c>
      <ns0:c r="O64" t="n">
        <ns0:v>20908</ns0:v>
      </ns0:c>
      <ns0:c r="P64" t="n">
        <ns0:v>3</ns0:v>
      </ns0:c>
      <ns0:c r="Q64">
        <ns0:f>IF(AND(L64=1,O64*Calculations!$B$2&lt;=Calculations!$B$10*Calculations!$B$4),1,0)</ns0:f>
        <ns0:v>1</ns0:v>
      </ns0:c>
      <ns0:c r="R64">
        <ns0:f>IF(AND(L64=1,O64*Calculations!$B$2&lt;=Calculations!$B$11*Calculations!$B$4),1,0)</ns0:f>
        <ns0:v>1</ns0:v>
      </ns0:c>
    </ns0:row>
    <ns0:row r="65">
      <ns0:c r="A65" t="inlineStr">
        <ns0:is>
          <ns0:t>case_0064</ns0:t>
        </ns0:is>
      </ns0:c>
      <ns0:c r="B65" t="inlineStr">
        <ns0:is>
          <ns0:t>function_0014</ns0:t>
        </ns0:is>
      </ns0:c>
      <ns0:c r="C65" t="inlineStr">
        <ns0:is>
          <ns0:t>run_001</ns0:t>
        </ns0:is>
      </ns0:c>
      <ns0:c r="D65" t="inlineStr">
        <ns0:is>
          <ns0:t>humantime</ns0:t>
        </ns0:is>
      </ns0:c>
      <ns0:c r="E65" t="inlineStr">
        <ns0:is>
          <ns0:t>claude-3-5-haiku-20241022</ns0:t>
        </ns0:is>
      </ns0:c>
      <ns0:c r="F65" t="inlineStr">
        <ns0:is>
          <ns0:t>E0433</ns0:t>
        </ns0:is>
      </ns0:c>
      <ns0:c r="G65" t="n">
        <ns0:v>0</ns0:v>
      </ns0:c>
      <ns0:c r="H65" t="n">
        <ns0:v>3659</ns0:v>
      </ns0:c>
      <ns0:c r="I65" t="n">
        <ns0:v>168</ns0:v>
      </ns0:c>
      <ns0:c r="J65" t="n">
        <ns0:v>3827</ns0:v>
      </ns0:c>
      <ns0:c r="K65" t="n">
        <ns0:v>3</ns0:v>
      </ns0:c>
      <ns0:c r="L65" t="n">
        <ns0:v>1</ns0:v>
      </ns0:c>
      <ns0:c r="M65" t="n">
        <ns0:v>81374</ns0:v>
      </ns0:c>
      <ns0:c r="N65" t="n">
        <ns0:v>1016</ns0:v>
      </ns0:c>
      <ns0:c r="O65" t="n">
        <ns0:v>82390</ns0:v>
      </ns0:c>
      <ns0:c r="P65" t="n">
        <ns0:v>8</ns0:v>
      </ns0:c>
      <ns0:c r="Q65">
        <ns0:f>IF(AND(L65=1,O65*Calculations!$B$2&lt;=Calculations!$B$10*Calculations!$B$4),1,0)</ns0:f>
        <ns0:v>0</ns0:v>
      </ns0:c>
      <ns0:c r="R65">
        <ns0:f>IF(AND(L65=1,O65*Calculations!$B$2&lt;=Calculations!$B$11*Calculations!$B$4),1,0)</ns0:f>
        <ns0:v>0</ns0:v>
      </ns0:c>
    </ns0:row>
    <ns0:row r="66">
      <ns0:c r="A66" t="inlineStr">
        <ns0:is>
          <ns0:t>case_0065</ns0:t>
        </ns0:is>
      </ns0:c>
      <ns0:c r="B66" t="inlineStr">
        <ns0:is>
          <ns0:t>function_0014</ns0:t>
        </ns0:is>
      </ns0:c>
      <ns0:c r="C66" t="inlineStr">
        <ns0:is>
          <ns0:t>run_001</ns0:t>
        </ns0:is>
      </ns0:c>
      <ns0:c r="D66" t="inlineStr">
        <ns0:is>
          <ns0:t>humantime</ns0:t>
        </ns0:is>
      </ns0:c>
      <ns0:c r="E66" t="inlineStr">
        <ns0:is>
          <ns0:t>claude-3-5-haiku-20241022</ns0:t>
        </ns0:is>
      </ns0:c>
      <ns0:c r="F66" t="inlineStr">
        <ns0:is>
          <ns0:t>E0433</ns0:t>
        </ns0:is>
      </ns0:c>
      <ns0:c r="G66" t="n">
        <ns0:v>1</ns0:v>
      </ns0:c>
      <ns0:c r="H66" t="n">
        <ns0:v>2242</ns0:v>
      </ns0:c>
      <ns0:c r="I66" t="n">
        <ns0:v>88</ns0:v>
      </ns0:c>
      <ns0:c r="J66" t="n">
        <ns0:v>2330</ns0:v>
      </ns0:c>
      <ns0:c r="K66" t="n">
        <ns0:v>1</ns0:v>
      </ns0:c>
      <ns0:c r="L66" t="n">
        <ns0:v>1</ns0:v>
      </ns0:c>
      <ns0:c r="M66" t="n">
        <ns0:v>168358</ns0:v>
      </ns0:c>
      <ns0:c r="N66" t="n">
        <ns0:v>1917</ns0:v>
      </ns0:c>
      <ns0:c r="O66" t="n">
        <ns0:v>170275</ns0:v>
      </ns0:c>
      <ns0:c r="P66" t="n">
        <ns0:v>16</ns0:v>
      </ns0:c>
      <ns0:c r="Q66">
        <ns0:f>IF(AND(L66=1,O66*Calculations!$B$2&lt;=Calculations!$B$10*Calculations!$B$4),1,0)</ns0:f>
        <ns0:v>0</ns0:v>
      </ns0:c>
      <ns0:c r="R66">
        <ns0:f>IF(AND(L66=1,O66*Calculations!$B$2&lt;=Calculations!$B$11*Calculations!$B$4),1,0)</ns0:f>
        <ns0:v>0</ns0:v>
      </ns0:c>
    </ns0:row>
    <ns0:row r="67">
      <ns0:c r="A67" t="inlineStr">
        <ns0:is>
          <ns0:t>case_0066</ns0:t>
        </ns0:is>
      </ns0:c>
      <ns0:c r="B67" t="inlineStr">
        <ns0:is>
          <ns0:t>function_0014</ns0:t>
        </ns0:is>
      </ns0:c>
      <ns0:c r="C67" t="inlineStr">
        <ns0:is>
          <ns0:t>run_001</ns0:t>
        </ns0:is>
      </ns0:c>
      <ns0:c r="D67" t="inlineStr">
        <ns0:is>
          <ns0:t>humantime</ns0:t>
        </ns0:is>
      </ns0:c>
      <ns0:c r="E67" t="inlineStr">
        <ns0:is>
          <ns0:t>claude-3-5-haiku-20241022</ns0:t>
        </ns0:is>
      </ns0:c>
      <ns0:c r="F67" t="inlineStr">
        <ns0:is>
          <ns0:t>E0433</ns0:t>
        </ns0:is>
      </ns0:c>
      <ns0:c r="G67" t="n">
        <ns0:v>0</ns0:v>
      </ns0:c>
      <ns0:c r="H67" t="n">
        <ns0:v>3844</ns0:v>
      </ns0:c>
      <ns0:c r="I67" t="n">
        <ns0:v>213</ns0:v>
      </ns0:c>
      <ns0:c r="J67" t="n">
        <ns0:v>4057</ns0:v>
      </ns0:c>
      <ns0:c r="K67" t="n">
        <ns0:v>3</ns0:v>
      </ns0:c>
      <ns0:c r="L67" t="n">
        <ns0:v>1</ns0:v>
      </ns0:c>
      <ns0:c r="M67" t="n">
        <ns0:v>142393</ns0:v>
      </ns0:c>
      <ns0:c r="N67" t="n">
        <ns0:v>1848</ns0:v>
      </ns0:c>
      <ns0:c r="O67" t="n">
        <ns0:v>144241</ns0:v>
      </ns0:c>
      <ns0:c r="P67" t="n">
        <ns0:v>17</ns0:v>
      </ns0:c>
      <ns0:c r="Q67">
        <ns0:f>IF(AND(L67=1,O67*Calculations!$B$2&lt;=Calculations!$B$10*Calculations!$B$4),1,0)</ns0:f>
        <ns0:v>0</ns0:v>
      </ns0:c>
      <ns0:c r="R67">
        <ns0:f>IF(AND(L67=1,O67*Calculations!$B$2&lt;=Calculations!$B$11*Calculations!$B$4),1,0)</ns0:f>
        <ns0:v>0</ns0:v>
      </ns0:c>
    </ns0:row>
    <ns0:row r="68">
      <ns0:c r="A68" t="inlineStr">
        <ns0:is>
          <ns0:t>case_0067</ns0:t>
        </ns0:is>
      </ns0:c>
      <ns0:c r="B68" t="inlineStr">
        <ns0:is>
          <ns0:t>function_0014</ns0:t>
        </ns0:is>
      </ns0:c>
      <ns0:c r="C68" t="inlineStr">
        <ns0:is>
          <ns0:t>run_001</ns0:t>
        </ns0:is>
      </ns0:c>
      <ns0:c r="D68" t="inlineStr">
        <ns0:is>
          <ns0:t>humantime</ns0:t>
        </ns0:is>
      </ns0:c>
      <ns0:c r="E68" t="inlineStr">
        <ns0:is>
          <ns0:t>claude-3-5-haiku-20241022</ns0:t>
        </ns0:is>
      </ns0:c>
      <ns0:c r="F68" t="inlineStr">
        <ns0:is>
          <ns0:t>E0433</ns0:t>
        </ns0:is>
      </ns0:c>
      <ns0:c r="G68" t="n">
        <ns0:v>1</ns0:v>
      </ns0:c>
      <ns0:c r="H68" t="n">
        <ns0:v>0</ns0:v>
      </ns0:c>
      <ns0:c r="I68" t="n">
        <ns0:v>0</ns0:v>
      </ns0:c>
      <ns0:c r="J68" t="n">
        <ns0:v>0</ns0:v>
      </ns0:c>
      <ns0:c r="K68" t="n">
        <ns0:v>0</ns0:v>
      </ns0:c>
      <ns0:c r="L68" t="n">
        <ns0:v>1</ns0:v>
      </ns0:c>
      <ns0:c r="M68" t="n">
        <ns0:v>79262</ns0:v>
      </ns0:c>
      <ns0:c r="N68" t="n">
        <ns0:v>758</ns0:v>
      </ns0:c>
      <ns0:c r="O68" t="n">
        <ns0:v>80020</ns0:v>
      </ns0:c>
      <ns0:c r="P68" t="n">
        <ns0:v>6</ns0:v>
      </ns0:c>
      <ns0:c r="Q68">
        <ns0:f>IF(AND(L68=1,O68*Calculations!$B$2&lt;=Calculations!$B$10*Calculations!$B$4),1,0)</ns0:f>
        <ns0:v>0</ns0:v>
      </ns0:c>
      <ns0:c r="R68">
        <ns0:f>IF(AND(L68=1,O68*Calculations!$B$2&lt;=Calculations!$B$11*Calculations!$B$4),1,0)</ns0:f>
        <ns0:v>0</ns0:v>
      </ns0:c>
    </ns0:row>
    <ns0:row r="69">
      <ns0:c r="A69" t="inlineStr">
        <ns0:is>
          <ns0:t>case_0068</ns0:t>
        </ns0:is>
      </ns0:c>
      <ns0:c r="B69" t="inlineStr">
        <ns0:is>
          <ns0:t>function_0014</ns0:t>
        </ns0:is>
      </ns0:c>
      <ns0:c r="C69" t="inlineStr">
        <ns0:is>
          <ns0:t>run_001</ns0:t>
        </ns0:is>
      </ns0:c>
      <ns0:c r="D69" t="inlineStr">
        <ns0:is>
          <ns0:t>humantime</ns0:t>
        </ns0:is>
      </ns0:c>
      <ns0:c r="E69" t="inlineStr">
        <ns0:is>
          <ns0:t>claude-3-5-haiku-20241022</ns0:t>
        </ns0:is>
      </ns0:c>
      <ns0:c r="F69" t="inlineStr">
        <ns0:is>
          <ns0:t>E0433</ns0:t>
        </ns0:is>
      </ns0:c>
      <ns0:c r="G69" t="n">
        <ns0:v>0</ns0:v>
      </ns0:c>
      <ns0:c r="H69" t="n">
        <ns0:v>3852</ns0:v>
      </ns0:c>
      <ns0:c r="I69" t="n">
        <ns0:v>217</ns0:v>
      </ns0:c>
      <ns0:c r="J69" t="n">
        <ns0:v>4069</ns0:v>
      </ns0:c>
      <ns0:c r="K69" t="n">
        <ns0:v>3</ns0:v>
      </ns0:c>
      <ns0:c r="L69" t="n">
        <ns0:v>1</ns0:v>
      </ns0:c>
      <ns0:c r="M69" t="n">
        <ns0:v>79481</ns0:v>
      </ns0:c>
      <ns0:c r="N69" t="n">
        <ns0:v>3721</ns0:v>
      </ns0:c>
      <ns0:c r="O69" t="n">
        <ns0:v>83202</ns0:v>
      </ns0:c>
      <ns0:c r="P69" t="n">
        <ns0:v>6</ns0:v>
      </ns0:c>
      <ns0:c r="Q69">
        <ns0:f>IF(AND(L69=1,O69*Calculations!$B$2&lt;=Calculations!$B$10*Calculations!$B$4),1,0)</ns0:f>
        <ns0:v>0</ns0:v>
      </ns0:c>
      <ns0:c r="R69">
        <ns0:f>IF(AND(L69=1,O69*Calculations!$B$2&lt;=Calculations!$B$11*Calculations!$B$4),1,0)</ns0:f>
        <ns0:v>0</ns0:v>
      </ns0:c>
    </ns0:row>
    <ns0:row r="70">
      <ns0:c r="A70" t="inlineStr">
        <ns0:is>
          <ns0:t>case_0069</ns0:t>
        </ns0:is>
      </ns0:c>
      <ns0:c r="B70" t="inlineStr">
        <ns0:is>
          <ns0:t>function_0014</ns0:t>
        </ns0:is>
      </ns0:c>
      <ns0:c r="C70" t="inlineStr">
        <ns0:is>
          <ns0:t>run_001</ns0:t>
        </ns0:is>
      </ns0:c>
      <ns0:c r="D70" t="inlineStr">
        <ns0:is>
          <ns0:t>humantime</ns0:t>
        </ns0:is>
      </ns0:c>
      <ns0:c r="E70" t="inlineStr">
        <ns0:is>
          <ns0:t>claude-3-5-haiku-20241022</ns0:t>
        </ns0:is>
      </ns0:c>
      <ns0:c r="F70" t="inlineStr">
        <ns0:is>
          <ns0:t>E0433</ns0:t>
        </ns0:is>
      </ns0:c>
      <ns0:c r="G70" t="n">
        <ns0:v>1</ns0:v>
      </ns0:c>
      <ns0:c r="H70" t="n">
        <ns0:v>0</ns0:v>
      </ns0:c>
      <ns0:c r="I70" t="n">
        <ns0:v>0</ns0:v>
      </ns0:c>
      <ns0:c r="J70" t="n">
        <ns0:v>0</ns0:v>
      </ns0:c>
      <ns0:c r="K70" t="n">
        <ns0:v>0</ns0:v>
      </ns0:c>
      <ns0:c r="L70" t="n">
        <ns0:v>1</ns0:v>
      </ns0:c>
      <ns0:c r="M70" t="n">
        <ns0:v>60504</ns0:v>
      </ns0:c>
      <ns0:c r="N70" t="n">
        <ns0:v>811</ns0:v>
      </ns0:c>
      <ns0:c r="O70" t="n">
        <ns0:v>61315</ns0:v>
      </ns0:c>
      <ns0:c r="P70" t="n">
        <ns0:v>8</ns0:v>
      </ns0:c>
      <ns0:c r="Q70">
        <ns0:f>IF(AND(L70=1,O70*Calculations!$B$2&lt;=Calculations!$B$10*Calculations!$B$4),1,0)</ns0:f>
        <ns0:v>0</ns0:v>
      </ns0:c>
      <ns0:c r="R70">
        <ns0:f>IF(AND(L70=1,O70*Calculations!$B$2&lt;=Calculations!$B$11*Calculations!$B$4),1,0)</ns0:f>
        <ns0:v>0</ns0:v>
      </ns0:c>
    </ns0:row>
    <ns0:row r="71">
      <ns0:c r="A71" t="inlineStr">
        <ns0:is>
          <ns0:t>case_0070</ns0:t>
        </ns0:is>
      </ns0:c>
      <ns0:c r="B71" t="inlineStr">
        <ns0:is>
          <ns0:t>function_0014</ns0:t>
        </ns0:is>
      </ns0:c>
      <ns0:c r="C71" t="inlineStr">
        <ns0:is>
          <ns0:t>run_001</ns0:t>
        </ns0:is>
      </ns0:c>
      <ns0:c r="D71" t="inlineStr">
        <ns0:is>
          <ns0:t>humantime</ns0:t>
        </ns0:is>
      </ns0:c>
      <ns0:c r="E71" t="inlineStr">
        <ns0:is>
          <ns0:t>claude-3-5-haiku-20241022</ns0:t>
        </ns0:is>
      </ns0:c>
      <ns0:c r="F71" t="inlineStr">
        <ns0:is>
          <ns0:t>E0433</ns0:t>
        </ns0:is>
      </ns0:c>
      <ns0:c r="G71" t="n">
        <ns0:v>0</ns0:v>
      </ns0:c>
      <ns0:c r="H71" t="n">
        <ns0:v>3835</ns0:v>
      </ns0:c>
      <ns0:c r="I71" t="n">
        <ns0:v>216</ns0:v>
      </ns0:c>
      <ns0:c r="J71" t="n">
        <ns0:v>4051</ns0:v>
      </ns0:c>
      <ns0:c r="K71" t="n">
        <ns0:v>3</ns0:v>
      </ns0:c>
      <ns0:c r="L71" t="n">
        <ns0:v>1</ns0:v>
      </ns0:c>
      <ns0:c r="M71" t="n">
        <ns0:v>67195</ns0:v>
      </ns0:c>
      <ns0:c r="N71" t="n">
        <ns0:v>661</ns0:v>
      </ns0:c>
      <ns0:c r="O71" t="n">
        <ns0:v>67856</ns0:v>
      </ns0:c>
      <ns0:c r="P71" t="n">
        <ns0:v>8</ns0:v>
      </ns0:c>
      <ns0:c r="Q71">
        <ns0:f>IF(AND(L71=1,O71*Calculations!$B$2&lt;=Calculations!$B$10*Calculations!$B$4),1,0)</ns0:f>
        <ns0:v>0</ns0:v>
      </ns0:c>
      <ns0:c r="R71">
        <ns0:f>IF(AND(L71=1,O71*Calculations!$B$2&lt;=Calculations!$B$11*Calculations!$B$4),1,0)</ns0:f>
        <ns0:v>0</ns0:v>
      </ns0:c>
    </ns0:row>
    <ns0:row r="72">
      <ns0:c r="A72" t="inlineStr">
        <ns0:is>
          <ns0:t>case_0071</ns0:t>
        </ns0:is>
      </ns0:c>
      <ns0:c r="B72" t="inlineStr">
        <ns0:is>
          <ns0:t>function_0014</ns0:t>
        </ns0:is>
      </ns0:c>
      <ns0:c r="C72" t="inlineStr">
        <ns0:is>
          <ns0:t>run_001</ns0:t>
        </ns0:is>
      </ns0:c>
      <ns0:c r="D72" t="inlineStr">
        <ns0:is>
          <ns0:t>humantime</ns0:t>
        </ns0:is>
      </ns0:c>
      <ns0:c r="E72" t="inlineStr">
        <ns0:is>
          <ns0:t>claude-3-5-haiku-20241022</ns0:t>
        </ns0:is>
      </ns0:c>
      <ns0:c r="F72" t="inlineStr">
        <ns0:is>
          <ns0:t>E0433</ns0:t>
        </ns0:is>
      </ns0:c>
      <ns0:c r="G72" t="n">
        <ns0:v>0</ns0:v>
      </ns0:c>
      <ns0:c r="H72" t="n">
        <ns0:v>3852</ns0:v>
      </ns0:c>
      <ns0:c r="I72" t="n">
        <ns0:v>215</ns0:v>
      </ns0:c>
      <ns0:c r="J72" t="n">
        <ns0:v>4067</ns0:v>
      </ns0:c>
      <ns0:c r="K72" t="n">
        <ns0:v>3</ns0:v>
      </ns0:c>
      <ns0:c r="L72" t="n">
        <ns0:v>1</ns0:v>
      </ns0:c>
      <ns0:c r="M72" t="n">
        <ns0:v>109714</ns0:v>
      </ns0:c>
      <ns0:c r="N72" t="n">
        <ns0:v>2714</ns0:v>
      </ns0:c>
      <ns0:c r="O72" t="n">
        <ns0:v>112428</ns0:v>
      </ns0:c>
      <ns0:c r="P72" t="n">
        <ns0:v>8</ns0:v>
      </ns0:c>
      <ns0:c r="Q72">
        <ns0:f>IF(AND(L72=1,O72*Calculations!$B$2&lt;=Calculations!$B$10*Calculations!$B$4),1,0)</ns0:f>
        <ns0:v>0</ns0:v>
      </ns0:c>
      <ns0:c r="R72">
        <ns0:f>IF(AND(L72=1,O72*Calculations!$B$2&lt;=Calculations!$B$11*Calculations!$B$4),1,0)</ns0:f>
        <ns0:v>0</ns0:v>
      </ns0:c>
    </ns0:row>
    <ns0:row r="73">
      <ns0:c r="A73" t="inlineStr">
        <ns0:is>
          <ns0:t>case_0072</ns0:t>
        </ns0:is>
      </ns0:c>
      <ns0:c r="B73" t="inlineStr">
        <ns0:is>
          <ns0:t>function_0014</ns0:t>
        </ns0:is>
      </ns0:c>
      <ns0:c r="C73" t="inlineStr">
        <ns0:is>
          <ns0:t>run_001</ns0:t>
        </ns0:is>
      </ns0:c>
      <ns0:c r="D73" t="inlineStr">
        <ns0:is>
          <ns0:t>humantime</ns0:t>
        </ns0:is>
      </ns0:c>
      <ns0:c r="E73" t="inlineStr">
        <ns0:is>
          <ns0:t>claude-3-5-haiku-20241022</ns0:t>
        </ns0:is>
      </ns0:c>
      <ns0:c r="F73" t="inlineStr">
        <ns0:is>
          <ns0:t>E0432</ns0:t>
        </ns0:is>
      </ns0:c>
      <ns0:c r="G73" t="n">
        <ns0:v>0</ns0:v>
      </ns0:c>
      <ns0:c r="H73" t="n">
        <ns0:v>3963</ns0:v>
      </ns0:c>
      <ns0:c r="I73" t="n">
        <ns0:v>216</ns0:v>
      </ns0:c>
      <ns0:c r="J73" t="n">
        <ns0:v>4179</ns0:v>
      </ns0:c>
      <ns0:c r="K73" t="n">
        <ns0:v>3</ns0:v>
      </ns0:c>
      <ns0:c r="L73" t="n">
        <ns0:v>1</ns0:v>
      </ns0:c>
      <ns0:c r="M73" t="n">
        <ns0:v>96351</ns0:v>
      </ns0:c>
      <ns0:c r="N73" t="n">
        <ns0:v>2158</ns0:v>
      </ns0:c>
      <ns0:c r="O73" t="n">
        <ns0:v>98509</ns0:v>
      </ns0:c>
      <ns0:c r="P73" t="n">
        <ns0:v>11</ns0:v>
      </ns0:c>
      <ns0:c r="Q73">
        <ns0:f>IF(AND(L73=1,O73*Calculations!$B$2&lt;=Calculations!$B$10*Calculations!$B$4),1,0)</ns0:f>
        <ns0:v>0</ns0:v>
      </ns0:c>
      <ns0:c r="R73">
        <ns0:f>IF(AND(L73=1,O73*Calculations!$B$2&lt;=Calculations!$B$11*Calculations!$B$4),1,0)</ns0:f>
        <ns0:v>0</ns0:v>
      </ns0:c>
    </ns0:row>
    <ns0:row r="74">
      <ns0:c r="A74" t="inlineStr">
        <ns0:is>
          <ns0:t>case_0073</ns0:t>
        </ns0:is>
      </ns0:c>
      <ns0:c r="B74" t="inlineStr">
        <ns0:is>
          <ns0:t>function_0014</ns0:t>
        </ns0:is>
      </ns0:c>
      <ns0:c r="C74" t="inlineStr">
        <ns0:is>
          <ns0:t>run_001</ns0:t>
        </ns0:is>
      </ns0:c>
      <ns0:c r="D74" t="inlineStr">
        <ns0:is>
          <ns0:t>humantime</ns0:t>
        </ns0:is>
      </ns0:c>
      <ns0:c r="E74" t="inlineStr">
        <ns0:is>
          <ns0:t>claude-3-5-haiku-20241022</ns0:t>
        </ns0:is>
      </ns0:c>
      <ns0:c r="F74" t="inlineStr">
        <ns0:is>
          <ns0:t>E0433</ns0:t>
        </ns0:is>
      </ns0:c>
      <ns0:c r="G74" t="n">
        <ns0:v>0</ns0:v>
      </ns0:c>
      <ns0:c r="H74" t="n">
        <ns0:v>3838</ns0:v>
      </ns0:c>
      <ns0:c r="I74" t="n">
        <ns0:v>208</ns0:v>
      </ns0:c>
      <ns0:c r="J74" t="n">
        <ns0:v>4046</ns0:v>
      </ns0:c>
      <ns0:c r="K74" t="n">
        <ns0:v>3</ns0:v>
      </ns0:c>
      <ns0:c r="L74" t="n">
        <ns0:v>1</ns0:v>
      </ns0:c>
      <ns0:c r="M74" t="n">
        <ns0:v>64878</ns0:v>
      </ns0:c>
      <ns0:c r="N74" t="n">
        <ns0:v>821</ns0:v>
      </ns0:c>
      <ns0:c r="O74" t="n">
        <ns0:v>65699</ns0:v>
      </ns0:c>
      <ns0:c r="P74" t="n">
        <ns0:v>6</ns0:v>
      </ns0:c>
      <ns0:c r="Q74">
        <ns0:f>IF(AND(L74=1,O74*Calculations!$B$2&lt;=Calculations!$B$10*Calculations!$B$4),1,0)</ns0:f>
        <ns0:v>0</ns0:v>
      </ns0:c>
      <ns0:c r="R74">
        <ns0:f>IF(AND(L74=1,O74*Calculations!$B$2&lt;=Calculations!$B$11*Calculations!$B$4),1,0)</ns0:f>
        <ns0:v>0</ns0:v>
      </ns0:c>
    </ns0:row>
    <ns0:row r="75">
      <ns0:c r="A75" t="inlineStr">
        <ns0:is>
          <ns0:t>case_0074</ns0:t>
        </ns0:is>
      </ns0:c>
      <ns0:c r="B75" t="inlineStr">
        <ns0:is>
          <ns0:t>function_0014</ns0:t>
        </ns0:is>
      </ns0:c>
      <ns0:c r="C75" t="inlineStr">
        <ns0:is>
          <ns0:t>run_001</ns0:t>
        </ns0:is>
      </ns0:c>
      <ns0:c r="D75" t="inlineStr">
        <ns0:is>
          <ns0:t>humantime</ns0:t>
        </ns0:is>
      </ns0:c>
      <ns0:c r="E75" t="inlineStr">
        <ns0:is>
          <ns0:t>claude-3-5-haiku-20241022</ns0:t>
        </ns0:is>
      </ns0:c>
      <ns0:c r="F75" t="inlineStr">
        <ns0:is>
          <ns0:t>E0599</ns0:t>
        </ns0:is>
      </ns0:c>
      <ns0:c r="G75" t="n">
        <ns0:v>1</ns0:v>
      </ns0:c>
      <ns0:c r="H75" t="n">
        <ns0:v>1721</ns0:v>
      </ns0:c>
      <ns0:c r="I75" t="n">
        <ns0:v>71</ns0:v>
      </ns0:c>
      <ns0:c r="J75" t="n">
        <ns0:v>1792</ns0:v>
      </ns0:c>
      <ns0:c r="K75" t="n">
        <ns0:v>1</ns0:v>
      </ns0:c>
      <ns0:c r="L75" t="n">
        <ns0:v>0</ns0:v>
      </ns0:c>
      <ns0:c r="M75" t="n">
        <ns0:v>27636</ns0:v>
      </ns0:c>
      <ns0:c r="N75" t="n">
        <ns0:v>557</ns0:v>
      </ns0:c>
      <ns0:c r="O75" t="n">
        <ns0:v>28193</ns0:v>
      </ns0:c>
      <ns0:c r="P75" t="n">
        <ns0:v>4</ns0:v>
      </ns0:c>
      <ns0:c r="Q75">
        <ns0:f>IF(AND(L75=1,O75*Calculations!$B$2&lt;=Calculations!$B$10*Calculations!$B$4),1,0)</ns0:f>
        <ns0:v>0</ns0:v>
      </ns0:c>
      <ns0:c r="R75">
        <ns0:f>IF(AND(L75=1,O75*Calculations!$B$2&lt;=Calculations!$B$11*Calculations!$B$4),1,0)</ns0:f>
        <ns0:v>0</ns0:v>
      </ns0:c>
    </ns0:row>
    <ns0:row r="76">
      <ns0:c r="A76" t="inlineStr">
        <ns0:is>
          <ns0:t>case_0075</ns0:t>
        </ns0:is>
      </ns0:c>
      <ns0:c r="B76" t="inlineStr">
        <ns0:is>
          <ns0:t>function_0014</ns0:t>
        </ns0:is>
      </ns0:c>
      <ns0:c r="C76" t="inlineStr">
        <ns0:is>
          <ns0:t>run_001</ns0:t>
        </ns0:is>
      </ns0:c>
      <ns0:c r="D76" t="inlineStr">
        <ns0:is>
          <ns0:t>humantime</ns0:t>
        </ns0:is>
      </ns0:c>
      <ns0:c r="E76" t="inlineStr">
        <ns0:is>
          <ns0:t>claude-3-5-haiku-20241022</ns0:t>
        </ns0:is>
      </ns0:c>
      <ns0:c r="F76" t="inlineStr">
        <ns0:is>
          <ns0:t>E0433</ns0:t>
        </ns0:is>
      </ns0:c>
      <ns0:c r="G76" t="n">
        <ns0:v>0</ns0:v>
      </ns0:c>
      <ns0:c r="H76" t="n">
        <ns0:v>3710</ns0:v>
      </ns0:c>
      <ns0:c r="I76" t="n">
        <ns0:v>179</ns0:v>
      </ns0:c>
      <ns0:c r="J76" t="n">
        <ns0:v>3889</ns0:v>
      </ns0:c>
      <ns0:c r="K76" t="n">
        <ns0:v>3</ns0:v>
      </ns0:c>
      <ns0:c r="L76" t="n">
        <ns0:v>0</ns0:v>
      </ns0:c>
      <ns0:c r="M76" t="n">
        <ns0:v>93757</ns0:v>
      </ns0:c>
      <ns0:c r="N76" t="n">
        <ns0:v>596</ns0:v>
      </ns0:c>
      <ns0:c r="O76" t="n">
        <ns0:v>94353</ns0:v>
      </ns0:c>
      <ns0:c r="P76" t="n">
        <ns0:v>7</ns0:v>
      </ns0:c>
      <ns0:c r="Q76">
        <ns0:f>IF(AND(L76=1,O76*Calculations!$B$2&lt;=Calculations!$B$10*Calculations!$B$4),1,0)</ns0:f>
        <ns0:v>0</ns0:v>
      </ns0:c>
      <ns0:c r="R76">
        <ns0:f>IF(AND(L76=1,O76*Calculations!$B$2&lt;=Calculations!$B$11*Calculations!$B$4),1,0)</ns0:f>
        <ns0:v>0</ns0:v>
      </ns0:c>
    </ns0:row>
    <ns0:row r="77">
      <ns0:c r="A77" t="inlineStr">
        <ns0:is>
          <ns0:t>case_0076</ns0:t>
        </ns0:is>
      </ns0:c>
      <ns0:c r="B77" t="inlineStr">
        <ns0:is>
          <ns0:t>function_0015</ns0:t>
        </ns0:is>
      </ns0:c>
      <ns0:c r="C77" t="inlineStr">
        <ns0:is>
          <ns0:t>run_001</ns0:t>
        </ns0:is>
      </ns0:c>
      <ns0:c r="D77" t="inlineStr">
        <ns0:is>
          <ns0:t>humantime</ns0:t>
        </ns0:is>
      </ns0:c>
      <ns0:c r="E77" t="inlineStr">
        <ns0:is>
          <ns0:t>claude-3-5-haiku-20241022</ns0:t>
        </ns0:is>
      </ns0:c>
      <ns0:c r="F77" t="inlineStr">
        <ns0:is>
          <ns0:t>E0433</ns0:t>
        </ns0:is>
      </ns0:c>
      <ns0:c r="G77" t="n">
        <ns0:v>1</ns0:v>
      </ns0:c>
      <ns0:c r="H77" t="n">
        <ns0:v>2235</ns0:v>
      </ns0:c>
      <ns0:c r="I77" t="n">
        <ns0:v>110</ns0:v>
      </ns0:c>
      <ns0:c r="J77" t="n">
        <ns0:v>2345</ns0:v>
      </ns0:c>
      <ns0:c r="K77" t="n">
        <ns0:v>1</ns0:v>
      </ns0:c>
      <ns0:c r="L77" t="n">
        <ns0:v>1</ns0:v>
      </ns0:c>
      <ns0:c r="M77" t="n">
        <ns0:v>79492</ns0:v>
      </ns0:c>
      <ns0:c r="N77" t="n">
        <ns0:v>641</ns0:v>
      </ns0:c>
      <ns0:c r="O77" t="n">
        <ns0:v>80133</ns0:v>
      </ns0:c>
      <ns0:c r="P77" t="n">
        <ns0:v>6</ns0:v>
      </ns0:c>
      <ns0:c r="Q77">
        <ns0:f>IF(AND(L77=1,O77*Calculations!$B$2&lt;=Calculations!$B$10*Calculations!$B$4),1,0)</ns0:f>
        <ns0:v>0</ns0:v>
      </ns0:c>
      <ns0:c r="R77">
        <ns0:f>IF(AND(L77=1,O77*Calculations!$B$2&lt;=Calculations!$B$11*Calculations!$B$4),1,0)</ns0:f>
        <ns0:v>0</ns0:v>
      </ns0:c>
    </ns0:row>
    <ns0:row r="78">
      <ns0:c r="A78" t="inlineStr">
        <ns0:is>
          <ns0:t>case_0077</ns0:t>
        </ns0:is>
      </ns0:c>
      <ns0:c r="B78" t="inlineStr">
        <ns0:is>
          <ns0:t>function_0015</ns0:t>
        </ns0:is>
      </ns0:c>
      <ns0:c r="C78" t="inlineStr">
        <ns0:is>
          <ns0:t>run_001</ns0:t>
        </ns0:is>
      </ns0:c>
      <ns0:c r="D78" t="inlineStr">
        <ns0:is>
          <ns0:t>humantime</ns0:t>
        </ns0:is>
      </ns0:c>
      <ns0:c r="E78" t="inlineStr">
        <ns0:is>
          <ns0:t>claude-3-5-haiku-20241022</ns0:t>
        </ns0:is>
      </ns0:c>
      <ns0:c r="F78" t="inlineStr">
        <ns0:is>
          <ns0:t>E0560</ns0:t>
        </ns0:is>
      </ns0:c>
      <ns0:c r="G78" t="n">
        <ns0:v>1</ns0:v>
      </ns0:c>
      <ns0:c r="H78" t="n">
        <ns0:v>1741</ns0:v>
      </ns0:c>
      <ns0:c r="I78" t="n">
        <ns0:v>96</ns0:v>
      </ns0:c>
      <ns0:c r="J78" t="n">
        <ns0:v>1837</ns0:v>
      </ns0:c>
      <ns0:c r="K78" t="n">
        <ns0:v>1</ns0:v>
      </ns0:c>
      <ns0:c r="L78" t="n">
        <ns0:v>1</ns0:v>
      </ns0:c>
      <ns0:c r="M78" t="n">
        <ns0:v>48752</ns0:v>
      </ns0:c>
      <ns0:c r="N78" t="n">
        <ns0:v>445</ns0:v>
      </ns0:c>
      <ns0:c r="O78" t="n">
        <ns0:v>49197</ns0:v>
      </ns0:c>
      <ns0:c r="P78" t="n">
        <ns0:v>7</ns0:v>
      </ns0:c>
      <ns0:c r="Q78">
        <ns0:f>IF(AND(L78=1,O78*Calculations!$B$2&lt;=Calculations!$B$10*Calculations!$B$4),1,0)</ns0:f>
        <ns0:v>0</ns0:v>
      </ns0:c>
      <ns0:c r="R78">
        <ns0:f>IF(AND(L78=1,O78*Calculations!$B$2&lt;=Calculations!$B$11*Calculations!$B$4),1,0)</ns0:f>
        <ns0:v>0</ns0:v>
      </ns0:c>
    </ns0:row>
    <ns0:row r="79">
      <ns0:c r="A79" t="inlineStr">
        <ns0:is>
          <ns0:t>case_0078</ns0:t>
        </ns0:is>
      </ns0:c>
      <ns0:c r="B79" t="inlineStr">
        <ns0:is>
          <ns0:t>function_0015</ns0:t>
        </ns0:is>
      </ns0:c>
      <ns0:c r="C79" t="inlineStr">
        <ns0:is>
          <ns0:t>run_001</ns0:t>
        </ns0:is>
      </ns0:c>
      <ns0:c r="D79" t="inlineStr">
        <ns0:is>
          <ns0:t>humantime</ns0:t>
        </ns0:is>
      </ns0:c>
      <ns0:c r="E79" t="inlineStr">
        <ns0:is>
          <ns0:t>claude-3-5-haiku-20241022</ns0:t>
        </ns0:is>
      </ns0:c>
      <ns0:c r="F79" t="inlineStr">
        <ns0:is>
          <ns0:t>E0063</ns0:t>
        </ns0:is>
      </ns0:c>
      <ns0:c r="G79" t="n">
        <ns0:v>1</ns0:v>
      </ns0:c>
      <ns0:c r="H79" t="n">
        <ns0:v>1631</ns0:v>
      </ns0:c>
      <ns0:c r="I79" t="n">
        <ns0:v>93</ns0:v>
      </ns0:c>
      <ns0:c r="J79" t="n">
        <ns0:v>1724</ns0:v>
      </ns0:c>
      <ns0:c r="K79" t="n">
        <ns0:v>1</ns0:v>
      </ns0:c>
      <ns0:c r="L79" t="n">
        <ns0:v>1</ns0:v>
      </ns0:c>
      <ns0:c r="M79" t="n">
        <ns0:v>49216</ns0:v>
      </ns0:c>
      <ns0:c r="N79" t="n">
        <ns0:v>463</ns0:v>
      </ns0:c>
      <ns0:c r="O79" t="n">
        <ns0:v>49679</ns0:v>
      </ns0:c>
      <ns0:c r="P79" t="n">
        <ns0:v>4</ns0:v>
      </ns0:c>
      <ns0:c r="Q79">
        <ns0:f>IF(AND(L79=1,O79*Calculations!$B$2&lt;=Calculations!$B$10*Calculations!$B$4),1,0)</ns0:f>
        <ns0:v>0</ns0:v>
      </ns0:c>
      <ns0:c r="R79">
        <ns0:f>IF(AND(L79=1,O79*Calculations!$B$2&lt;=Calculations!$B$11*Calculations!$B$4),1,0)</ns0:f>
        <ns0:v>0</ns0:v>
      </ns0:c>
    </ns0:row>
    <ns0:row r="80">
      <ns0:c r="A80" t="inlineStr">
        <ns0:is>
          <ns0:t>case_0079</ns0:t>
        </ns0:is>
      </ns0:c>
      <ns0:c r="B80" t="inlineStr">
        <ns0:is>
          <ns0:t>function_0015</ns0:t>
        </ns0:is>
      </ns0:c>
      <ns0:c r="C80" t="inlineStr">
        <ns0:is>
          <ns0:t>run_001</ns0:t>
        </ns0:is>
      </ns0:c>
      <ns0:c r="D80" t="inlineStr">
        <ns0:is>
          <ns0:t>humantime</ns0:t>
        </ns0:is>
      </ns0:c>
      <ns0:c r="E80" t="inlineStr">
        <ns0:is>
          <ns0:t>claude-3-5-haiku-20241022</ns0:t>
        </ns0:is>
      </ns0:c>
      <ns0:c r="F80" t="inlineStr">
        <ns0:is>
          <ns0:t>E0063</ns0:t>
        </ns0:is>
      </ns0:c>
      <ns0:c r="G80" t="n">
        <ns0:v>1</ns0:v>
      </ns0:c>
      <ns0:c r="H80" t="n">
        <ns0:v>1644</ns0:v>
      </ns0:c>
      <ns0:c r="I80" t="n">
        <ns0:v>99</ns0:v>
      </ns0:c>
      <ns0:c r="J80" t="n">
        <ns0:v>1743</ns0:v>
      </ns0:c>
      <ns0:c r="K80" t="n">
        <ns0:v>1</ns0:v>
      </ns0:c>
      <ns0:c r="L80" t="n">
        <ns0:v>1</ns0:v>
      </ns0:c>
      <ns0:c r="M80" t="n">
        <ns0:v>49261</ns0:v>
      </ns0:c>
      <ns0:c r="N80" t="n">
        <ns0:v>288</ns0:v>
      </ns0:c>
      <ns0:c r="O80" t="n">
        <ns0:v>49549</ns0:v>
      </ns0:c>
      <ns0:c r="P80" t="n">
        <ns0:v>4</ns0:v>
      </ns0:c>
      <ns0:c r="Q80">
        <ns0:f>IF(AND(L80=1,O80*Calculations!$B$2&lt;=Calculations!$B$10*Calculations!$B$4),1,0)</ns0:f>
        <ns0:v>0</ns0:v>
      </ns0:c>
      <ns0:c r="R80">
        <ns0:f>IF(AND(L80=1,O80*Calculations!$B$2&lt;=Calculations!$B$11*Calculations!$B$4),1,0)</ns0:f>
        <ns0:v>0</ns0:v>
      </ns0:c>
    </ns0:row>
    <ns0:row r="81">
      <ns0:c r="A81" t="inlineStr">
        <ns0:is>
          <ns0:t>case_0080</ns0:t>
        </ns0:is>
      </ns0:c>
      <ns0:c r="B81" t="inlineStr">
        <ns0:is>
          <ns0:t>function_0015</ns0:t>
        </ns0:is>
      </ns0:c>
      <ns0:c r="C81" t="inlineStr">
        <ns0:is>
          <ns0:t>run_001</ns0:t>
        </ns0:is>
      </ns0:c>
      <ns0:c r="D81" t="inlineStr">
        <ns0:is>
          <ns0:t>humantime</ns0:t>
        </ns0:is>
      </ns0:c>
      <ns0:c r="E81" t="inlineStr">
        <ns0:is>
          <ns0:t>claude-3-5-haiku-20241022</ns0:t>
        </ns0:is>
      </ns0:c>
      <ns0:c r="F81" t="inlineStr">
        <ns0:is>
          <ns0:t>E0063</ns0:t>
        </ns0:is>
      </ns0:c>
      <ns0:c r="G81" t="n">
        <ns0:v>1</ns0:v>
      </ns0:c>
      <ns0:c r="H81" t="n">
        <ns0:v>1644</ns0:v>
      </ns0:c>
      <ns0:c r="I81" t="n">
        <ns0:v>99</ns0:v>
      </ns0:c>
      <ns0:c r="J81" t="n">
        <ns0:v>1743</ns0:v>
      </ns0:c>
      <ns0:c r="K81" t="n">
        <ns0:v>1</ns0:v>
      </ns0:c>
      <ns0:c r="L81" t="n">
        <ns0:v>1</ns0:v>
      </ns0:c>
      <ns0:c r="M81" t="n">
        <ns0:v>49253</ns0:v>
      </ns0:c>
      <ns0:c r="N81" t="n">
        <ns0:v>285</ns0:v>
      </ns0:c>
      <ns0:c r="O81" t="n">
        <ns0:v>49538</ns0:v>
      </ns0:c>
      <ns0:c r="P81" t="n">
        <ns0:v>4</ns0:v>
      </ns0:c>
      <ns0:c r="Q81">
        <ns0:f>IF(AND(L81=1,O81*Calculations!$B$2&lt;=Calculations!$B$10*Calculations!$B$4),1,0)</ns0:f>
        <ns0:v>0</ns0:v>
      </ns0:c>
      <ns0:c r="R81">
        <ns0:f>IF(AND(L81=1,O81*Calculations!$B$2&lt;=Calculations!$B$11*Calculations!$B$4),1,0)</ns0:f>
        <ns0:v>0</ns0:v>
      </ns0:c>
    </ns0:row>
    <ns0:row r="82">
      <ns0:c r="A82" t="inlineStr">
        <ns0:is>
          <ns0:t>case_0081</ns0:t>
        </ns0:is>
      </ns0:c>
      <ns0:c r="B82" t="inlineStr">
        <ns0:is>
          <ns0:t>function_0015</ns0:t>
        </ns0:is>
      </ns0:c>
      <ns0:c r="C82" t="inlineStr">
        <ns0:is>
          <ns0:t>run_001</ns0:t>
        </ns0:is>
      </ns0:c>
      <ns0:c r="D82" t="inlineStr">
        <ns0:is>
          <ns0:t>humantime</ns0:t>
        </ns0:is>
      </ns0:c>
      <ns0:c r="E82" t="inlineStr">
        <ns0:is>
          <ns0:t>claude-3-5-haiku-20241022</ns0:t>
        </ns0:is>
      </ns0:c>
      <ns0:c r="F82" t="inlineStr">
        <ns0:is>
          <ns0:t>E0433</ns0:t>
        </ns0:is>
      </ns0:c>
      <ns0:c r="G82" t="n">
        <ns0:v>1</ns0:v>
      </ns0:c>
      <ns0:c r="H82" t="n">
        <ns0:v>2566</ns0:v>
      </ns0:c>
      <ns0:c r="I82" t="n">
        <ns0:v>104</ns0:v>
      </ns0:c>
      <ns0:c r="J82" t="n">
        <ns0:v>2670</ns0:v>
      </ns0:c>
      <ns0:c r="K82" t="n">
        <ns0:v>1</ns0:v>
      </ns0:c>
      <ns0:c r="L82" t="n">
        <ns0:v>0</ns0:v>
      </ns0:c>
      <ns0:c r="M82" t="n">
        <ns0:v>195284</ns0:v>
      </ns0:c>
      <ns0:c r="N82" t="n">
        <ns0:v>1914</ns0:v>
      </ns0:c>
      <ns0:c r="O82" t="n">
        <ns0:v>197198</ns0:v>
      </ns0:c>
      <ns0:c r="P82" t="n">
        <ns0:v>20</ns0:v>
      </ns0:c>
      <ns0:c r="Q82">
        <ns0:f>IF(AND(L82=1,O82*Calculations!$B$2&lt;=Calculations!$B$10*Calculations!$B$4),1,0)</ns0:f>
        <ns0:v>0</ns0:v>
      </ns0:c>
      <ns0:c r="R82">
        <ns0:f>IF(AND(L82=1,O82*Calculations!$B$2&lt;=Calculations!$B$11*Calculations!$B$4),1,0)</ns0:f>
        <ns0:v>0</ns0:v>
      </ns0:c>
    </ns0:row>
    <ns0:row r="83">
      <ns0:c r="A83" t="inlineStr">
        <ns0:is>
          <ns0:t>case_0082</ns0:t>
        </ns0:is>
      </ns0:c>
      <ns0:c r="B83" t="inlineStr">
        <ns0:is>
          <ns0:t>function_0015</ns0:t>
        </ns0:is>
      </ns0:c>
      <ns0:c r="C83" t="inlineStr">
        <ns0:is>
          <ns0:t>run_001</ns0:t>
        </ns0:is>
      </ns0:c>
      <ns0:c r="D83" t="inlineStr">
        <ns0:is>
          <ns0:t>humantime</ns0:t>
        </ns0:is>
      </ns0:c>
      <ns0:c r="E83" t="inlineStr">
        <ns0:is>
          <ns0:t>claude-3-5-haiku-20241022</ns0:t>
        </ns0:is>
      </ns0:c>
      <ns0:c r="F83" t="inlineStr">
        <ns0:is>
          <ns0:t>E0599</ns0:t>
        </ns0:is>
      </ns0:c>
      <ns0:c r="G83" t="n">
        <ns0:v>0</ns0:v>
      </ns0:c>
      <ns0:c r="H83" t="n">
        <ns0:v>3848</ns0:v>
      </ns0:c>
      <ns0:c r="I83" t="n">
        <ns0:v>249</ns0:v>
      </ns0:c>
      <ns0:c r="J83" t="n">
        <ns0:v>4097</ns0:v>
      </ns0:c>
      <ns0:c r="K83" t="n">
        <ns0:v>3</ns0:v>
      </ns0:c>
      <ns0:c r="L83" t="n">
        <ns0:v>0</ns0:v>
      </ns0:c>
      <ns0:c r="M83" t="n">
        <ns0:v>183010</ns0:v>
      </ns0:c>
      <ns0:c r="N83" t="n">
        <ns0:v>4105</ns0:v>
      </ns0:c>
      <ns0:c r="O83" t="n">
        <ns0:v>187115</ns0:v>
      </ns0:c>
      <ns0:c r="P83" t="n">
        <ns0:v>20</ns0:v>
      </ns0:c>
      <ns0:c r="Q83">
        <ns0:f>IF(AND(L83=1,O83*Calculations!$B$2&lt;=Calculations!$B$10*Calculations!$B$4),1,0)</ns0:f>
        <ns0:v>0</ns0:v>
      </ns0:c>
      <ns0:c r="R83">
        <ns0:f>IF(AND(L83=1,O83*Calculations!$B$2&lt;=Calculations!$B$11*Calculations!$B$4),1,0)</ns0:f>
        <ns0:v>0</ns0:v>
      </ns0:c>
    </ns0:row>
    <ns0:row r="84">
      <ns0:c r="A84" t="inlineStr">
        <ns0:is>
          <ns0:t>case_0083</ns0:t>
        </ns0:is>
      </ns0:c>
      <ns0:c r="B84" t="inlineStr">
        <ns0:is>
          <ns0:t>function_0015</ns0:t>
        </ns0:is>
      </ns0:c>
      <ns0:c r="C84" t="inlineStr">
        <ns0:is>
          <ns0:t>run_001</ns0:t>
        </ns0:is>
      </ns0:c>
      <ns0:c r="D84" t="inlineStr">
        <ns0:is>
          <ns0:t>humantime</ns0:t>
        </ns0:is>
      </ns0:c>
      <ns0:c r="E84" t="inlineStr">
        <ns0:is>
          <ns0:t>claude-3-5-haiku-20241022</ns0:t>
        </ns0:is>
      </ns0:c>
      <ns0:c r="F84" t="inlineStr">
        <ns0:is>
          <ns0:t>E0433</ns0:t>
        </ns0:is>
      </ns0:c>
      <ns0:c r="G84" t="n">
        <ns0:v>1</ns0:v>
      </ns0:c>
      <ns0:c r="H84" t="n">
        <ns0:v>2486</ns0:v>
      </ns0:c>
      <ns0:c r="I84" t="n">
        <ns0:v>114</ns0:v>
      </ns0:c>
      <ns0:c r="J84" t="n">
        <ns0:v>2600</ns0:v>
      </ns0:c>
      <ns0:c r="K84" t="n">
        <ns0:v>1</ns0:v>
      </ns0:c>
      <ns0:c r="L84" t="n">
        <ns0:v>1</ns0:v>
      </ns0:c>
      <ns0:c r="M84" t="n">
        <ns0:v>144112</ns0:v>
      </ns0:c>
      <ns0:c r="N84" t="n">
        <ns0:v>906</ns0:v>
      </ns0:c>
      <ns0:c r="O84" t="n">
        <ns0:v>145018</ns0:v>
      </ns0:c>
      <ns0:c r="P84" t="n">
        <ns0:v>10</ns0:v>
      </ns0:c>
      <ns0:c r="Q84">
        <ns0:f>IF(AND(L84=1,O84*Calculations!$B$2&lt;=Calculations!$B$10*Calculations!$B$4),1,0)</ns0:f>
        <ns0:v>0</ns0:v>
      </ns0:c>
      <ns0:c r="R84">
        <ns0:f>IF(AND(L84=1,O84*Calculations!$B$2&lt;=Calculations!$B$11*Calculations!$B$4),1,0)</ns0:f>
        <ns0:v>0</ns0:v>
      </ns0:c>
    </ns0:row>
    <ns0:row r="85">
      <ns0:c r="A85" t="inlineStr">
        <ns0:is>
          <ns0:t>case_0084</ns0:t>
        </ns0:is>
      </ns0:c>
      <ns0:c r="B85" t="inlineStr">
        <ns0:is>
          <ns0:t>function_0015</ns0:t>
        </ns0:is>
      </ns0:c>
      <ns0:c r="C85" t="inlineStr">
        <ns0:is>
          <ns0:t>run_001</ns0:t>
        </ns0:is>
      </ns0:c>
      <ns0:c r="D85" t="inlineStr">
        <ns0:is>
          <ns0:t>humantime</ns0:t>
        </ns0:is>
      </ns0:c>
      <ns0:c r="E85" t="inlineStr">
        <ns0:is>
          <ns0:t>claude-3-5-haiku-20241022</ns0:t>
        </ns0:is>
      </ns0:c>
      <ns0:c r="F85" t="inlineStr">
        <ns0:is>
          <ns0:t>E0433</ns0:t>
        </ns0:is>
      </ns0:c>
      <ns0:c r="G85" t="n">
        <ns0:v>1</ns0:v>
      </ns0:c>
      <ns0:c r="H85" t="n">
        <ns0:v>2377</ns0:v>
      </ns0:c>
      <ns0:c r="I85" t="n">
        <ns0:v>111</ns0:v>
      </ns0:c>
      <ns0:c r="J85" t="n">
        <ns0:v>2488</ns0:v>
      </ns0:c>
      <ns0:c r="K85" t="n">
        <ns0:v>1</ns0:v>
      </ns0:c>
      <ns0:c r="L85" t="n">
        <ns0:v>1</ns0:v>
      </ns0:c>
      <ns0:c r="M85" t="n">
        <ns0:v>51548</ns0:v>
      </ns0:c>
      <ns0:c r="N85" t="n">
        <ns0:v>477</ns0:v>
      </ns0:c>
      <ns0:c r="O85" t="n">
        <ns0:v>52025</ns0:v>
      </ns0:c>
      <ns0:c r="P85" t="n">
        <ns0:v>7</ns0:v>
      </ns0:c>
      <ns0:c r="Q85">
        <ns0:f>IF(AND(L85=1,O85*Calculations!$B$2&lt;=Calculations!$B$10*Calculations!$B$4),1,0)</ns0:f>
        <ns0:v>0</ns0:v>
      </ns0:c>
      <ns0:c r="R85">
        <ns0:f>IF(AND(L85=1,O85*Calculations!$B$2&lt;=Calculations!$B$11*Calculations!$B$4),1,0)</ns0:f>
        <ns0:v>0</ns0:v>
      </ns0:c>
    </ns0:row>
    <ns0:row r="86">
      <ns0:c r="A86" t="inlineStr">
        <ns0:is>
          <ns0:t>case_0085</ns0:t>
        </ns0:is>
      </ns0:c>
      <ns0:c r="B86" t="inlineStr">
        <ns0:is>
          <ns0:t>function_0015</ns0:t>
        </ns0:is>
      </ns0:c>
      <ns0:c r="C86" t="inlineStr">
        <ns0:is>
          <ns0:t>run_001</ns0:t>
        </ns0:is>
      </ns0:c>
      <ns0:c r="D86" t="inlineStr">
        <ns0:is>
          <ns0:t>humantime</ns0:t>
        </ns0:is>
      </ns0:c>
      <ns0:c r="E86" t="inlineStr">
        <ns0:is>
          <ns0:t>claude-3-5-haiku-20241022</ns0:t>
        </ns0:is>
      </ns0:c>
      <ns0:c r="F86" t="inlineStr">
        <ns0:is>
          <ns0:t>E0433</ns0:t>
        </ns0:is>
      </ns0:c>
      <ns0:c r="G86" t="n">
        <ns0:v>1</ns0:v>
      </ns0:c>
      <ns0:c r="H86" t="n">
        <ns0:v>2212</ns0:v>
      </ns0:c>
      <ns0:c r="I86" t="n">
        <ns0:v>89</ns0:v>
      </ns0:c>
      <ns0:c r="J86" t="n">
        <ns0:v>2301</ns0:v>
      </ns0:c>
      <ns0:c r="K86" t="n">
        <ns0:v>1</ns0:v>
      </ns0:c>
      <ns0:c r="L86" t="n">
        <ns0:v>1</ns0:v>
      </ns0:c>
      <ns0:c r="M86" t="n">
        <ns0:v>49860</ns0:v>
      </ns0:c>
      <ns0:c r="N86" t="n">
        <ns0:v>305</ns0:v>
      </ns0:c>
      <ns0:c r="O86" t="n">
        <ns0:v>50165</ns0:v>
      </ns0:c>
      <ns0:c r="P86" t="n">
        <ns0:v>4</ns0:v>
      </ns0:c>
      <ns0:c r="Q86">
        <ns0:f>IF(AND(L86=1,O86*Calculations!$B$2&lt;=Calculations!$B$10*Calculations!$B$4),1,0)</ns0:f>
        <ns0:v>0</ns0:v>
      </ns0:c>
      <ns0:c r="R86">
        <ns0:f>IF(AND(L86=1,O86*Calculations!$B$2&lt;=Calculations!$B$11*Calculations!$B$4),1,0)</ns0:f>
        <ns0:v>0</ns0:v>
      </ns0:c>
    </ns0:row>
    <ns0:row r="87">
      <ns0:c r="A87" t="inlineStr">
        <ns0:is>
          <ns0:t>case_0086</ns0:t>
        </ns0:is>
      </ns0:c>
      <ns0:c r="B87" t="inlineStr">
        <ns0:is>
          <ns0:t>function_0015</ns0:t>
        </ns0:is>
      </ns0:c>
      <ns0:c r="C87" t="inlineStr">
        <ns0:is>
          <ns0:t>run_001</ns0:t>
        </ns0:is>
      </ns0:c>
      <ns0:c r="D87" t="inlineStr">
        <ns0:is>
          <ns0:t>humantime</ns0:t>
        </ns0:is>
      </ns0:c>
      <ns0:c r="E87" t="inlineStr">
        <ns0:is>
          <ns0:t>claude-3-5-haiku-20241022</ns0:t>
        </ns0:is>
      </ns0:c>
      <ns0:c r="F87" t="inlineStr">
        <ns0:is>
          <ns0:t>E0433,E0599</ns0:t>
        </ns0:is>
      </ns0:c>
      <ns0:c r="G87" t="n">
        <ns0:v>0</ns0:v>
      </ns0:c>
      <ns0:c r="H87" t="n">
        <ns0:v>6045</ns0:v>
      </ns0:c>
      <ns0:c r="I87" t="n">
        <ns0:v>312</ns0:v>
      </ns0:c>
      <ns0:c r="J87" t="n">
        <ns0:v>6357</ns0:v>
      </ns0:c>
      <ns0:c r="K87" t="n">
        <ns0:v>3</ns0:v>
      </ns0:c>
      <ns0:c r="L87" t="n">
        <ns0:v>1</ns0:v>
      </ns0:c>
      <ns0:c r="M87" t="n">
        <ns0:v>59196</ns0:v>
      </ns0:c>
      <ns0:c r="N87" t="n">
        <ns0:v>1588</ns0:v>
      </ns0:c>
      <ns0:c r="O87" t="n">
        <ns0:v>60784</ns0:v>
      </ns0:c>
      <ns0:c r="P87" t="n">
        <ns0:v>8</ns0:v>
      </ns0:c>
      <ns0:c r="Q87">
        <ns0:f>IF(AND(L87=1,O87*Calculations!$B$2&lt;=Calculations!$B$10*Calculations!$B$4),1,0)</ns0:f>
        <ns0:v>0</ns0:v>
      </ns0:c>
      <ns0:c r="R87">
        <ns0:f>IF(AND(L87=1,O87*Calculations!$B$2&lt;=Calculations!$B$11*Calculations!$B$4),1,0)</ns0:f>
        <ns0:v>0</ns0:v>
      </ns0:c>
    </ns0:row>
    <ns0:row r="88">
      <ns0:c r="A88" t="inlineStr">
        <ns0:is>
          <ns0:t>case_0087</ns0:t>
        </ns0:is>
      </ns0:c>
      <ns0:c r="B88" t="inlineStr">
        <ns0:is>
          <ns0:t>function_0015</ns0:t>
        </ns0:is>
      </ns0:c>
      <ns0:c r="C88" t="inlineStr">
        <ns0:is>
          <ns0:t>run_001</ns0:t>
        </ns0:is>
      </ns0:c>
      <ns0:c r="D88" t="inlineStr">
        <ns0:is>
          <ns0:t>humantime</ns0:t>
        </ns0:is>
      </ns0:c>
      <ns0:c r="E88" t="inlineStr">
        <ns0:is>
          <ns0:t>claude-3-5-haiku-20241022</ns0:t>
        </ns0:is>
      </ns0:c>
      <ns0:c r="F88" t="inlineStr">
        <ns0:is>
          <ns0:t>E0560</ns0:t>
        </ns0:is>
      </ns0:c>
      <ns0:c r="G88" t="n">
        <ns0:v>1</ns0:v>
      </ns0:c>
      <ns0:c r="H88" t="n">
        <ns0:v>1674</ns0:v>
      </ns0:c>
      <ns0:c r="I88" t="n">
        <ns0:v>79</ns0:v>
      </ns0:c>
      <ns0:c r="J88" t="n">
        <ns0:v>1753</ns0:v>
      </ns0:c>
      <ns0:c r="K88" t="n">
        <ns0:v>1</ns0:v>
      </ns0:c>
      <ns0:c r="L88" t="n">
        <ns0:v>1</ns0:v>
      </ns0:c>
      <ns0:c r="M88" t="n">
        <ns0:v>58087</ns0:v>
      </ns0:c>
      <ns0:c r="N88" t="n">
        <ns0:v>812</ns0:v>
      </ns0:c>
      <ns0:c r="O88" t="n">
        <ns0:v>58899</ns0:v>
      </ns0:c>
      <ns0:c r="P88" t="n">
        <ns0:v>8</ns0:v>
      </ns0:c>
      <ns0:c r="Q88">
        <ns0:f>IF(AND(L88=1,O88*Calculations!$B$2&lt;=Calculations!$B$10*Calculations!$B$4),1,0)</ns0:f>
        <ns0:v>0</ns0:v>
      </ns0:c>
      <ns0:c r="R88">
        <ns0:f>IF(AND(L88=1,O88*Calculations!$B$2&lt;=Calculations!$B$11*Calculations!$B$4),1,0)</ns0:f>
        <ns0:v>0</ns0:v>
      </ns0:c>
    </ns0:row>
    <ns0:row r="89">
      <ns0:c r="A89" t="inlineStr">
        <ns0:is>
          <ns0:t>case_0088</ns0:t>
        </ns0:is>
      </ns0:c>
      <ns0:c r="B89" t="inlineStr">
        <ns0:is>
          <ns0:t>function_0016</ns0:t>
        </ns0:is>
      </ns0:c>
      <ns0:c r="C89" t="inlineStr">
        <ns0:is>
          <ns0:t>run_001</ns0:t>
        </ns0:is>
      </ns0:c>
      <ns0:c r="D89" t="inlineStr">
        <ns0:is>
          <ns0:t>humantime</ns0:t>
        </ns0:is>
      </ns0:c>
      <ns0:c r="E89" t="inlineStr">
        <ns0:is>
          <ns0:t>claude-3-5-haiku-20241022</ns0:t>
        </ns0:is>
      </ns0:c>
      <ns0:c r="F89" t="inlineStr">
        <ns0:is>
          <ns0:t>E0433</ns0:t>
        </ns0:is>
      </ns0:c>
      <ns0:c r="G89" t="n">
        <ns0:v>0</ns0:v>
      </ns0:c>
      <ns0:c r="H89" t="n">
        <ns0:v>3888</ns0:v>
      </ns0:c>
      <ns0:c r="I89" t="n">
        <ns0:v>237</ns0:v>
      </ns0:c>
      <ns0:c r="J89" t="n">
        <ns0:v>4125</ns0:v>
      </ns0:c>
      <ns0:c r="K89" t="n">
        <ns0:v>3</ns0:v>
      </ns0:c>
      <ns0:c r="L89" t="n">
        <ns0:v>0</ns0:v>
      </ns0:c>
      <ns0:c r="M89" t="n">
        <ns0:v>268049</ns0:v>
      </ns0:c>
      <ns0:c r="N89" t="n">
        <ns0:v>2376</ns0:v>
      </ns0:c>
      <ns0:c r="O89" t="n">
        <ns0:v>270425</ns0:v>
      </ns0:c>
      <ns0:c r="P89" t="n">
        <ns0:v>20</ns0:v>
      </ns0:c>
      <ns0:c r="Q89">
        <ns0:f>IF(AND(L89=1,O89*Calculations!$B$2&lt;=Calculations!$B$10*Calculations!$B$4),1,0)</ns0:f>
        <ns0:v>0</ns0:v>
      </ns0:c>
      <ns0:c r="R89">
        <ns0:f>IF(AND(L89=1,O89*Calculations!$B$2&lt;=Calculations!$B$11*Calculations!$B$4),1,0)</ns0:f>
        <ns0:v>0</ns0:v>
      </ns0:c>
    </ns0:row>
    <ns0:row r="90">
      <ns0:c r="A90" t="inlineStr">
        <ns0:is>
          <ns0:t>case_0089</ns0:t>
        </ns0:is>
      </ns0:c>
      <ns0:c r="B90" t="inlineStr">
        <ns0:is>
          <ns0:t>function_0016</ns0:t>
        </ns0:is>
      </ns0:c>
      <ns0:c r="C90" t="inlineStr">
        <ns0:is>
          <ns0:t>run_001</ns0:t>
        </ns0:is>
      </ns0:c>
      <ns0:c r="D90" t="inlineStr">
        <ns0:is>
          <ns0:t>humantime</ns0:t>
        </ns0:is>
      </ns0:c>
      <ns0:c r="E90" t="inlineStr">
        <ns0:is>
          <ns0:t>claude-3-5-haiku-20241022</ns0:t>
        </ns0:is>
      </ns0:c>
      <ns0:c r="F90" t="inlineStr">
        <ns0:is>
          <ns0:t>E0433</ns0:t>
        </ns0:is>
      </ns0:c>
      <ns0:c r="G90" t="n">
        <ns0:v>1</ns0:v>
      </ns0:c>
      <ns0:c r="H90" t="n">
        <ns0:v>8924</ns0:v>
      </ns0:c>
      <ns0:c r="I90" t="n">
        <ns0:v>462</ns0:v>
      </ns0:c>
      <ns0:c r="J90" t="n">
        <ns0:v>9386</ns0:v>
      </ns0:c>
      <ns0:c r="K90" t="n">
        <ns0:v>4</ns0:v>
      </ns0:c>
      <ns0:c r="L90" t="n">
        <ns0:v>1</ns0:v>
      </ns0:c>
      <ns0:c r="M90" t="n">
        <ns0:v>182301</ns0:v>
      </ns0:c>
      <ns0:c r="N90" t="n">
        <ns0:v>1710</ns0:v>
      </ns0:c>
      <ns0:c r="O90" t="n">
        <ns0:v>184011</ns0:v>
      </ns0:c>
      <ns0:c r="P90" t="n">
        <ns0:v>16</ns0:v>
      </ns0:c>
      <ns0:c r="Q90">
        <ns0:f>IF(AND(L90=1,O90*Calculations!$B$2&lt;=Calculations!$B$10*Calculations!$B$4),1,0)</ns0:f>
        <ns0:v>0</ns0:v>
      </ns0:c>
      <ns0:c r="R90">
        <ns0:f>IF(AND(L90=1,O90*Calculations!$B$2&lt;=Calculations!$B$11*Calculations!$B$4),1,0)</ns0:f>
        <ns0:v>0</ns0:v>
      </ns0:c>
    </ns0:row>
    <ns0:row r="91">
      <ns0:c r="A91" t="inlineStr">
        <ns0:is>
          <ns0:t>case_0090</ns0:t>
        </ns0:is>
      </ns0:c>
      <ns0:c r="B91" t="inlineStr">
        <ns0:is>
          <ns0:t>function_0016</ns0:t>
        </ns0:is>
      </ns0:c>
      <ns0:c r="C91" t="inlineStr">
        <ns0:is>
          <ns0:t>run_001</ns0:t>
        </ns0:is>
      </ns0:c>
      <ns0:c r="D91" t="inlineStr">
        <ns0:is>
          <ns0:t>humantime</ns0:t>
        </ns0:is>
      </ns0:c>
      <ns0:c r="E91" t="inlineStr">
        <ns0:is>
          <ns0:t>claude-3-5-haiku-20241022</ns0:t>
        </ns0:is>
      </ns0:c>
      <ns0:c r="F91" t="inlineStr">
        <ns0:is>
          <ns0:t>E0433</ns0:t>
        </ns0:is>
      </ns0:c>
      <ns0:c r="G91" t="n">
        <ns0:v>1</ns0:v>
      </ns0:c>
      <ns0:c r="H91" t="n">
        <ns0:v>9058</ns0:v>
      </ns0:c>
      <ns0:c r="I91" t="n">
        <ns0:v>510</ns0:v>
      </ns0:c>
      <ns0:c r="J91" t="n">
        <ns0:v>9568</ns0:v>
      </ns0:c>
      <ns0:c r="K91" t="n">
        <ns0:v>4</ns0:v>
      </ns0:c>
      <ns0:c r="L91" t="n">
        <ns0:v>1</ns0:v>
      </ns0:c>
      <ns0:c r="M91" t="n">
        <ns0:v>93142</ns0:v>
      </ns0:c>
      <ns0:c r="N91" t="n">
        <ns0:v>1126</ns0:v>
      </ns0:c>
      <ns0:c r="O91" t="n">
        <ns0:v>94268</ns0:v>
      </ns0:c>
      <ns0:c r="P91" t="n">
        <ns0:v>8</ns0:v>
      </ns0:c>
      <ns0:c r="Q91">
        <ns0:f>IF(AND(L91=1,O91*Calculations!$B$2&lt;=Calculations!$B$10*Calculations!$B$4),1,0)</ns0:f>
        <ns0:v>0</ns0:v>
      </ns0:c>
      <ns0:c r="R91">
        <ns0:f>IF(AND(L91=1,O91*Calculations!$B$2&lt;=Calculations!$B$11*Calculations!$B$4),1,0)</ns0:f>
        <ns0:v>0</ns0:v>
      </ns0:c>
    </ns0:row>
    <ns0:row r="92">
      <ns0:c r="A92" t="inlineStr">
        <ns0:is>
          <ns0:t>case_0091</ns0:t>
        </ns0:is>
      </ns0:c>
      <ns0:c r="B92" t="inlineStr">
        <ns0:is>
          <ns0:t>function_0016</ns0:t>
        </ns0:is>
      </ns0:c>
      <ns0:c r="C92" t="inlineStr">
        <ns0:is>
          <ns0:t>run_001</ns0:t>
        </ns0:is>
      </ns0:c>
      <ns0:c r="D92" t="inlineStr">
        <ns0:is>
          <ns0:t>humantime</ns0:t>
        </ns0:is>
      </ns0:c>
      <ns0:c r="E92" t="inlineStr">
        <ns0:is>
          <ns0:t>claude-3-5-haiku-20241022</ns0:t>
        </ns0:is>
      </ns0:c>
      <ns0:c r="F92" t="inlineStr">
        <ns0:is>
          <ns0:t>E0433</ns0:t>
        </ns0:is>
      </ns0:c>
      <ns0:c r="G92" t="n">
        <ns0:v>0</ns0:v>
      </ns0:c>
      <ns0:c r="H92" t="n">
        <ns0:v>15781</ns0:v>
      </ns0:c>
      <ns0:c r="I92" t="n">
        <ns0:v>935</ns0:v>
      </ns0:c>
      <ns0:c r="J92" t="n">
        <ns0:v>16716</ns0:v>
      </ns0:c>
      <ns0:c r="K92" t="n">
        <ns0:v>12</ns0:v>
      </ns0:c>
      <ns0:c r="L92" t="n">
        <ns0:v>0</ns0:v>
      </ns0:c>
      <ns0:c r="M92" t="n">
        <ns0:v>95674</ns0:v>
      </ns0:c>
      <ns0:c r="N92" t="n">
        <ns0:v>1237</ns0:v>
      </ns0:c>
      <ns0:c r="O92" t="n">
        <ns0:v>96911</ns0:v>
      </ns0:c>
      <ns0:c r="P92" t="n">
        <ns0:v>10</ns0:v>
      </ns0:c>
      <ns0:c r="Q92">
        <ns0:f>IF(AND(L92=1,O92*Calculations!$B$2&lt;=Calculations!$B$10*Calculations!$B$4),1,0)</ns0:f>
        <ns0:v>0</ns0:v>
      </ns0:c>
      <ns0:c r="R92">
        <ns0:f>IF(AND(L92=1,O92*Calculations!$B$2&lt;=Calculations!$B$11*Calculations!$B$4),1,0)</ns0:f>
        <ns0:v>0</ns0:v>
      </ns0:c>
    </ns0:row>
    <ns0:row r="93">
      <ns0:c r="A93" t="inlineStr">
        <ns0:is>
          <ns0:t>case_0092</ns0:t>
        </ns0:is>
      </ns0:c>
      <ns0:c r="B93" t="inlineStr">
        <ns0:is>
          <ns0:t>function_0016</ns0:t>
        </ns0:is>
      </ns0:c>
      <ns0:c r="C93" t="inlineStr">
        <ns0:is>
          <ns0:t>run_001</ns0:t>
        </ns0:is>
      </ns0:c>
      <ns0:c r="D93" t="inlineStr">
        <ns0:is>
          <ns0:t>humantime</ns0:t>
        </ns0:is>
      </ns0:c>
      <ns0:c r="E93" t="inlineStr">
        <ns0:is>
          <ns0:t>claude-3-5-haiku-20241022</ns0:t>
        </ns0:is>
      </ns0:c>
      <ns0:c r="F93" t="inlineStr">
        <ns0:is>
          <ns0:t>E0433</ns0:t>
        </ns0:is>
      </ns0:c>
      <ns0:c r="G93" t="n">
        <ns0:v>0</ns0:v>
      </ns0:c>
      <ns0:c r="H93" t="n">
        <ns0:v>15555</ns0:v>
      </ns0:c>
      <ns0:c r="I93" t="n">
        <ns0:v>911</ns0:v>
      </ns0:c>
      <ns0:c r="J93" t="n">
        <ns0:v>16466</ns0:v>
      </ns0:c>
      <ns0:c r="K93" t="n">
        <ns0:v>12</ns0:v>
      </ns0:c>
      <ns0:c r="L93" t="n">
        <ns0:v>0</ns0:v>
      </ns0:c>
      <ns0:c r="M93" t="n">
        <ns0:v>100576</ns0:v>
      </ns0:c>
      <ns0:c r="N93" t="n">
        <ns0:v>1657</ns0:v>
      </ns0:c>
      <ns0:c r="O93" t="n">
        <ns0:v>102233</ns0:v>
      </ns0:c>
      <ns0:c r="P93" t="n">
        <ns0:v>8</ns0:v>
      </ns0:c>
      <ns0:c r="Q93">
        <ns0:f>IF(AND(L93=1,O93*Calculations!$B$2&lt;=Calculations!$B$10*Calculations!$B$4),1,0)</ns0:f>
        <ns0:v>0</ns0:v>
      </ns0:c>
      <ns0:c r="R93">
        <ns0:f>IF(AND(L93=1,O93*Calculations!$B$2&lt;=Calculations!$B$11*Calculations!$B$4),1,0)</ns0:f>
        <ns0:v>0</ns0:v>
      </ns0:c>
    </ns0:row>
    <ns0:row r="94">
      <ns0:c r="A94" t="inlineStr">
        <ns0:is>
          <ns0:t>case_0093</ns0:t>
        </ns0:is>
      </ns0:c>
      <ns0:c r="B94" t="inlineStr">
        <ns0:is>
          <ns0:t>function_0016</ns0:t>
        </ns0:is>
      </ns0:c>
      <ns0:c r="C94" t="inlineStr">
        <ns0:is>
          <ns0:t>run_001</ns0:t>
        </ns0:is>
      </ns0:c>
      <ns0:c r="D94" t="inlineStr">
        <ns0:is>
          <ns0:t>humantime</ns0:t>
        </ns0:is>
      </ns0:c>
      <ns0:c r="E94" t="inlineStr">
        <ns0:is>
          <ns0:t>claude-3-5-haiku-20241022</ns0:t>
        </ns0:is>
      </ns0:c>
      <ns0:c r="F94" t="inlineStr">
        <ns0:is>
          <ns0:t>E0433</ns0:t>
        </ns0:is>
      </ns0:c>
      <ns0:c r="G94" t="n">
        <ns0:v>0</ns0:v>
      </ns0:c>
      <ns0:c r="H94" t="n">
        <ns0:v>3931</ns0:v>
      </ns0:c>
      <ns0:c r="I94" t="n">
        <ns0:v>237</ns0:v>
      </ns0:c>
      <ns0:c r="J94" t="n">
        <ns0:v>4168</ns0:v>
      </ns0:c>
      <ns0:c r="K94" t="n">
        <ns0:v>3</ns0:v>
      </ns0:c>
      <ns0:c r="L94" t="n">
        <ns0:v>0</ns0:v>
      </ns0:c>
      <ns0:c r="M94" t="n">
        <ns0:v>53914</ns0:v>
      </ns0:c>
      <ns0:c r="N94" t="n">
        <ns0:v>884</ns0:v>
      </ns0:c>
      <ns0:c r="O94" t="n">
        <ns0:v>54798</ns0:v>
      </ns0:c>
      <ns0:c r="P94" t="n">
        <ns0:v>7</ns0:v>
      </ns0:c>
      <ns0:c r="Q94">
        <ns0:f>IF(AND(L94=1,O94*Calculations!$B$2&lt;=Calculations!$B$10*Calculations!$B$4),1,0)</ns0:f>
        <ns0:v>0</ns0:v>
      </ns0:c>
      <ns0:c r="R94">
        <ns0:f>IF(AND(L94=1,O94*Calculations!$B$2&lt;=Calculations!$B$11*Calculations!$B$4),1,0)</ns0:f>
        <ns0:v>0</ns0:v>
      </ns0:c>
    </ns0:row>
    <ns0:row r="95">
      <ns0:c r="A95" t="inlineStr">
        <ns0:is>
          <ns0:t>case_0094</ns0:t>
        </ns0:is>
      </ns0:c>
      <ns0:c r="B95" t="inlineStr">
        <ns0:is>
          <ns0:t>function_0016</ns0:t>
        </ns0:is>
      </ns0:c>
      <ns0:c r="C95" t="inlineStr">
        <ns0:is>
          <ns0:t>run_001</ns0:t>
        </ns0:is>
      </ns0:c>
      <ns0:c r="D95" t="inlineStr">
        <ns0:is>
          <ns0:t>humantime</ns0:t>
        </ns0:is>
      </ns0:c>
      <ns0:c r="E95" t="inlineStr">
        <ns0:is>
          <ns0:t>claude-3-5-haiku-20241022</ns0:t>
        </ns0:is>
      </ns0:c>
      <ns0:c r="F95" t="inlineStr">
        <ns0:is>
          <ns0:t>E0433</ns0:t>
        </ns0:is>
      </ns0:c>
      <ns0:c r="G95" t="n">
        <ns0:v>1</ns0:v>
      </ns0:c>
      <ns0:c r="H95" t="n">
        <ns0:v>9553</ns0:v>
      </ns0:c>
      <ns0:c r="I95" t="n">
        <ns0:v>397</ns0:v>
      </ns0:c>
      <ns0:c r="J95" t="n">
        <ns0:v>9950</ns0:v>
      </ns0:c>
      <ns0:c r="K95" t="n">
        <ns0:v>4</ns0:v>
      </ns0:c>
      <ns0:c r="L95" t="n">
        <ns0:v>0</ns0:v>
      </ns0:c>
      <ns0:c r="M95" t="n">
        <ns0:v>265546</ns0:v>
      </ns0:c>
      <ns0:c r="N95" t="n">
        <ns0:v>1995</ns0:v>
      </ns0:c>
      <ns0:c r="O95" t="n">
        <ns0:v>267541</ns0:v>
      </ns0:c>
      <ns0:c r="P95" t="n">
        <ns0:v>20</ns0:v>
      </ns0:c>
      <ns0:c r="Q95">
        <ns0:f>IF(AND(L95=1,O95*Calculations!$B$2&lt;=Calculations!$B$10*Calculations!$B$4),1,0)</ns0:f>
        <ns0:v>0</ns0:v>
      </ns0:c>
      <ns0:c r="R95">
        <ns0:f>IF(AND(L95=1,O95*Calculations!$B$2&lt;=Calculations!$B$11*Calculations!$B$4),1,0)</ns0:f>
        <ns0:v>0</ns0:v>
      </ns0:c>
    </ns0:row>
    <ns0:row r="96">
      <ns0:c r="A96" t="inlineStr">
        <ns0:is>
          <ns0:t>case_0095</ns0:t>
        </ns0:is>
      </ns0:c>
      <ns0:c r="B96" t="inlineStr">
        <ns0:is>
          <ns0:t>function_0016</ns0:t>
        </ns0:is>
      </ns0:c>
      <ns0:c r="C96" t="inlineStr">
        <ns0:is>
          <ns0:t>run_001</ns0:t>
        </ns0:is>
      </ns0:c>
      <ns0:c r="D96" t="inlineStr">
        <ns0:is>
          <ns0:t>humantime</ns0:t>
        </ns0:is>
      </ns0:c>
      <ns0:c r="E96" t="inlineStr">
        <ns0:is>
          <ns0:t>claude-3-5-haiku-20241022</ns0:t>
        </ns0:is>
      </ns0:c>
      <ns0:c r="F96" t="inlineStr">
        <ns0:is>
          <ns0:t>E0433</ns0:t>
        </ns0:is>
      </ns0:c>
      <ns0:c r="G96" t="n">
        <ns0:v>0</ns0:v>
      </ns0:c>
      <ns0:c r="H96" t="n">
        <ns0:v>3905</ns0:v>
      </ns0:c>
      <ns0:c r="I96" t="n">
        <ns0:v>235</ns0:v>
      </ns0:c>
      <ns0:c r="J96" t="n">
        <ns0:v>4140</ns0:v>
      </ns0:c>
      <ns0:c r="K96" t="n">
        <ns0:v>3</ns0:v>
      </ns0:c>
      <ns0:c r="L96" t="n">
        <ns0:v>0</ns0:v>
      </ns0:c>
      <ns0:c r="M96" t="n">
        <ns0:v>58919</ns0:v>
      </ns0:c>
      <ns0:c r="N96" t="n">
        <ns0:v>1028</ns0:v>
      </ns0:c>
      <ns0:c r="O96" t="n">
        <ns0:v>59947</ns0:v>
      </ns0:c>
      <ns0:c r="P96" t="n">
        <ns0:v>7</ns0:v>
      </ns0:c>
      <ns0:c r="Q96">
        <ns0:f>IF(AND(L96=1,O96*Calculations!$B$2&lt;=Calculations!$B$10*Calculations!$B$4),1,0)</ns0:f>
        <ns0:v>0</ns0:v>
      </ns0:c>
      <ns0:c r="R96">
        <ns0:f>IF(AND(L96=1,O96*Calculations!$B$2&lt;=Calculations!$B$11*Calculations!$B$4),1,0)</ns0:f>
        <ns0:v>0</ns0:v>
      </ns0:c>
    </ns0:row>
    <ns0:row r="97">
      <ns0:c r="A97" t="inlineStr">
        <ns0:is>
          <ns0:t>case_0096</ns0:t>
        </ns0:is>
      </ns0:c>
      <ns0:c r="B97" t="inlineStr">
        <ns0:is>
          <ns0:t>function_0016</ns0:t>
        </ns0:is>
      </ns0:c>
      <ns0:c r="C97" t="inlineStr">
        <ns0:is>
          <ns0:t>run_001</ns0:t>
        </ns0:is>
      </ns0:c>
      <ns0:c r="D97" t="inlineStr">
        <ns0:is>
          <ns0:t>humantime</ns0:t>
        </ns0:is>
      </ns0:c>
      <ns0:c r="E97" t="inlineStr">
        <ns0:is>
          <ns0:t>claude-3-5-haiku-20241022</ns0:t>
        </ns0:is>
      </ns0:c>
      <ns0:c r="F97" t="inlineStr">
        <ns0:is>
          <ns0:t>E0433</ns0:t>
        </ns0:is>
      </ns0:c>
      <ns0:c r="G97" t="n">
        <ns0:v>0</ns0:v>
      </ns0:c>
      <ns0:c r="H97" t="n">
        <ns0:v>3948</ns0:v>
      </ns0:c>
      <ns0:c r="I97" t="n">
        <ns0:v>237</ns0:v>
      </ns0:c>
      <ns0:c r="J97" t="n">
        <ns0:v>4185</ns0:v>
      </ns0:c>
      <ns0:c r="K97" t="n">
        <ns0:v>3</ns0:v>
      </ns0:c>
      <ns0:c r="L97" t="n">
        <ns0:v>1</ns0:v>
      </ns0:c>
      <ns0:c r="M97" t="n">
        <ns0:v>110619</ns0:v>
      </ns0:c>
      <ns0:c r="N97" t="n">
        <ns0:v>1073</ns0:v>
      </ns0:c>
      <ns0:c r="O97" t="n">
        <ns0:v>111692</ns0:v>
      </ns0:c>
      <ns0:c r="P97" t="n">
        <ns0:v>12</ns0:v>
      </ns0:c>
      <ns0:c r="Q97">
        <ns0:f>IF(AND(L97=1,O97*Calculations!$B$2&lt;=Calculations!$B$10*Calculations!$B$4),1,0)</ns0:f>
        <ns0:v>0</ns0:v>
      </ns0:c>
      <ns0:c r="R97">
        <ns0:f>IF(AND(L97=1,O97*Calculations!$B$2&lt;=Calculations!$B$11*Calculations!$B$4),1,0)</ns0:f>
        <ns0:v>0</ns0:v>
      </ns0:c>
    </ns0:row>
    <ns0:row r="98">
      <ns0:c r="A98" t="inlineStr">
        <ns0:is>
          <ns0:t>case_0097</ns0:t>
        </ns0:is>
      </ns0:c>
      <ns0:c r="B98" t="inlineStr">
        <ns0:is>
          <ns0:t>function_0016</ns0:t>
        </ns0:is>
      </ns0:c>
      <ns0:c r="C98" t="inlineStr">
        <ns0:is>
          <ns0:t>run_001</ns0:t>
        </ns0:is>
      </ns0:c>
      <ns0:c r="D98" t="inlineStr">
        <ns0:is>
          <ns0:t>humantime</ns0:t>
        </ns0:is>
      </ns0:c>
      <ns0:c r="E98" t="inlineStr">
        <ns0:is>
          <ns0:t>claude-3-5-haiku-20241022</ns0:t>
        </ns0:is>
      </ns0:c>
      <ns0:c r="F98" t="inlineStr">
        <ns0:is>
          <ns0:t>E0599</ns0:t>
        </ns0:is>
      </ns0:c>
      <ns0:c r="G98" t="n">
        <ns0:v>1</ns0:v>
      </ns0:c>
      <ns0:c r="H98" t="n">
        <ns0:v>7099</ns0:v>
      </ns0:c>
      <ns0:c r="I98" t="n">
        <ns0:v>386</ns0:v>
      </ns0:c>
      <ns0:c r="J98" t="n">
        <ns0:v>7485</ns0:v>
      </ns0:c>
      <ns0:c r="K98" t="n">
        <ns0:v>4</ns0:v>
      </ns0:c>
      <ns0:c r="L98" t="n">
        <ns0:v>0</ns0:v>
      </ns0:c>
      <ns0:c r="M98" t="n">
        <ns0:v>110060</ns0:v>
      </ns0:c>
      <ns0:c r="N98" t="n">
        <ns0:v>1420</ns0:v>
      </ns0:c>
      <ns0:c r="O98" t="n">
        <ns0:v>111480</ns0:v>
      </ns0:c>
      <ns0:c r="P98" t="n">
        <ns0:v>11</ns0:v>
      </ns0:c>
      <ns0:c r="Q98">
        <ns0:f>IF(AND(L98=1,O98*Calculations!$B$2&lt;=Calculations!$B$10*Calculations!$B$4),1,0)</ns0:f>
        <ns0:v>0</ns0:v>
      </ns0:c>
      <ns0:c r="R98">
        <ns0:f>IF(AND(L98=1,O98*Calculations!$B$2&lt;=Calculations!$B$11*Calculations!$B$4),1,0)</ns0:f>
        <ns0:v>0</ns0:v>
      </ns0:c>
    </ns0:row>
    <ns0:row r="99">
      <ns0:c r="A99" t="inlineStr">
        <ns0:is>
          <ns0:t>case_0098</ns0:t>
        </ns0:is>
      </ns0:c>
      <ns0:c r="B99" t="inlineStr">
        <ns0:is>
          <ns0:t>function_0016</ns0:t>
        </ns0:is>
      </ns0:c>
      <ns0:c r="C99" t="inlineStr">
        <ns0:is>
          <ns0:t>run_001</ns0:t>
        </ns0:is>
      </ns0:c>
      <ns0:c r="D99" t="inlineStr">
        <ns0:is>
          <ns0:t>humantime</ns0:t>
        </ns0:is>
      </ns0:c>
      <ns0:c r="E99" t="inlineStr">
        <ns0:is>
          <ns0:t>claude-3-5-haiku-20241022</ns0:t>
        </ns0:is>
      </ns0:c>
      <ns0:c r="F99" t="inlineStr">
        <ns0:is>
          <ns0:t>E0599</ns0:t>
        </ns0:is>
      </ns0:c>
      <ns0:c r="G99" t="n">
        <ns0:v>1</ns0:v>
      </ns0:c>
      <ns0:c r="H99" t="n">
        <ns0:v>7020</ns0:v>
      </ns0:c>
      <ns0:c r="I99" t="n">
        <ns0:v>349</ns0:v>
      </ns0:c>
      <ns0:c r="J99" t="n">
        <ns0:v>7369</ns0:v>
      </ns0:c>
      <ns0:c r="K99" t="n">
        <ns0:v>4</ns0:v>
      </ns0:c>
      <ns0:c r="L99" t="n">
        <ns0:v>1</ns0:v>
      </ns0:c>
      <ns0:c r="M99" t="n">
        <ns0:v>80246</ns0:v>
      </ns0:c>
      <ns0:c r="N99" t="n">
        <ns0:v>1062</ns0:v>
      </ns0:c>
      <ns0:c r="O99" t="n">
        <ns0:v>81308</ns0:v>
      </ns0:c>
      <ns0:c r="P99" t="n">
        <ns0:v>10</ns0:v>
      </ns0:c>
      <ns0:c r="Q99">
        <ns0:f>IF(AND(L99=1,O99*Calculations!$B$2&lt;=Calculations!$B$10*Calculations!$B$4),1,0)</ns0:f>
        <ns0:v>0</ns0:v>
      </ns0:c>
      <ns0:c r="R99">
        <ns0:f>IF(AND(L99=1,O99*Calculations!$B$2&lt;=Calculations!$B$11*Calculations!$B$4),1,0)</ns0:f>
        <ns0:v>0</ns0:v>
      </ns0:c>
    </ns0:row>
    <ns0:row r="100">
      <ns0:c r="A100" t="inlineStr">
        <ns0:is>
          <ns0:t>case_0099</ns0:t>
        </ns0:is>
      </ns0:c>
      <ns0:c r="B100" t="inlineStr">
        <ns0:is>
          <ns0:t>function_0016</ns0:t>
        </ns0:is>
      </ns0:c>
      <ns0:c r="C100" t="inlineStr">
        <ns0:is>
          <ns0:t>run_001</ns0:t>
        </ns0:is>
      </ns0:c>
      <ns0:c r="D100" t="inlineStr">
        <ns0:is>
          <ns0:t>humantime</ns0:t>
        </ns0:is>
      </ns0:c>
      <ns0:c r="E100" t="inlineStr">
        <ns0:is>
          <ns0:t>claude-3-5-haiku-20241022</ns0:t>
        </ns0:is>
      </ns0:c>
      <ns0:c r="F100" t="inlineStr">
        <ns0:is>
          <ns0:t>E0599</ns0:t>
        </ns0:is>
      </ns0:c>
      <ns0:c r="G100" t="n">
        <ns0:v>1</ns0:v>
      </ns0:c>
      <ns0:c r="H100" t="n">
        <ns0:v>7118</ns0:v>
      </ns0:c>
      <ns0:c r="I100" t="n">
        <ns0:v>417</ns0:v>
      </ns0:c>
      <ns0:c r="J100" t="n">
        <ns0:v>7535</ns0:v>
      </ns0:c>
      <ns0:c r="K100" t="n">
        <ns0:v>4</ns0:v>
      </ns0:c>
      <ns0:c r="L100" t="n">
        <ns0:v>0</ns0:v>
      </ns0:c>
      <ns0:c r="M100" t="n">
        <ns0:v>53579</ns0:v>
      </ns0:c>
      <ns0:c r="N100" t="n">
        <ns0:v>393</ns0:v>
      </ns0:c>
      <ns0:c r="O100" t="n">
        <ns0:v>53972</ns0:v>
      </ns0:c>
      <ns0:c r="P100" t="n">
        <ns0:v>4</ns0:v>
      </ns0:c>
      <ns0:c r="Q100">
        <ns0:f>IF(AND(L100=1,O100*Calculations!$B$2&lt;=Calculations!$B$10*Calculations!$B$4),1,0)</ns0:f>
        <ns0:v>0</ns0:v>
      </ns0:c>
      <ns0:c r="R100">
        <ns0:f>IF(AND(L100=1,O100*Calculations!$B$2&lt;=Calculations!$B$11*Calculations!$B$4),1,0)</ns0:f>
        <ns0:v>0</ns0:v>
      </ns0:c>
    </ns0:row>
    <ns0:row r="101">
      <ns0:c r="A101" t="inlineStr">
        <ns0:is>
          <ns0:t>case_0100</ns0:t>
        </ns0:is>
      </ns0:c>
      <ns0:c r="B101" t="inlineStr">
        <ns0:is>
          <ns0:t>function_0017</ns0:t>
        </ns0:is>
      </ns0:c>
      <ns0:c r="C101" t="inlineStr">
        <ns0:is>
          <ns0:t>run_001</ns0:t>
        </ns0:is>
      </ns0:c>
      <ns0:c r="D101" t="inlineStr">
        <ns0:is>
          <ns0:t>humantime</ns0:t>
        </ns0:is>
      </ns0:c>
      <ns0:c r="E101" t="inlineStr">
        <ns0:is>
          <ns0:t>claude-3-5-haiku-20241022</ns0:t>
        </ns0:is>
      </ns0:c>
      <ns0:c r="F101" t="inlineStr">
        <ns0:is>
          <ns0:t>E0432</ns0:t>
        </ns0:is>
      </ns0:c>
      <ns0:c r="G101" t="n">
        <ns0:v>0</ns0:v>
      </ns0:c>
      <ns0:c r="H101" t="n">
        <ns0:v>4288</ns0:v>
      </ns0:c>
      <ns0:c r="I101" t="n">
        <ns0:v>333</ns0:v>
      </ns0:c>
      <ns0:c r="J101" t="n">
        <ns0:v>4621</ns0:v>
      </ns0:c>
      <ns0:c r="K101" t="n">
        <ns0:v>3</ns0:v>
      </ns0:c>
      <ns0:c r="L101" t="n">
        <ns0:v>1</ns0:v>
      </ns0:c>
      <ns0:c r="M101" t="n">
        <ns0:v>91233</ns0:v>
      </ns0:c>
      <ns0:c r="N101" t="n">
        <ns0:v>1427</ns0:v>
      </ns0:c>
      <ns0:c r="O101" t="n">
        <ns0:v>92660</ns0:v>
      </ns0:c>
      <ns0:c r="P101" t="n">
        <ns0:v>12</ns0:v>
      </ns0:c>
      <ns0:c r="Q101">
        <ns0:f>IF(AND(L101=1,O101*Calculations!$B$2&lt;=Calculations!$B$10*Calculations!$B$4),1,0)</ns0:f>
        <ns0:v>0</ns0:v>
      </ns0:c>
      <ns0:c r="R101">
        <ns0:f>IF(AND(L101=1,O101*Calculations!$B$2&lt;=Calculations!$B$11*Calculations!$B$4),1,0)</ns0:f>
        <ns0:v>0</ns0:v>
      </ns0:c>
    </ns0:row>
    <ns0:row r="102">
      <ns0:c r="A102" t="inlineStr">
        <ns0:is>
          <ns0:t>case_0101</ns0:t>
        </ns0:is>
      </ns0:c>
      <ns0:c r="B102" t="inlineStr">
        <ns0:is>
          <ns0:t>function_0017</ns0:t>
        </ns0:is>
      </ns0:c>
      <ns0:c r="C102" t="inlineStr">
        <ns0:is>
          <ns0:t>run_001</ns0:t>
        </ns0:is>
      </ns0:c>
      <ns0:c r="D102" t="inlineStr">
        <ns0:is>
          <ns0:t>humantime</ns0:t>
        </ns0:is>
      </ns0:c>
      <ns0:c r="E102" t="inlineStr">
        <ns0:is>
          <ns0:t>claude-3-5-haiku-20241022</ns0:t>
        </ns0:is>
      </ns0:c>
      <ns0:c r="F102" t="inlineStr">
        <ns0:is>
          <ns0:t>E0433</ns0:t>
        </ns0:is>
      </ns0:c>
      <ns0:c r="G102" t="n">
        <ns0:v>0</ns0:v>
      </ns0:c>
      <ns0:c r="H102" t="n">
        <ns0:v>4117</ns0:v>
      </ns0:c>
      <ns0:c r="I102" t="n">
        <ns0:v>315</ns0:v>
      </ns0:c>
      <ns0:c r="J102" t="n">
        <ns0:v>4432</ns0:v>
      </ns0:c>
      <ns0:c r="K102" t="n">
        <ns0:v>3</ns0:v>
      </ns0:c>
      <ns0:c r="L102" t="n">
        <ns0:v>0</ns0:v>
      </ns0:c>
      <ns0:c r="M102" t="n">
        <ns0:v>94809</ns0:v>
      </ns0:c>
      <ns0:c r="N102" t="n">
        <ns0:v>886</ns0:v>
      </ns0:c>
      <ns0:c r="O102" t="n">
        <ns0:v>95695</ns0:v>
      </ns0:c>
      <ns0:c r="P102" t="n">
        <ns0:v>7</ns0:v>
      </ns0:c>
      <ns0:c r="Q102">
        <ns0:f>IF(AND(L102=1,O102*Calculations!$B$2&lt;=Calculations!$B$10*Calculations!$B$4),1,0)</ns0:f>
        <ns0:v>0</ns0:v>
      </ns0:c>
      <ns0:c r="R102">
        <ns0:f>IF(AND(L102=1,O102*Calculations!$B$2&lt;=Calculations!$B$11*Calculations!$B$4),1,0)</ns0:f>
        <ns0:v>0</ns0:v>
      </ns0:c>
    </ns0:row>
    <ns0:row r="103">
      <ns0:c r="A103" t="inlineStr">
        <ns0:is>
          <ns0:t>case_0102</ns0:t>
        </ns0:is>
      </ns0:c>
      <ns0:c r="B103" t="inlineStr">
        <ns0:is>
          <ns0:t>function_0017</ns0:t>
        </ns0:is>
      </ns0:c>
      <ns0:c r="C103" t="inlineStr">
        <ns0:is>
          <ns0:t>run_001</ns0:t>
        </ns0:is>
      </ns0:c>
      <ns0:c r="D103" t="inlineStr">
        <ns0:is>
          <ns0:t>humantime</ns0:t>
        </ns0:is>
      </ns0:c>
      <ns0:c r="E103" t="inlineStr">
        <ns0:is>
          <ns0:t>claude-3-5-haiku-20241022</ns0:t>
        </ns0:is>
      </ns0:c>
      <ns0:c r="F103" t="inlineStr">
        <ns0:is>
          <ns0:t>E0063</ns0:t>
        </ns0:is>
      </ns0:c>
      <ns0:c r="G103" t="n">
        <ns0:v>0</ns0:v>
      </ns0:c>
      <ns0:c r="H103" t="n">
        <ns0:v>7443</ns0:v>
      </ns0:c>
      <ns0:c r="I103" t="n">
        <ns0:v>358</ns0:v>
      </ns0:c>
      <ns0:c r="J103" t="n">
        <ns0:v>7801</ns0:v>
      </ns0:c>
      <ns0:c r="K103" t="n">
        <ns0:v>3</ns0:v>
      </ns0:c>
      <ns0:c r="L103" t="n">
        <ns0:v>1</ns0:v>
      </ns0:c>
      <ns0:c r="M103" t="n">
        <ns0:v>83201</ns0:v>
      </ns0:c>
      <ns0:c r="N103" t="n">
        <ns0:v>994</ns0:v>
      </ns0:c>
      <ns0:c r="O103" t="n">
        <ns0:v>84195</ns0:v>
      </ns0:c>
      <ns0:c r="P103" t="n">
        <ns0:v>11</ns0:v>
      </ns0:c>
      <ns0:c r="Q103">
        <ns0:f>IF(AND(L103=1,O103*Calculations!$B$2&lt;=Calculations!$B$10*Calculations!$B$4),1,0)</ns0:f>
        <ns0:v>0</ns0:v>
      </ns0:c>
      <ns0:c r="R103">
        <ns0:f>IF(AND(L103=1,O103*Calculations!$B$2&lt;=Calculations!$B$11*Calculations!$B$4),1,0)</ns0:f>
        <ns0:v>0</ns0:v>
      </ns0:c>
    </ns0:row>
    <ns0:row r="104">
      <ns0:c r="A104" t="inlineStr">
        <ns0:is>
          <ns0:t>case_0103</ns0:t>
        </ns0:is>
      </ns0:c>
      <ns0:c r="B104" t="inlineStr">
        <ns0:is>
          <ns0:t>function_0017</ns0:t>
        </ns0:is>
      </ns0:c>
      <ns0:c r="C104" t="inlineStr">
        <ns0:is>
          <ns0:t>run_001</ns0:t>
        </ns0:is>
      </ns0:c>
      <ns0:c r="D104" t="inlineStr">
        <ns0:is>
          <ns0:t>humantime</ns0:t>
        </ns0:is>
      </ns0:c>
      <ns0:c r="E104" t="inlineStr">
        <ns0:is>
          <ns0:t>claude-3-5-haiku-20241022</ns0:t>
        </ns0:is>
      </ns0:c>
      <ns0:c r="F104" t="inlineStr">
        <ns0:is>
          <ns0:t>E0433</ns0:t>
        </ns0:is>
      </ns0:c>
      <ns0:c r="G104" t="n">
        <ns0:v>0</ns0:v>
      </ns0:c>
      <ns0:c r="H104" t="n">
        <ns0:v>4481</ns0:v>
      </ns0:c>
      <ns0:c r="I104" t="n">
        <ns0:v>327</ns0:v>
      </ns0:c>
      <ns0:c r="J104" t="n">
        <ns0:v>4808</ns0:v>
      </ns0:c>
      <ns0:c r="K104" t="n">
        <ns0:v>3</ns0:v>
      </ns0:c>
      <ns0:c r="L104" t="n">
        <ns0:v>1</ns0:v>
      </ns0:c>
      <ns0:c r="M104" t="n">
        <ns0:v>139908</ns0:v>
      </ns0:c>
      <ns0:c r="N104" t="n">
        <ns0:v>1361</ns0:v>
      </ns0:c>
      <ns0:c r="O104" t="n">
        <ns0:v>141269</ns0:v>
      </ns0:c>
      <ns0:c r="P104" t="n">
        <ns0:v>15</ns0:v>
      </ns0:c>
      <ns0:c r="Q104">
        <ns0:f>IF(AND(L104=1,O104*Calculations!$B$2&lt;=Calculations!$B$10*Calculations!$B$4),1,0)</ns0:f>
        <ns0:v>0</ns0:v>
      </ns0:c>
      <ns0:c r="R104">
        <ns0:f>IF(AND(L104=1,O104*Calculations!$B$2&lt;=Calculations!$B$11*Calculations!$B$4),1,0)</ns0:f>
        <ns0:v>0</ns0:v>
      </ns0:c>
    </ns0:row>
    <ns0:row r="105">
      <ns0:c r="A105" t="inlineStr">
        <ns0:is>
          <ns0:t>case_0104</ns0:t>
        </ns0:is>
      </ns0:c>
      <ns0:c r="B105" t="inlineStr">
        <ns0:is>
          <ns0:t>function_0017</ns0:t>
        </ns0:is>
      </ns0:c>
      <ns0:c r="C105" t="inlineStr">
        <ns0:is>
          <ns0:t>run_001</ns0:t>
        </ns0:is>
      </ns0:c>
      <ns0:c r="D105" t="inlineStr">
        <ns0:is>
          <ns0:t>humantime</ns0:t>
        </ns0:is>
      </ns0:c>
      <ns0:c r="E105" t="inlineStr">
        <ns0:is>
          <ns0:t>claude-3-5-haiku-20241022</ns0:t>
        </ns0:is>
      </ns0:c>
      <ns0:c r="F105" t="inlineStr">
        <ns0:is>
          <ns0:t>E0433</ns0:t>
        </ns0:is>
      </ns0:c>
      <ns0:c r="G105" t="n">
        <ns0:v>1</ns0:v>
      </ns0:c>
      <ns0:c r="H105" t="n">
        <ns0:v>2182</ns0:v>
      </ns0:c>
      <ns0:c r="I105" t="n">
        <ns0:v>125</ns0:v>
      </ns0:c>
      <ns0:c r="J105" t="n">
        <ns0:v>2307</ns0:v>
      </ns0:c>
      <ns0:c r="K105" t="n">
        <ns0:v>1</ns0:v>
      </ns0:c>
      <ns0:c r="L105" t="n">
        <ns0:v>1</ns0:v>
      </ns0:c>
      <ns0:c r="M105" t="n">
        <ns0:v>64539</ns0:v>
      </ns0:c>
      <ns0:c r="N105" t="n">
        <ns0:v>481</ns0:v>
      </ns0:c>
      <ns0:c r="O105" t="n">
        <ns0:v>65020</ns0:v>
      </ns0:c>
      <ns0:c r="P105" t="n">
        <ns0:v>6</ns0:v>
      </ns0:c>
      <ns0:c r="Q105">
        <ns0:f>IF(AND(L105=1,O105*Calculations!$B$2&lt;=Calculations!$B$10*Calculations!$B$4),1,0)</ns0:f>
        <ns0:v>0</ns0:v>
      </ns0:c>
      <ns0:c r="R105">
        <ns0:f>IF(AND(L105=1,O105*Calculations!$B$2&lt;=Calculations!$B$11*Calculations!$B$4),1,0)</ns0:f>
        <ns0:v>0</ns0:v>
      </ns0:c>
    </ns0:row>
    <ns0:row r="106">
      <ns0:c r="A106" t="inlineStr">
        <ns0:is>
          <ns0:t>case_0105</ns0:t>
        </ns0:is>
      </ns0:c>
      <ns0:c r="B106" t="inlineStr">
        <ns0:is>
          <ns0:t>function_0017</ns0:t>
        </ns0:is>
      </ns0:c>
      <ns0:c r="C106" t="inlineStr">
        <ns0:is>
          <ns0:t>run_001</ns0:t>
        </ns0:is>
      </ns0:c>
      <ns0:c r="D106" t="inlineStr">
        <ns0:is>
          <ns0:t>humantime</ns0:t>
        </ns0:is>
      </ns0:c>
      <ns0:c r="E106" t="inlineStr">
        <ns0:is>
          <ns0:t>claude-3-5-haiku-20241022</ns0:t>
        </ns0:is>
      </ns0:c>
      <ns0:c r="F106" t="inlineStr">
        <ns0:is>
          <ns0:t>E0433</ns0:t>
        </ns0:is>
      </ns0:c>
      <ns0:c r="G106" t="n">
        <ns0:v>1</ns0:v>
      </ns0:c>
      <ns0:c r="H106" t="n">
        <ns0:v>2223</ns0:v>
      </ns0:c>
      <ns0:c r="I106" t="n">
        <ns0:v>134</ns0:v>
      </ns0:c>
      <ns0:c r="J106" t="n">
        <ns0:v>2357</ns0:v>
      </ns0:c>
      <ns0:c r="K106" t="n">
        <ns0:v>1</ns0:v>
      </ns0:c>
      <ns0:c r="L106" t="n">
        <ns0:v>1</ns0:v>
      </ns0:c>
      <ns0:c r="M106" t="n">
        <ns0:v>50036</ns0:v>
      </ns0:c>
      <ns0:c r="N106" t="n">
        <ns0:v>714</ns0:v>
      </ns0:c>
      <ns0:c r="O106" t="n">
        <ns0:v>50750</ns0:v>
      </ns0:c>
      <ns0:c r="P106" t="n">
        <ns0:v>7</ns0:v>
      </ns0:c>
      <ns0:c r="Q106">
        <ns0:f>IF(AND(L106=1,O106*Calculations!$B$2&lt;=Calculations!$B$10*Calculations!$B$4),1,0)</ns0:f>
        <ns0:v>0</ns0:v>
      </ns0:c>
      <ns0:c r="R106">
        <ns0:f>IF(AND(L106=1,O106*Calculations!$B$2&lt;=Calculations!$B$11*Calculations!$B$4),1,0)</ns0:f>
        <ns0:v>0</ns0:v>
      </ns0:c>
    </ns0:row>
    <ns0:row r="107">
      <ns0:c r="A107" t="inlineStr">
        <ns0:is>
          <ns0:t>case_0106</ns0:t>
        </ns0:is>
      </ns0:c>
      <ns0:c r="B107" t="inlineStr">
        <ns0:is>
          <ns0:t>function_0017</ns0:t>
        </ns0:is>
      </ns0:c>
      <ns0:c r="C107" t="inlineStr">
        <ns0:is>
          <ns0:t>run_001</ns0:t>
        </ns0:is>
      </ns0:c>
      <ns0:c r="D107" t="inlineStr">
        <ns0:is>
          <ns0:t>humantime</ns0:t>
        </ns0:is>
      </ns0:c>
      <ns0:c r="E107" t="inlineStr">
        <ns0:is>
          <ns0:t>claude-3-5-haiku-20241022</ns0:t>
        </ns0:is>
      </ns0:c>
      <ns0:c r="F107" t="inlineStr">
        <ns0:is>
          <ns0:t>E0432</ns0:t>
        </ns0:is>
      </ns0:c>
      <ns0:c r="G107" t="n">
        <ns0:v>0</ns0:v>
      </ns0:c>
      <ns0:c r="H107" t="n">
        <ns0:v>7025</ns0:v>
      </ns0:c>
      <ns0:c r="I107" t="n">
        <ns0:v>375</ns0:v>
      </ns0:c>
      <ns0:c r="J107" t="n">
        <ns0:v>7400</ns0:v>
      </ns0:c>
      <ns0:c r="K107" t="n">
        <ns0:v>3</ns0:v>
      </ns0:c>
      <ns0:c r="L107" t="n">
        <ns0:v>0</ns0:v>
      </ns0:c>
      <ns0:c r="M107" t="n">
        <ns0:v>75723</ns0:v>
      </ns0:c>
      <ns0:c r="N107" t="n">
        <ns0:v>2391</ns0:v>
      </ns0:c>
      <ns0:c r="O107" t="n">
        <ns0:v>78114</ns0:v>
      </ns0:c>
      <ns0:c r="P107" t="n">
        <ns0:v>10</ns0:v>
      </ns0:c>
      <ns0:c r="Q107">
        <ns0:f>IF(AND(L107=1,O107*Calculations!$B$2&lt;=Calculations!$B$10*Calculations!$B$4),1,0)</ns0:f>
        <ns0:v>0</ns0:v>
      </ns0:c>
      <ns0:c r="R107">
        <ns0:f>IF(AND(L107=1,O107*Calculations!$B$2&lt;=Calculations!$B$11*Calculations!$B$4),1,0)</ns0:f>
        <ns0:v>0</ns0:v>
      </ns0:c>
    </ns0:row>
    <ns0:row r="108">
      <ns0:c r="A108" t="inlineStr">
        <ns0:is>
          <ns0:t>case_0107</ns0:t>
        </ns0:is>
      </ns0:c>
      <ns0:c r="B108" t="inlineStr">
        <ns0:is>
          <ns0:t>function_0017</ns0:t>
        </ns0:is>
      </ns0:c>
      <ns0:c r="C108" t="inlineStr">
        <ns0:is>
          <ns0:t>run_001</ns0:t>
        </ns0:is>
      </ns0:c>
      <ns0:c r="D108" t="inlineStr">
        <ns0:is>
          <ns0:t>humantime</ns0:t>
        </ns0:is>
      </ns0:c>
      <ns0:c r="E108" t="inlineStr">
        <ns0:is>
          <ns0:t>claude-3-5-haiku-20241022</ns0:t>
        </ns0:is>
      </ns0:c>
      <ns0:c r="F108" t="inlineStr">
        <ns0:is>
          <ns0:t>E0432</ns0:t>
        </ns0:is>
      </ns0:c>
      <ns0:c r="G108" t="n">
        <ns0:v>0</ns0:v>
      </ns0:c>
      <ns0:c r="H108" t="n">
        <ns0:v>7219</ns0:v>
      </ns0:c>
      <ns0:c r="I108" t="n">
        <ns0:v>390</ns0:v>
      </ns0:c>
      <ns0:c r="J108" t="n">
        <ns0:v>7609</ns0:v>
      </ns0:c>
      <ns0:c r="K108" t="n">
        <ns0:v>3</ns0:v>
      </ns0:c>
      <ns0:c r="L108" t="n">
        <ns0:v>1</ns0:v>
      </ns0:c>
      <ns0:c r="M108" t="n">
        <ns0:v>50140</ns0:v>
      </ns0:c>
      <ns0:c r="N108" t="n">
        <ns0:v>1200</ns0:v>
      </ns0:c>
      <ns0:c r="O108" t="n">
        <ns0:v>51340</ns0:v>
      </ns0:c>
      <ns0:c r="P108" t="n">
        <ns0:v>4</ns0:v>
      </ns0:c>
      <ns0:c r="Q108">
        <ns0:f>IF(AND(L108=1,O108*Calculations!$B$2&lt;=Calculations!$B$10*Calculations!$B$4),1,0)</ns0:f>
        <ns0:v>0</ns0:v>
      </ns0:c>
      <ns0:c r="R108">
        <ns0:f>IF(AND(L108=1,O108*Calculations!$B$2&lt;=Calculations!$B$11*Calculations!$B$4),1,0)</ns0:f>
        <ns0:v>0</ns0:v>
      </ns0:c>
    </ns0:row>
    <ns0:row r="109">
      <ns0:c r="A109" t="inlineStr">
        <ns0:is>
          <ns0:t>case_0108</ns0:t>
        </ns0:is>
      </ns0:c>
      <ns0:c r="B109" t="inlineStr">
        <ns0:is>
          <ns0:t>function_0017</ns0:t>
        </ns0:is>
      </ns0:c>
      <ns0:c r="C109" t="inlineStr">
        <ns0:is>
          <ns0:t>run_001</ns0:t>
        </ns0:is>
      </ns0:c>
      <ns0:c r="D109" t="inlineStr">
        <ns0:is>
          <ns0:t>humantime</ns0:t>
        </ns0:is>
      </ns0:c>
      <ns0:c r="E109" t="inlineStr">
        <ns0:is>
          <ns0:t>claude-3-5-haiku-20241022</ns0:t>
        </ns0:is>
      </ns0:c>
      <ns0:c r="F109" t="inlineStr">
        <ns0:is>
          <ns0:t>E0432</ns0:t>
        </ns0:is>
      </ns0:c>
      <ns0:c r="G109" t="n">
        <ns0:v>0</ns0:v>
      </ns0:c>
      <ns0:c r="H109" t="n">
        <ns0:v>4498</ns0:v>
      </ns0:c>
      <ns0:c r="I109" t="n">
        <ns0:v>285</ns0:v>
      </ns0:c>
      <ns0:c r="J109" t="n">
        <ns0:v>4783</ns0:v>
      </ns0:c>
      <ns0:c r="K109" t="n">
        <ns0:v>3</ns0:v>
      </ns0:c>
      <ns0:c r="L109" t="n">
        <ns0:v>0</ns0:v>
      </ns0:c>
      <ns0:c r="M109" t="n">
        <ns0:v>35258</ns0:v>
      </ns0:c>
      <ns0:c r="N109" t="n">
        <ns0:v>854</ns0:v>
      </ns0:c>
      <ns0:c r="O109" t="n">
        <ns0:v>36112</ns0:v>
      </ns0:c>
      <ns0:c r="P109" t="n">
        <ns0:v>5</ns0:v>
      </ns0:c>
      <ns0:c r="Q109">
        <ns0:f>IF(AND(L109=1,O109*Calculations!$B$2&lt;=Calculations!$B$10*Calculations!$B$4),1,0)</ns0:f>
        <ns0:v>0</ns0:v>
      </ns0:c>
      <ns0:c r="R109">
        <ns0:f>IF(AND(L109=1,O109*Calculations!$B$2&lt;=Calculations!$B$11*Calculations!$B$4),1,0)</ns0:f>
        <ns0:v>0</ns0:v>
      </ns0:c>
    </ns0:row>
    <ns0:row r="110">
      <ns0:c r="A110" t="inlineStr">
        <ns0:is>
          <ns0:t>case_0109</ns0:t>
        </ns0:is>
      </ns0:c>
      <ns0:c r="B110" t="inlineStr">
        <ns0:is>
          <ns0:t>function_0017</ns0:t>
        </ns0:is>
      </ns0:c>
      <ns0:c r="C110" t="inlineStr">
        <ns0:is>
          <ns0:t>run_001</ns0:t>
        </ns0:is>
      </ns0:c>
      <ns0:c r="D110" t="inlineStr">
        <ns0:is>
          <ns0:t>humantime</ns0:t>
        </ns0:is>
      </ns0:c>
      <ns0:c r="E110" t="inlineStr">
        <ns0:is>
          <ns0:t>claude-3-5-haiku-20241022</ns0:t>
        </ns0:is>
      </ns0:c>
      <ns0:c r="F110" t="inlineStr">
        <ns0:is>
          <ns0:t>E0599</ns0:t>
        </ns0:is>
      </ns0:c>
      <ns0:c r="G110" t="n">
        <ns0:v>0</ns0:v>
      </ns0:c>
      <ns0:c r="H110" t="n">
        <ns0:v>5961</ns0:v>
      </ns0:c>
      <ns0:c r="I110" t="n">
        <ns0:v>345</ns0:v>
      </ns0:c>
      <ns0:c r="J110" t="n">
        <ns0:v>6306</ns0:v>
      </ns0:c>
      <ns0:c r="K110" t="n">
        <ns0:v>3</ns0:v>
      </ns0:c>
      <ns0:c r="L110" t="n">
        <ns0:v>1</ns0:v>
      </ns0:c>
      <ns0:c r="M110" t="n">
        <ns0:v>58385</ns0:v>
      </ns0:c>
      <ns0:c r="N110" t="n">
        <ns0:v>1132</ns0:v>
      </ns0:c>
      <ns0:c r="O110" t="n">
        <ns0:v>59517</ns0:v>
      </ns0:c>
      <ns0:c r="P110" t="n">
        <ns0:v>5</ns0:v>
      </ns0:c>
      <ns0:c r="Q110">
        <ns0:f>IF(AND(L110=1,O110*Calculations!$B$2&lt;=Calculations!$B$10*Calculations!$B$4),1,0)</ns0:f>
        <ns0:v>0</ns0:v>
      </ns0:c>
      <ns0:c r="R110">
        <ns0:f>IF(AND(L110=1,O110*Calculations!$B$2&lt;=Calculations!$B$11*Calculations!$B$4),1,0)</ns0:f>
        <ns0:v>0</ns0:v>
      </ns0:c>
    </ns0:row>
    <ns0:row r="111">
      <ns0:c r="A111" t="inlineStr">
        <ns0:is>
          <ns0:t>case_0110</ns0:t>
        </ns0:is>
      </ns0:c>
      <ns0:c r="B111" t="inlineStr">
        <ns0:is>
          <ns0:t>function_0017</ns0:t>
        </ns0:is>
      </ns0:c>
      <ns0:c r="C111" t="inlineStr">
        <ns0:is>
          <ns0:t>run_001</ns0:t>
        </ns0:is>
      </ns0:c>
      <ns0:c r="D111" t="inlineStr">
        <ns0:is>
          <ns0:t>humantime</ns0:t>
        </ns0:is>
      </ns0:c>
      <ns0:c r="E111" t="inlineStr">
        <ns0:is>
          <ns0:t>claude-3-5-haiku-20241022</ns0:t>
        </ns0:is>
      </ns0:c>
      <ns0:c r="F111" t="inlineStr">
        <ns0:is>
          <ns0:t>E0599</ns0:t>
        </ns0:is>
      </ns0:c>
      <ns0:c r="G111" t="n">
        <ns0:v>1</ns0:v>
      </ns0:c>
      <ns0:c r="H111" t="n">
        <ns0:v>1886</ns0:v>
      </ns0:c>
      <ns0:c r="I111" t="n">
        <ns0:v>120</ns0:v>
      </ns0:c>
      <ns0:c r="J111" t="n">
        <ns0:v>2006</ns0:v>
      </ns0:c>
      <ns0:c r="K111" t="n">
        <ns0:v>1</ns0:v>
      </ns0:c>
      <ns0:c r="L111" t="n">
        <ns0:v>1</ns0:v>
      </ns0:c>
      <ns0:c r="M111" t="n">
        <ns0:v>49672</ns0:v>
      </ns0:c>
      <ns0:c r="N111" t="n">
        <ns0:v>495</ns0:v>
      </ns0:c>
      <ns0:c r="O111" t="n">
        <ns0:v>50167</ns0:v>
      </ns0:c>
      <ns0:c r="P111" t="n">
        <ns0:v>4</ns0:v>
      </ns0:c>
      <ns0:c r="Q111">
        <ns0:f>IF(AND(L111=1,O111*Calculations!$B$2&lt;=Calculations!$B$10*Calculations!$B$4),1,0)</ns0:f>
        <ns0:v>0</ns0:v>
      </ns0:c>
      <ns0:c r="R111">
        <ns0:f>IF(AND(L111=1,O111*Calculations!$B$2&lt;=Calculations!$B$11*Calculations!$B$4),1,0)</ns0:f>
        <ns0:v>0</ns0:v>
      </ns0:c>
    </ns0:row>
    <ns0:row r="112">
      <ns0:c r="A112" t="inlineStr">
        <ns0:is>
          <ns0:t>case_0111</ns0:t>
        </ns0:is>
      </ns0:c>
      <ns0:c r="B112" t="inlineStr">
        <ns0:is>
          <ns0:t>function_0017</ns0:t>
        </ns0:is>
      </ns0:c>
      <ns0:c r="C112" t="inlineStr">
        <ns0:is>
          <ns0:t>run_001</ns0:t>
        </ns0:is>
      </ns0:c>
      <ns0:c r="D112" t="inlineStr">
        <ns0:is>
          <ns0:t>humantime</ns0:t>
        </ns0:is>
      </ns0:c>
      <ns0:c r="E112" t="inlineStr">
        <ns0:is>
          <ns0:t>claude-3-5-haiku-20241022</ns0:t>
        </ns0:is>
      </ns0:c>
      <ns0:c r="F112" t="inlineStr">
        <ns0:is>
          <ns0:t>E0433,E0599</ns0:t>
        </ns0:is>
      </ns0:c>
      <ns0:c r="G112" t="n">
        <ns0:v>0</ns0:v>
      </ns0:c>
      <ns0:c r="H112" t="n">
        <ns0:v>5980</ns0:v>
      </ns0:c>
      <ns0:c r="I112" t="n">
        <ns0:v>290</ns0:v>
      </ns0:c>
      <ns0:c r="J112" t="n">
        <ns0:v>6270</ns0:v>
      </ns0:c>
      <ns0:c r="K112" t="n">
        <ns0:v>3</ns0:v>
      </ns0:c>
      <ns0:c r="L112" t="n">
        <ns0:v>1</ns0:v>
      </ns0:c>
      <ns0:c r="M112" t="n">
        <ns0:v>99822</ns0:v>
      </ns0:c>
      <ns0:c r="N112" t="n">
        <ns0:v>1468</ns0:v>
      </ns0:c>
      <ns0:c r="O112" t="n">
        <ns0:v>101290</ns0:v>
      </ns0:c>
      <ns0:c r="P112" t="n">
        <ns0:v>13</ns0:v>
      </ns0:c>
      <ns0:c r="Q112">
        <ns0:f>IF(AND(L112=1,O112*Calculations!$B$2&lt;=Calculations!$B$10*Calculations!$B$4),1,0)</ns0:f>
        <ns0:v>0</ns0:v>
      </ns0:c>
      <ns0:c r="R112">
        <ns0:f>IF(AND(L112=1,O112*Calculations!$B$2&lt;=Calculations!$B$11*Calculations!$B$4),1,0)</ns0:f>
        <ns0:v>0</ns0:v>
      </ns0:c>
    </ns0:row>
    <ns0:row r="113">
      <ns0:c r="A113" t="inlineStr">
        <ns0:is>
          <ns0:t>case_0112</ns0:t>
        </ns0:is>
      </ns0:c>
      <ns0:c r="B113" t="inlineStr">
        <ns0:is>
          <ns0:t>function_0018</ns0:t>
        </ns0:is>
      </ns0:c>
      <ns0:c r="C113" t="inlineStr">
        <ns0:is>
          <ns0:t>run_001</ns0:t>
        </ns0:is>
      </ns0:c>
      <ns0:c r="D113" t="inlineStr">
        <ns0:is>
          <ns0:t>humantime</ns0:t>
        </ns0:is>
      </ns0:c>
      <ns0:c r="E113" t="inlineStr">
        <ns0:is>
          <ns0:t>claude-3-5-haiku-20241022</ns0:t>
        </ns0:is>
      </ns0:c>
      <ns0:c r="F113" t="inlineStr">
        <ns0:is>
          <ns0:t>E0061,E0308</ns0:t>
        </ns0:is>
      </ns0:c>
      <ns0:c r="G113" t="n">
        <ns0:v>0</ns0:v>
      </ns0:c>
      <ns0:c r="H113" t="n">
        <ns0:v>2264</ns0:v>
      </ns0:c>
      <ns0:c r="I113" t="n">
        <ns0:v>255</ns0:v>
      </ns0:c>
      <ns0:c r="J113" t="n">
        <ns0:v>2519</ns0:v>
      </ns0:c>
      <ns0:c r="K113" t="n">
        <ns0:v>3</ns0:v>
      </ns0:c>
      <ns0:c r="L113" t="n">
        <ns0:v>1</ns0:v>
      </ns0:c>
      <ns0:c r="M113" t="n">
        <ns0:v>123970</ns0:v>
      </ns0:c>
      <ns0:c r="N113" t="n">
        <ns0:v>3446</ns0:v>
      </ns0:c>
      <ns0:c r="O113" t="n">
        <ns0:v>127416</ns0:v>
      </ns0:c>
      <ns0:c r="P113" t="n">
        <ns0:v>8</ns0:v>
      </ns0:c>
      <ns0:c r="Q113">
        <ns0:f>IF(AND(L113=1,O113*Calculations!$B$2&lt;=Calculations!$B$10*Calculations!$B$4),1,0)</ns0:f>
        <ns0:v>0</ns0:v>
      </ns0:c>
      <ns0:c r="R113">
        <ns0:f>IF(AND(L113=1,O113*Calculations!$B$2&lt;=Calculations!$B$11*Calculations!$B$4),1,0)</ns0:f>
        <ns0:v>0</ns0:v>
      </ns0:c>
    </ns0:row>
    <ns0:row r="114">
      <ns0:c r="A114" t="inlineStr">
        <ns0:is>
          <ns0:t>case_0113</ns0:t>
        </ns0:is>
      </ns0:c>
      <ns0:c r="B114" t="inlineStr">
        <ns0:is>
          <ns0:t>function_0018</ns0:t>
        </ns0:is>
      </ns0:c>
      <ns0:c r="C114" t="inlineStr">
        <ns0:is>
          <ns0:t>run_001</ns0:t>
        </ns0:is>
      </ns0:c>
      <ns0:c r="D114" t="inlineStr">
        <ns0:is>
          <ns0:t>humantime</ns0:t>
        </ns0:is>
      </ns0:c>
      <ns0:c r="E114" t="inlineStr">
        <ns0:is>
          <ns0:t>claude-3-5-haiku-20241022</ns0:t>
        </ns0:is>
      </ns0:c>
      <ns0:c r="F114" t="inlineStr">
        <ns0:is>
          <ns0:t>E0061,E0308</ns0:t>
        </ns0:is>
      </ns0:c>
      <ns0:c r="G114" t="n">
        <ns0:v>1</ns0:v>
      </ns0:c>
      <ns0:c r="H114" t="n">
        <ns0:v>0</ns0:v>
      </ns0:c>
      <ns0:c r="I114" t="n">
        <ns0:v>0</ns0:v>
      </ns0:c>
      <ns0:c r="J114" t="n">
        <ns0:v>0</ns0:v>
      </ns0:c>
      <ns0:c r="K114" t="n">
        <ns0:v>0</ns0:v>
      </ns0:c>
      <ns0:c r="L114" t="n">
        <ns0:v>0</ns0:v>
      </ns0:c>
      <ns0:c r="M114" t="n">
        <ns0:v>343954</ns0:v>
      </ns0:c>
      <ns0:c r="N114" t="n">
        <ns0:v>9999</ns0:v>
      </ns0:c>
      <ns0:c r="O114" t="n">
        <ns0:v>353953</ns0:v>
      </ns0:c>
      <ns0:c r="P114" t="n">
        <ns0:v>20</ns0:v>
      </ns0:c>
      <ns0:c r="Q114">
        <ns0:f>IF(AND(L114=1,O114*Calculations!$B$2&lt;=Calculations!$B$10*Calculations!$B$4),1,0)</ns0:f>
        <ns0:v>0</ns0:v>
      </ns0:c>
      <ns0:c r="R114">
        <ns0:f>IF(AND(L114=1,O114*Calculations!$B$2&lt;=Calculations!$B$11*Calculations!$B$4),1,0)</ns0:f>
        <ns0:v>0</ns0:v>
      </ns0:c>
    </ns0:row>
    <ns0:row r="115">
      <ns0:c r="A115" t="inlineStr">
        <ns0:is>
          <ns0:t>case_0114</ns0:t>
        </ns0:is>
      </ns0:c>
      <ns0:c r="B115" t="inlineStr">
        <ns0:is>
          <ns0:t>function_0018</ns0:t>
        </ns0:is>
      </ns0:c>
      <ns0:c r="C115" t="inlineStr">
        <ns0:is>
          <ns0:t>run_001</ns0:t>
        </ns0:is>
      </ns0:c>
      <ns0:c r="D115" t="inlineStr">
        <ns0:is>
          <ns0:t>humantime</ns0:t>
        </ns0:is>
      </ns0:c>
      <ns0:c r="E115" t="inlineStr">
        <ns0:is>
          <ns0:t>claude-3-5-haiku-20241022</ns0:t>
        </ns0:is>
      </ns0:c>
      <ns0:c r="F115" t="inlineStr">
        <ns0:is>
          <ns0:t>E0061,E0308</ns0:t>
        </ns0:is>
      </ns0:c>
      <ns0:c r="G115" t="n">
        <ns0:v>1</ns0:v>
      </ns0:c>
      <ns0:c r="H115" t="n">
        <ns0:v>0</ns0:v>
      </ns0:c>
      <ns0:c r="I115" t="n">
        <ns0:v>0</ns0:v>
      </ns0:c>
      <ns0:c r="J115" t="n">
        <ns0:v>0</ns0:v>
      </ns0:c>
      <ns0:c r="K115" t="n">
        <ns0:v>0</ns0:v>
      </ns0:c>
      <ns0:c r="L115" t="n">
        <ns0:v>1</ns0:v>
      </ns0:c>
      <ns0:c r="M115" t="n">
        <ns0:v>213627</ns0:v>
      </ns0:c>
      <ns0:c r="N115" t="n">
        <ns0:v>9206</ns0:v>
      </ns0:c>
      <ns0:c r="O115" t="n">
        <ns0:v>222833</ns0:v>
      </ns0:c>
      <ns0:c r="P115" t="n">
        <ns0:v>21</ns0:v>
      </ns0:c>
      <ns0:c r="Q115">
        <ns0:f>IF(AND(L115=1,O115*Calculations!$B$2&lt;=Calculations!$B$10*Calculations!$B$4),1,0)</ns0:f>
        <ns0:v>0</ns0:v>
      </ns0:c>
      <ns0:c r="R115">
        <ns0:f>IF(AND(L115=1,O115*Calculations!$B$2&lt;=Calculations!$B$11*Calculations!$B$4),1,0)</ns0:f>
        <ns0:v>0</ns0:v>
      </ns0:c>
    </ns0:row>
    <ns0:row r="116">
      <ns0:c r="A116" t="inlineStr">
        <ns0:is>
          <ns0:t>case_0115</ns0:t>
        </ns0:is>
      </ns0:c>
      <ns0:c r="B116" t="inlineStr">
        <ns0:is>
          <ns0:t>function_0018</ns0:t>
        </ns0:is>
      </ns0:c>
      <ns0:c r="C116" t="inlineStr">
        <ns0:is>
          <ns0:t>run_001</ns0:t>
        </ns0:is>
      </ns0:c>
      <ns0:c r="D116" t="inlineStr">
        <ns0:is>
          <ns0:t>humantime</ns0:t>
        </ns0:is>
      </ns0:c>
      <ns0:c r="E116" t="inlineStr">
        <ns0:is>
          <ns0:t>claude-3-5-haiku-20241022</ns0:t>
        </ns0:is>
      </ns0:c>
      <ns0:c r="F116" t="inlineStr">
        <ns0:is>
          <ns0:t>E0061,E0433</ns0:t>
        </ns0:is>
      </ns0:c>
      <ns0:c r="G116" t="n">
        <ns0:v>0</ns0:v>
      </ns0:c>
      <ns0:c r="H116" t="n">
        <ns0:v>3833</ns0:v>
      </ns0:c>
      <ns0:c r="I116" t="n">
        <ns0:v>273</ns0:v>
      </ns0:c>
      <ns0:c r="J116" t="n">
        <ns0:v>4106</ns0:v>
      </ns0:c>
      <ns0:c r="K116" t="n">
        <ns0:v>3</ns0:v>
      </ns0:c>
      <ns0:c r="L116" t="n">
        <ns0:v>0</ns0:v>
      </ns0:c>
      <ns0:c r="M116" t="n">
        <ns0:v>214277</ns0:v>
      </ns0:c>
      <ns0:c r="N116" t="n">
        <ns0:v>3407</ns0:v>
      </ns0:c>
      <ns0:c r="O116" t="n">
        <ns0:v>217684</ns0:v>
      </ns0:c>
      <ns0:c r="P116" t="n">
        <ns0:v>20</ns0:v>
      </ns0:c>
      <ns0:c r="Q116">
        <ns0:f>IF(AND(L116=1,O116*Calculations!$B$2&lt;=Calculations!$B$10*Calculations!$B$4),1,0)</ns0:f>
        <ns0:v>0</ns0:v>
      </ns0:c>
      <ns0:c r="R116">
        <ns0:f>IF(AND(L116=1,O116*Calculations!$B$2&lt;=Calculations!$B$11*Calculations!$B$4),1,0)</ns0:f>
        <ns0:v>0</ns0:v>
      </ns0:c>
    </ns0:row>
    <ns0:row r="117">
      <ns0:c r="A117" t="inlineStr">
        <ns0:is>
          <ns0:t>case_0116</ns0:t>
        </ns0:is>
      </ns0:c>
      <ns0:c r="B117" t="inlineStr">
        <ns0:is>
          <ns0:t>function_0018</ns0:t>
        </ns0:is>
      </ns0:c>
      <ns0:c r="C117" t="inlineStr">
        <ns0:is>
          <ns0:t>run_001</ns0:t>
        </ns0:is>
      </ns0:c>
      <ns0:c r="D117" t="inlineStr">
        <ns0:is>
          <ns0:t>humantime</ns0:t>
        </ns0:is>
      </ns0:c>
      <ns0:c r="E117" t="inlineStr">
        <ns0:is>
          <ns0:t>claude-3-5-haiku-20241022</ns0:t>
        </ns0:is>
      </ns0:c>
      <ns0:c r="F117" t="inlineStr">
        <ns0:is>
          <ns0:t>E0061,E0433</ns0:t>
        </ns0:is>
      </ns0:c>
      <ns0:c r="G117" t="n">
        <ns0:v>0</ns0:v>
      </ns0:c>
      <ns0:c r="H117" t="n">
        <ns0:v>3902</ns0:v>
      </ns0:c>
      <ns0:c r="I117" t="n">
        <ns0:v>301</ns0:v>
      </ns0:c>
      <ns0:c r="J117" t="n">
        <ns0:v>4203</ns0:v>
      </ns0:c>
      <ns0:c r="K117" t="n">
        <ns0:v>3</ns0:v>
      </ns0:c>
      <ns0:c r="L117" t="n">
        <ns0:v>1</ns0:v>
      </ns0:c>
      <ns0:c r="M117" t="n">
        <ns0:v>444436</ns0:v>
      </ns0:c>
      <ns0:c r="N117" t="n">
        <ns0:v>13313</ns0:v>
      </ns0:c>
      <ns0:c r="O117" t="n">
        <ns0:v>457749</ns0:v>
      </ns0:c>
      <ns0:c r="P117" t="n">
        <ns0:v>19</ns0:v>
      </ns0:c>
      <ns0:c r="Q117">
        <ns0:f>IF(AND(L117=1,O117*Calculations!$B$2&lt;=Calculations!$B$10*Calculations!$B$4),1,0)</ns0:f>
        <ns0:v>0</ns0:v>
      </ns0:c>
      <ns0:c r="R117">
        <ns0:f>IF(AND(L117=1,O117*Calculations!$B$2&lt;=Calculations!$B$11*Calculations!$B$4),1,0)</ns0:f>
        <ns0:v>0</ns0:v>
      </ns0:c>
    </ns0:row>
    <ns0:row r="118">
      <ns0:c r="A118" t="inlineStr">
        <ns0:is>
          <ns0:t>case_0117</ns0:t>
        </ns0:is>
      </ns0:c>
      <ns0:c r="B118" t="inlineStr">
        <ns0:is>
          <ns0:t>function_0018</ns0:t>
        </ns0:is>
      </ns0:c>
      <ns0:c r="C118" t="inlineStr">
        <ns0:is>
          <ns0:t>run_001</ns0:t>
        </ns0:is>
      </ns0:c>
      <ns0:c r="D118" t="inlineStr">
        <ns0:is>
          <ns0:t>humantime</ns0:t>
        </ns0:is>
      </ns0:c>
      <ns0:c r="E118" t="inlineStr">
        <ns0:is>
          <ns0:t>claude-3-5-haiku-20241022</ns0:t>
        </ns0:is>
      </ns0:c>
      <ns0:c r="F118" t="inlineStr">
        <ns0:is>
          <ns0:t>E0061,E0433</ns0:t>
        </ns0:is>
      </ns0:c>
      <ns0:c r="G118" t="n">
        <ns0:v>0</ns0:v>
      </ns0:c>
      <ns0:c r="H118" t="n">
        <ns0:v>3750</ns0:v>
      </ns0:c>
      <ns0:c r="I118" t="n">
        <ns0:v>286</ns0:v>
      </ns0:c>
      <ns0:c r="J118" t="n">
        <ns0:v>4036</ns0:v>
      </ns0:c>
      <ns0:c r="K118" t="n">
        <ns0:v>3</ns0:v>
      </ns0:c>
      <ns0:c r="L118" t="n">
        <ns0:v>0</ns0:v>
      </ns0:c>
      <ns0:c r="M118" t="n">
        <ns0:v>795897</ns0:v>
      </ns0:c>
      <ns0:c r="N118" t="n">
        <ns0:v>30839</ns0:v>
      </ns0:c>
      <ns0:c r="O118" t="n">
        <ns0:v>826736</ns0:v>
      </ns0:c>
      <ns0:c r="P118" t="n">
        <ns0:v>20</ns0:v>
      </ns0:c>
      <ns0:c r="Q118">
        <ns0:f>IF(AND(L118=1,O118*Calculations!$B$2&lt;=Calculations!$B$10*Calculations!$B$4),1,0)</ns0:f>
        <ns0:v>0</ns0:v>
      </ns0:c>
      <ns0:c r="R118">
        <ns0:f>IF(AND(L118=1,O118*Calculations!$B$2&lt;=Calculations!$B$11*Calculations!$B$4),1,0)</ns0:f>
        <ns0:v>0</ns0:v>
      </ns0:c>
    </ns0:row>
    <ns0:row r="119">
      <ns0:c r="A119" t="inlineStr">
        <ns0:is>
          <ns0:t>case_0118</ns0:t>
        </ns0:is>
      </ns0:c>
      <ns0:c r="B119" t="inlineStr">
        <ns0:is>
          <ns0:t>function_0019</ns0:t>
        </ns0:is>
      </ns0:c>
      <ns0:c r="C119" t="inlineStr">
        <ns0:is>
          <ns0:t>run_001</ns0:t>
        </ns0:is>
      </ns0:c>
      <ns0:c r="D119" t="inlineStr">
        <ns0:is>
          <ns0:t>humantime</ns0:t>
        </ns0:is>
      </ns0:c>
      <ns0:c r="E119" t="inlineStr">
        <ns0:is>
          <ns0:t>claude-3-5-haiku-20241022</ns0:t>
        </ns0:is>
      </ns0:c>
      <ns0:c r="F119" t="inlineStr">
        <ns0:is>
          <ns0:t>E0599</ns0:t>
        </ns0:is>
      </ns0:c>
      <ns0:c r="G119" t="n">
        <ns0:v>0</ns0:v>
      </ns0:c>
      <ns0:c r="H119" t="n">
        <ns0:v>2367</ns0:v>
      </ns0:c>
      <ns0:c r="I119" t="n">
        <ns0:v>290</ns0:v>
      </ns0:c>
      <ns0:c r="J119" t="n">
        <ns0:v>2657</ns0:v>
      </ns0:c>
      <ns0:c r="K119" t="n">
        <ns0:v>3</ns0:v>
      </ns0:c>
      <ns0:c r="L119" t="n">
        <ns0:v>0</ns0:v>
      </ns0:c>
      <ns0:c r="M119" t="n">
        <ns0:v>219899</ns0:v>
      </ns0:c>
      <ns0:c r="N119" t="n">
        <ns0:v>5775</ns0:v>
      </ns0:c>
      <ns0:c r="O119" t="n">
        <ns0:v>225674</ns0:v>
      </ns0:c>
      <ns0:c r="P119" t="n">
        <ns0:v>20</ns0:v>
      </ns0:c>
      <ns0:c r="Q119">
        <ns0:f>IF(AND(L119=1,O119*Calculations!$B$2&lt;=Calculations!$B$10*Calculations!$B$4),1,0)</ns0:f>
        <ns0:v>0</ns0:v>
      </ns0:c>
      <ns0:c r="R119">
        <ns0:f>IF(AND(L119=1,O119*Calculations!$B$2&lt;=Calculations!$B$11*Calculations!$B$4),1,0)</ns0:f>
        <ns0:v>0</ns0:v>
      </ns0:c>
    </ns0:row>
    <ns0:row r="120">
      <ns0:c r="A120" t="inlineStr">
        <ns0:is>
          <ns0:t>case_0119</ns0:t>
        </ns0:is>
      </ns0:c>
      <ns0:c r="B120" t="inlineStr">
        <ns0:is>
          <ns0:t>function_0019</ns0:t>
        </ns0:is>
      </ns0:c>
      <ns0:c r="C120" t="inlineStr">
        <ns0:is>
          <ns0:t>run_001</ns0:t>
        </ns0:is>
      </ns0:c>
      <ns0:c r="D120" t="inlineStr">
        <ns0:is>
          <ns0:t>humantime</ns0:t>
        </ns0:is>
      </ns0:c>
      <ns0:c r="E120" t="inlineStr">
        <ns0:is>
          <ns0:t>claude-3-5-haiku-20241022</ns0:t>
        </ns0:is>
      </ns0:c>
      <ns0:c r="F120" t="inlineStr">
        <ns0:is>
          <ns0:t>E0599</ns0:t>
        </ns0:is>
      </ns0:c>
      <ns0:c r="G120" t="n">
        <ns0:v>0</ns0:v>
      </ns0:c>
      <ns0:c r="H120" t="n">
        <ns0:v>2243</ns0:v>
      </ns0:c>
      <ns0:c r="I120" t="n">
        <ns0:v>255</ns0:v>
      </ns0:c>
      <ns0:c r="J120" t="n">
        <ns0:v>2498</ns0:v>
      </ns0:c>
      <ns0:c r="K120" t="n">
        <ns0:v>3</ns0:v>
      </ns0:c>
      <ns0:c r="L120" t="n">
        <ns0:v>0</ns0:v>
      </ns0:c>
      <ns0:c r="M120" t="n">
        <ns0:v>172505</ns0:v>
      </ns0:c>
      <ns0:c r="N120" t="n">
        <ns0:v>3745</ns0:v>
      </ns0:c>
      <ns0:c r="O120" t="n">
        <ns0:v>176250</ns0:v>
      </ns0:c>
      <ns0:c r="P120" t="n">
        <ns0:v>20</ns0:v>
      </ns0:c>
      <ns0:c r="Q120">
        <ns0:f>IF(AND(L120=1,O120*Calculations!$B$2&lt;=Calculations!$B$10*Calculations!$B$4),1,0)</ns0:f>
        <ns0:v>0</ns0:v>
      </ns0:c>
      <ns0:c r="R120">
        <ns0:f>IF(AND(L120=1,O120*Calculations!$B$2&lt;=Calculations!$B$11*Calculations!$B$4),1,0)</ns0:f>
        <ns0:v>0</ns0:v>
      </ns0:c>
    </ns0:row>
    <ns0:row r="121">
      <ns0:c r="A121" t="inlineStr">
        <ns0:is>
          <ns0:t>case_0120</ns0:t>
        </ns0:is>
      </ns0:c>
      <ns0:c r="B121" t="inlineStr">
        <ns0:is>
          <ns0:t>function_0019</ns0:t>
        </ns0:is>
      </ns0:c>
      <ns0:c r="C121" t="inlineStr">
        <ns0:is>
          <ns0:t>run_001</ns0:t>
        </ns0:is>
      </ns0:c>
      <ns0:c r="D121" t="inlineStr">
        <ns0:is>
          <ns0:t>humantime</ns0:t>
        </ns0:is>
      </ns0:c>
      <ns0:c r="E121" t="inlineStr">
        <ns0:is>
          <ns0:t>claude-3-5-haiku-20241022</ns0:t>
        </ns0:is>
      </ns0:c>
      <ns0:c r="F121" t="inlineStr">
        <ns0:is>
          <ns0:t>E0599</ns0:t>
        </ns0:is>
      </ns0:c>
      <ns0:c r="G121" t="n">
        <ns0:v>0</ns0:v>
      </ns0:c>
      <ns0:c r="H121" t="n">
        <ns0:v>2377</ns0:v>
      </ns0:c>
      <ns0:c r="I121" t="n">
        <ns0:v>257</ns0:v>
      </ns0:c>
      <ns0:c r="J121" t="n">
        <ns0:v>2634</ns0:v>
      </ns0:c>
      <ns0:c r="K121" t="n">
        <ns0:v>3</ns0:v>
      </ns0:c>
      <ns0:c r="L121" t="n">
        <ns0:v>0</ns0:v>
      </ns0:c>
      <ns0:c r="M121" t="n">
        <ns0:v>360804</ns0:v>
      </ns0:c>
      <ns0:c r="N121" t="n">
        <ns0:v>7524</ns0:v>
      </ns0:c>
      <ns0:c r="O121" t="n">
        <ns0:v>368328</ns0:v>
      </ns0:c>
      <ns0:c r="P121" t="n">
        <ns0:v>20</ns0:v>
      </ns0:c>
      <ns0:c r="Q121">
        <ns0:f>IF(AND(L121=1,O121*Calculations!$B$2&lt;=Calculations!$B$10*Calculations!$B$4),1,0)</ns0:f>
        <ns0:v>0</ns0:v>
      </ns0:c>
      <ns0:c r="R121">
        <ns0:f>IF(AND(L121=1,O121*Calculations!$B$2&lt;=Calculations!$B$11*Calculations!$B$4),1,0)</ns0:f>
        <ns0:v>0</ns0:v>
      </ns0:c>
    </ns0:row>
    <ns0:row r="122">
      <ns0:c r="A122" t="inlineStr">
        <ns0:is>
          <ns0:t>case_0121</ns0:t>
        </ns0:is>
      </ns0:c>
      <ns0:c r="B122" t="inlineStr">
        <ns0:is>
          <ns0:t>function_0019</ns0:t>
        </ns0:is>
      </ns0:c>
      <ns0:c r="C122" t="inlineStr">
        <ns0:is>
          <ns0:t>run_001</ns0:t>
        </ns0:is>
      </ns0:c>
      <ns0:c r="D122" t="inlineStr">
        <ns0:is>
          <ns0:t>humantime</ns0:t>
        </ns0:is>
      </ns0:c>
      <ns0:c r="E122" t="inlineStr">
        <ns0:is>
          <ns0:t>claude-3-5-haiku-20241022</ns0:t>
        </ns0:is>
      </ns0:c>
      <ns0:c r="F122" t="inlineStr">
        <ns0:is>
          <ns0:t>E0433,E0599</ns0:t>
        </ns0:is>
      </ns0:c>
      <ns0:c r="G122" t="n">
        <ns0:v>0</ns0:v>
      </ns0:c>
      <ns0:c r="H122" t="n">
        <ns0:v>2447</ns0:v>
      </ns0:c>
      <ns0:c r="I122" t="n">
        <ns0:v>261</ns0:v>
      </ns0:c>
      <ns0:c r="J122" t="n">
        <ns0:v>2708</ns0:v>
      </ns0:c>
      <ns0:c r="K122" t="n">
        <ns0:v>3</ns0:v>
      </ns0:c>
      <ns0:c r="L122" t="n">
        <ns0:v>0</ns0:v>
      </ns0:c>
      <ns0:c r="M122" t="n">
        <ns0:v>181330</ns0:v>
      </ns0:c>
      <ns0:c r="N122" t="n">
        <ns0:v>2533</ns0:v>
      </ns0:c>
      <ns0:c r="O122" t="n">
        <ns0:v>183863</ns0:v>
      </ns0:c>
      <ns0:c r="P122" t="n">
        <ns0:v>20</ns0:v>
      </ns0:c>
      <ns0:c r="Q122">
        <ns0:f>IF(AND(L122=1,O122*Calculations!$B$2&lt;=Calculations!$B$10*Calculations!$B$4),1,0)</ns0:f>
        <ns0:v>0</ns0:v>
      </ns0:c>
      <ns0:c r="R122">
        <ns0:f>IF(AND(L122=1,O122*Calculations!$B$2&lt;=Calculations!$B$11*Calculations!$B$4),1,0)</ns0:f>
        <ns0:v>0</ns0:v>
      </ns0:c>
    </ns0:row>
    <ns0:row r="123">
      <ns0:c r="A123" t="inlineStr">
        <ns0:is>
          <ns0:t>case_0122</ns0:t>
        </ns0:is>
      </ns0:c>
      <ns0:c r="B123" t="inlineStr">
        <ns0:is>
          <ns0:t>function_0019</ns0:t>
        </ns0:is>
      </ns0:c>
      <ns0:c r="C123" t="inlineStr">
        <ns0:is>
          <ns0:t>run_001</ns0:t>
        </ns0:is>
      </ns0:c>
      <ns0:c r="D123" t="inlineStr">
        <ns0:is>
          <ns0:t>humantime</ns0:t>
        </ns0:is>
      </ns0:c>
      <ns0:c r="E123" t="inlineStr">
        <ns0:is>
          <ns0:t>claude-3-5-haiku-20241022</ns0:t>
        </ns0:is>
      </ns0:c>
      <ns0:c r="F123" t="inlineStr">
        <ns0:is>
          <ns0:t>E0433,E0599</ns0:t>
        </ns0:is>
      </ns0:c>
      <ns0:c r="G123" t="n">
        <ns0:v>0</ns0:v>
      </ns0:c>
      <ns0:c r="H123" t="n">
        <ns0:v>2489</ns0:v>
      </ns0:c>
      <ns0:c r="I123" t="n">
        <ns0:v>282</ns0:v>
      </ns0:c>
      <ns0:c r="J123" t="n">
        <ns0:v>2771</ns0:v>
      </ns0:c>
      <ns0:c r="K123" t="n">
        <ns0:v>3</ns0:v>
      </ns0:c>
      <ns0:c r="L123" t="n">
        <ns0:v>0</ns0:v>
      </ns0:c>
      <ns0:c r="M123" t="n">
        <ns0:v>428185</ns0:v>
      </ns0:c>
      <ns0:c r="N123" t="n">
        <ns0:v>16398</ns0:v>
      </ns0:c>
      <ns0:c r="O123" t="n">
        <ns0:v>444583</ns0:v>
      </ns0:c>
      <ns0:c r="P123" t="n">
        <ns0:v>20</ns0:v>
      </ns0:c>
      <ns0:c r="Q123">
        <ns0:f>IF(AND(L123=1,O123*Calculations!$B$2&lt;=Calculations!$B$10*Calculations!$B$4),1,0)</ns0:f>
        <ns0:v>0</ns0:v>
      </ns0:c>
      <ns0:c r="R123">
        <ns0:f>IF(AND(L123=1,O123*Calculations!$B$2&lt;=Calculations!$B$11*Calculations!$B$4),1,0)</ns0:f>
        <ns0:v>0</ns0:v>
      </ns0:c>
    </ns0:row>
    <ns0:row r="124">
      <ns0:c r="A124" t="inlineStr">
        <ns0:is>
          <ns0:t>case_0123</ns0:t>
        </ns0:is>
      </ns0:c>
      <ns0:c r="B124" t="inlineStr">
        <ns0:is>
          <ns0:t>function_0019</ns0:t>
        </ns0:is>
      </ns0:c>
      <ns0:c r="C124" t="inlineStr">
        <ns0:is>
          <ns0:t>run_001</ns0:t>
        </ns0:is>
      </ns0:c>
      <ns0:c r="D124" t="inlineStr">
        <ns0:is>
          <ns0:t>humantime</ns0:t>
        </ns0:is>
      </ns0:c>
      <ns0:c r="E124" t="inlineStr">
        <ns0:is>
          <ns0:t>claude-3-5-haiku-20241022</ns0:t>
        </ns0:is>
      </ns0:c>
      <ns0:c r="F124" t="inlineStr">
        <ns0:is>
          <ns0:t>E0433,E0599</ns0:t>
        </ns0:is>
      </ns0:c>
      <ns0:c r="G124" t="n">
        <ns0:v>0</ns0:v>
      </ns0:c>
      <ns0:c r="H124" t="n">
        <ns0:v>2556</ns0:v>
      </ns0:c>
      <ns0:c r="I124" t="n">
        <ns0:v>284</ns0:v>
      </ns0:c>
      <ns0:c r="J124" t="n">
        <ns0:v>2840</ns0:v>
      </ns0:c>
      <ns0:c r="K124" t="n">
        <ns0:v>3</ns0:v>
      </ns0:c>
      <ns0:c r="L124" t="n">
        <ns0:v>0</ns0:v>
      </ns0:c>
      <ns0:c r="M124" t="n">
        <ns0:v>462669</ns0:v>
      </ns0:c>
      <ns0:c r="N124" t="n">
        <ns0:v>11447</ns0:v>
      </ns0:c>
      <ns0:c r="O124" t="n">
        <ns0:v>474116</ns0:v>
      </ns0:c>
      <ns0:c r="P124" t="n">
        <ns0:v>20</ns0:v>
      </ns0:c>
      <ns0:c r="Q124">
        <ns0:f>IF(AND(L124=1,O124*Calculations!$B$2&lt;=Calculations!$B$10*Calculations!$B$4),1,0)</ns0:f>
        <ns0:v>0</ns0:v>
      </ns0:c>
      <ns0:c r="R124">
        <ns0:f>IF(AND(L124=1,O124*Calculations!$B$2&lt;=Calculations!$B$11*Calculations!$B$4),1,0)</ns0:f>
        <ns0:v>0</ns0:v>
      </ns0:c>
    </ns0:row>
    <ns0:row r="125">
      <ns0:c r="A125" t="inlineStr">
        <ns0:is>
          <ns0:t>case_0124</ns0:t>
        </ns0:is>
      </ns0:c>
      <ns0:c r="B125" t="inlineStr">
        <ns0:is>
          <ns0:t>function_0020</ns0:t>
        </ns0:is>
      </ns0:c>
      <ns0:c r="C125" t="inlineStr">
        <ns0:is>
          <ns0:t>run_002</ns0:t>
        </ns0:is>
      </ns0:c>
      <ns0:c r="D125" t="inlineStr">
        <ns0:is>
          <ns0:t>humantime</ns0:t>
        </ns0:is>
      </ns0:c>
      <ns0:c r="E125" t="inlineStr">
        <ns0:is>
          <ns0:t>deepseek-v3</ns0:t>
        </ns0:is>
      </ns0:c>
      <ns0:c r="F125" t="inlineStr">
        <ns0:is>
          <ns0:t>E0433</ns0:t>
        </ns0:is>
      </ns0:c>
      <ns0:c r="G125" t="n">
        <ns0:v>1</ns0:v>
      </ns0:c>
      <ns0:c r="H125" t="n">
        <ns0:v>0</ns0:v>
      </ns0:c>
      <ns0:c r="I125" t="n">
        <ns0:v>0</ns0:v>
      </ns0:c>
      <ns0:c r="J125" t="n">
        <ns0:v>0</ns0:v>
      </ns0:c>
      <ns0:c r="K125" t="n">
        <ns0:v>0</ns0:v>
      </ns0:c>
      <ns0:c r="L125" t="n">
        <ns0:v>1</ns0:v>
      </ns0:c>
      <ns0:c r="M125" t="n">
        <ns0:v>34438</ns0:v>
      </ns0:c>
      <ns0:c r="N125" t="n">
        <ns0:v>517</ns0:v>
      </ns0:c>
      <ns0:c r="O125" t="n">
        <ns0:v>34955</ns0:v>
      </ns0:c>
      <ns0:c r="P125" t="n">
        <ns0:v>5</ns0:v>
      </ns0:c>
      <ns0:c r="Q125">
        <ns0:f>IF(AND(L125=1,O125*Calculations!$B$2&lt;=Calculations!$B$10*Calculations!$B$4),1,0)</ns0:f>
        <ns0:v>0</ns0:v>
      </ns0:c>
      <ns0:c r="R125">
        <ns0:f>IF(AND(L125=1,O125*Calculations!$B$2&lt;=Calculations!$B$11*Calculations!$B$4),1,0)</ns0:f>
        <ns0:v>1</ns0:v>
      </ns0:c>
    </ns0:row>
    <ns0:row r="126">
      <ns0:c r="A126" t="inlineStr">
        <ns0:is>
          <ns0:t>case_0125</ns0:t>
        </ns0:is>
      </ns0:c>
      <ns0:c r="B126" t="inlineStr">
        <ns0:is>
          <ns0:t>function_0020</ns0:t>
        </ns0:is>
      </ns0:c>
      <ns0:c r="C126" t="inlineStr">
        <ns0:is>
          <ns0:t>run_002</ns0:t>
        </ns0:is>
      </ns0:c>
      <ns0:c r="D126" t="inlineStr">
        <ns0:is>
          <ns0:t>humantime</ns0:t>
        </ns0:is>
      </ns0:c>
      <ns0:c r="E126" t="inlineStr">
        <ns0:is>
          <ns0:t>deepseek-v3</ns0:t>
        </ns0:is>
      </ns0:c>
      <ns0:c r="F126" t="inlineStr">
        <ns0:is>
          <ns0:t>E0433</ns0:t>
        </ns0:is>
      </ns0:c>
      <ns0:c r="G126" t="n">
        <ns0:v>1</ns0:v>
      </ns0:c>
      <ns0:c r="H126" t="n">
        <ns0:v>0</ns0:v>
      </ns0:c>
      <ns0:c r="I126" t="n">
        <ns0:v>0</ns0:v>
      </ns0:c>
      <ns0:c r="J126" t="n">
        <ns0:v>0</ns0:v>
      </ns0:c>
      <ns0:c r="K126" t="n">
        <ns0:v>0</ns0:v>
      </ns0:c>
      <ns0:c r="L126" t="n">
        <ns0:v>1</ns0:v>
      </ns0:c>
      <ns0:c r="M126" t="n">
        <ns0:v>42073</ns0:v>
      </ns0:c>
      <ns0:c r="N126" t="n">
        <ns0:v>760</ns0:v>
      </ns0:c>
      <ns0:c r="O126" t="n">
        <ns0:v>42833</ns0:v>
      </ns0:c>
      <ns0:c r="P126" t="n">
        <ns0:v>6</ns0:v>
      </ns0:c>
      <ns0:c r="Q126">
        <ns0:f>IF(AND(L126=1,O126*Calculations!$B$2&lt;=Calculations!$B$10*Calculations!$B$4),1,0)</ns0:f>
        <ns0:v>0</ns0:v>
      </ns0:c>
      <ns0:c r="R126">
        <ns0:f>IF(AND(L126=1,O126*Calculations!$B$2&lt;=Calculations!$B$11*Calculations!$B$4),1,0)</ns0:f>
        <ns0:v>1</ns0:v>
      </ns0:c>
    </ns0:row>
    <ns0:row r="127">
      <ns0:c r="A127" t="inlineStr">
        <ns0:is>
          <ns0:t>case_0126</ns0:t>
        </ns0:is>
      </ns0:c>
      <ns0:c r="B127" t="inlineStr">
        <ns0:is>
          <ns0:t>function_0020</ns0:t>
        </ns0:is>
      </ns0:c>
      <ns0:c r="C127" t="inlineStr">
        <ns0:is>
          <ns0:t>run_002</ns0:t>
        </ns0:is>
      </ns0:c>
      <ns0:c r="D127" t="inlineStr">
        <ns0:is>
          <ns0:t>humantime</ns0:t>
        </ns0:is>
      </ns0:c>
      <ns0:c r="E127" t="inlineStr">
        <ns0:is>
          <ns0:t>deepseek-v3</ns0:t>
        </ns0:is>
      </ns0:c>
      <ns0:c r="F127" t="inlineStr">
        <ns0:is>
          <ns0:t>E0433</ns0:t>
        </ns0:is>
      </ns0:c>
      <ns0:c r="G127" t="n">
        <ns0:v>1</ns0:v>
      </ns0:c>
      <ns0:c r="H127" t="n">
        <ns0:v>0</ns0:v>
      </ns0:c>
      <ns0:c r="I127" t="n">
        <ns0:v>0</ns0:v>
      </ns0:c>
      <ns0:c r="J127" t="n">
        <ns0:v>0</ns0:v>
      </ns0:c>
      <ns0:c r="K127" t="n">
        <ns0:v>0</ns0:v>
      </ns0:c>
      <ns0:c r="L127" t="n">
        <ns0:v>1</ns0:v>
      </ns0:c>
      <ns0:c r="M127" t="n">
        <ns0:v>20130</ns0:v>
      </ns0:c>
      <ns0:c r="N127" t="n">
        <ns0:v>268</ns0:v>
      </ns0:c>
      <ns0:c r="O127" t="n">
        <ns0:v>20398</ns0:v>
      </ns0:c>
      <ns0:c r="P127" t="n">
        <ns0:v>3</ns0:v>
      </ns0:c>
      <ns0:c r="Q127">
        <ns0:f>IF(AND(L127=1,O127*Calculations!$B$2&lt;=Calculations!$B$10*Calculations!$B$4),1,0)</ns0:f>
        <ns0:v>1</ns0:v>
      </ns0:c>
      <ns0:c r="R127">
        <ns0:f>IF(AND(L127=1,O127*Calculations!$B$2&lt;=Calculations!$B$11*Calculations!$B$4),1,0)</ns0:f>
        <ns0:v>1</ns0:v>
      </ns0:c>
    </ns0:row>
    <ns0:row r="128">
      <ns0:c r="A128" t="inlineStr">
        <ns0:is>
          <ns0:t>case_0127</ns0:t>
        </ns0:is>
      </ns0:c>
      <ns0:c r="B128" t="inlineStr">
        <ns0:is>
          <ns0:t>function_0021</ns0:t>
        </ns0:is>
      </ns0:c>
      <ns0:c r="C128" t="inlineStr">
        <ns0:is>
          <ns0:t>run_002</ns0:t>
        </ns0:is>
      </ns0:c>
      <ns0:c r="D128" t="inlineStr">
        <ns0:is>
          <ns0:t>humantime</ns0:t>
        </ns0:is>
      </ns0:c>
      <ns0:c r="E128" t="inlineStr">
        <ns0:is>
          <ns0:t>deepseek-v3</ns0:t>
        </ns0:is>
      </ns0:c>
      <ns0:c r="F128" t="inlineStr">
        <ns0:is>
          <ns0:t>E0433</ns0:t>
        </ns0:is>
      </ns0:c>
      <ns0:c r="G128" t="n">
        <ns0:v>1</ns0:v>
      </ns0:c>
      <ns0:c r="H128" t="n">
        <ns0:v>0</ns0:v>
      </ns0:c>
      <ns0:c r="I128" t="n">
        <ns0:v>0</ns0:v>
      </ns0:c>
      <ns0:c r="J128" t="n">
        <ns0:v>0</ns0:v>
      </ns0:c>
      <ns0:c r="K128" t="n">
        <ns0:v>0</ns0:v>
      </ns0:c>
      <ns0:c r="L128" t="n">
        <ns0:v>1</ns0:v>
      </ns0:c>
      <ns0:c r="M128" t="n">
        <ns0:v>31321</ns0:v>
      </ns0:c>
      <ns0:c r="N128" t="n">
        <ns0:v>467</ns0:v>
      </ns0:c>
      <ns0:c r="O128" t="n">
        <ns0:v>31788</ns0:v>
      </ns0:c>
      <ns0:c r="P128" t="n">
        <ns0:v>4</ns0:v>
      </ns0:c>
      <ns0:c r="Q128">
        <ns0:f>IF(AND(L128=1,O128*Calculations!$B$2&lt;=Calculations!$B$10*Calculations!$B$4),1,0)</ns0:f>
        <ns0:v>0</ns0:v>
      </ns0:c>
      <ns0:c r="R128">
        <ns0:f>IF(AND(L128=1,O128*Calculations!$B$2&lt;=Calculations!$B$11*Calculations!$B$4),1,0)</ns0:f>
        <ns0:v>1</ns0:v>
      </ns0:c>
    </ns0:row>
    <ns0:row r="129">
      <ns0:c r="A129" t="inlineStr">
        <ns0:is>
          <ns0:t>case_0128</ns0:t>
        </ns0:is>
      </ns0:c>
      <ns0:c r="B129" t="inlineStr">
        <ns0:is>
          <ns0:t>function_0021</ns0:t>
        </ns0:is>
      </ns0:c>
      <ns0:c r="C129" t="inlineStr">
        <ns0:is>
          <ns0:t>run_002</ns0:t>
        </ns0:is>
      </ns0:c>
      <ns0:c r="D129" t="inlineStr">
        <ns0:is>
          <ns0:t>humantime</ns0:t>
        </ns0:is>
      </ns0:c>
      <ns0:c r="E129" t="inlineStr">
        <ns0:is>
          <ns0:t>deepseek-v3</ns0:t>
        </ns0:is>
      </ns0:c>
      <ns0:c r="F129" t="inlineStr">
        <ns0:is>
          <ns0:t>E0433</ns0:t>
        </ns0:is>
      </ns0:c>
      <ns0:c r="G129" t="n">
        <ns0:v>1</ns0:v>
      </ns0:c>
      <ns0:c r="H129" t="n">
        <ns0:v>0</ns0:v>
      </ns0:c>
      <ns0:c r="I129" t="n">
        <ns0:v>0</ns0:v>
      </ns0:c>
      <ns0:c r="J129" t="n">
        <ns0:v>0</ns0:v>
      </ns0:c>
      <ns0:c r="K129" t="n">
        <ns0:v>0</ns0:v>
      </ns0:c>
      <ns0:c r="L129" t="n">
        <ns0:v>1</ns0:v>
      </ns0:c>
      <ns0:c r="M129" t="n">
        <ns0:v>20044</ns0:v>
      </ns0:c>
      <ns0:c r="N129" t="n">
        <ns0:v>302</ns0:v>
      </ns0:c>
      <ns0:c r="O129" t="n">
        <ns0:v>20346</ns0:v>
      </ns0:c>
      <ns0:c r="P129" t="n">
        <ns0:v>3</ns0:v>
      </ns0:c>
      <ns0:c r="Q129">
        <ns0:f>IF(AND(L129=1,O129*Calculations!$B$2&lt;=Calculations!$B$10*Calculations!$B$4),1,0)</ns0:f>
        <ns0:v>1</ns0:v>
      </ns0:c>
      <ns0:c r="R129">
        <ns0:f>IF(AND(L129=1,O129*Calculations!$B$2&lt;=Calculations!$B$11*Calculations!$B$4),1,0)</ns0:f>
        <ns0:v>1</ns0:v>
      </ns0:c>
    </ns0:row>
    <ns0:row r="130">
      <ns0:c r="A130" t="inlineStr">
        <ns0:is>
          <ns0:t>case_0129</ns0:t>
        </ns0:is>
      </ns0:c>
      <ns0:c r="B130" t="inlineStr">
        <ns0:is>
          <ns0:t>function_0021</ns0:t>
        </ns0:is>
      </ns0:c>
      <ns0:c r="C130" t="inlineStr">
        <ns0:is>
          <ns0:t>run_002</ns0:t>
        </ns0:is>
      </ns0:c>
      <ns0:c r="D130" t="inlineStr">
        <ns0:is>
          <ns0:t>humantime</ns0:t>
        </ns0:is>
      </ns0:c>
      <ns0:c r="E130" t="inlineStr">
        <ns0:is>
          <ns0:t>deepseek-v3</ns0:t>
        </ns0:is>
      </ns0:c>
      <ns0:c r="F130" t="inlineStr">
        <ns0:is>
          <ns0:t>E0433</ns0:t>
        </ns0:is>
      </ns0:c>
      <ns0:c r="G130" t="n">
        <ns0:v>1</ns0:v>
      </ns0:c>
      <ns0:c r="H130" t="n">
        <ns0:v>0</ns0:v>
      </ns0:c>
      <ns0:c r="I130" t="n">
        <ns0:v>0</ns0:v>
      </ns0:c>
      <ns0:c r="J130" t="n">
        <ns0:v>0</ns0:v>
      </ns0:c>
      <ns0:c r="K130" t="n">
        <ns0:v>0</ns0:v>
      </ns0:c>
      <ns0:c r="L130" t="n">
        <ns0:v>1</ns0:v>
      </ns0:c>
      <ns0:c r="M130" t="n">
        <ns0:v>20076</ns0:v>
      </ns0:c>
      <ns0:c r="N130" t="n">
        <ns0:v>405</ns0:v>
      </ns0:c>
      <ns0:c r="O130" t="n">
        <ns0:v>20481</ns0:v>
      </ns0:c>
      <ns0:c r="P130" t="n">
        <ns0:v>3</ns0:v>
      </ns0:c>
      <ns0:c r="Q130">
        <ns0:f>IF(AND(L130=1,O130*Calculations!$B$2&lt;=Calculations!$B$10*Calculations!$B$4),1,0)</ns0:f>
        <ns0:v>1</ns0:v>
      </ns0:c>
      <ns0:c r="R130">
        <ns0:f>IF(AND(L130=1,O130*Calculations!$B$2&lt;=Calculations!$B$11*Calculations!$B$4),1,0)</ns0:f>
        <ns0:v>1</ns0:v>
      </ns0:c>
    </ns0:row>
    <ns0:row r="131">
      <ns0:c r="A131" t="inlineStr">
        <ns0:is>
          <ns0:t>case_0130</ns0:t>
        </ns0:is>
      </ns0:c>
      <ns0:c r="B131" t="inlineStr">
        <ns0:is>
          <ns0:t>function_0022</ns0:t>
        </ns0:is>
      </ns0:c>
      <ns0:c r="C131" t="inlineStr">
        <ns0:is>
          <ns0:t>run_002</ns0:t>
        </ns0:is>
      </ns0:c>
      <ns0:c r="D131" t="inlineStr">
        <ns0:is>
          <ns0:t>humantime</ns0:t>
        </ns0:is>
      </ns0:c>
      <ns0:c r="E131" t="inlineStr">
        <ns0:is>
          <ns0:t>deepseek-v3</ns0:t>
        </ns0:is>
      </ns0:c>
      <ns0:c r="F131" t="inlineStr">
        <ns0:is>
          <ns0:t>E0433</ns0:t>
        </ns0:is>
      </ns0:c>
      <ns0:c r="G131" t="n">
        <ns0:v>1</ns0:v>
      </ns0:c>
      <ns0:c r="H131" t="n">
        <ns0:v>0</ns0:v>
      </ns0:c>
      <ns0:c r="I131" t="n">
        <ns0:v>0</ns0:v>
      </ns0:c>
      <ns0:c r="J131" t="n">
        <ns0:v>0</ns0:v>
      </ns0:c>
      <ns0:c r="K131" t="n">
        <ns0:v>0</ns0:v>
      </ns0:c>
      <ns0:c r="L131" t="n">
        <ns0:v>1</ns0:v>
      </ns0:c>
      <ns0:c r="M131" t="n">
        <ns0:v>20872</ns0:v>
      </ns0:c>
      <ns0:c r="N131" t="n">
        <ns0:v>243</ns0:v>
      </ns0:c>
      <ns0:c r="O131" t="n">
        <ns0:v>21115</ns0:v>
      </ns0:c>
      <ns0:c r="P131" t="n">
        <ns0:v>3</ns0:v>
      </ns0:c>
      <ns0:c r="Q131">
        <ns0:f>IF(AND(L131=1,O131*Calculations!$B$2&lt;=Calculations!$B$10*Calculations!$B$4),1,0)</ns0:f>
        <ns0:v>1</ns0:v>
      </ns0:c>
      <ns0:c r="R131">
        <ns0:f>IF(AND(L131=1,O131*Calculations!$B$2&lt;=Calculations!$B$11*Calculations!$B$4),1,0)</ns0:f>
        <ns0:v>1</ns0:v>
      </ns0:c>
    </ns0:row>
    <ns0:row r="132">
      <ns0:c r="A132" t="inlineStr">
        <ns0:is>
          <ns0:t>case_0131</ns0:t>
        </ns0:is>
      </ns0:c>
      <ns0:c r="B132" t="inlineStr">
        <ns0:is>
          <ns0:t>function_0023</ns0:t>
        </ns0:is>
      </ns0:c>
      <ns0:c r="C132" t="inlineStr">
        <ns0:is>
          <ns0:t>run_002</ns0:t>
        </ns0:is>
      </ns0:c>
      <ns0:c r="D132" t="inlineStr">
        <ns0:is>
          <ns0:t>humantime</ns0:t>
        </ns0:is>
      </ns0:c>
      <ns0:c r="E132" t="inlineStr">
        <ns0:is>
          <ns0:t>deepseek-v3</ns0:t>
        </ns0:is>
      </ns0:c>
      <ns0:c r="F132" t="inlineStr">
        <ns0:is>
          <ns0:t>E0433</ns0:t>
        </ns0:is>
      </ns0:c>
      <ns0:c r="G132" t="n">
        <ns0:v>1</ns0:v>
      </ns0:c>
      <ns0:c r="H132" t="n">
        <ns0:v>0</ns0:v>
      </ns0:c>
      <ns0:c r="I132" t="n">
        <ns0:v>0</ns0:v>
      </ns0:c>
      <ns0:c r="J132" t="n">
        <ns0:v>0</ns0:v>
      </ns0:c>
      <ns0:c r="K132" t="n">
        <ns0:v>0</ns0:v>
      </ns0:c>
      <ns0:c r="L132" t="n">
        <ns0:v>1</ns0:v>
      </ns0:c>
      <ns0:c r="M132" t="n">
        <ns0:v>20075</ns0:v>
      </ns0:c>
      <ns0:c r="N132" t="n">
        <ns0:v>293</ns0:v>
      </ns0:c>
      <ns0:c r="O132" t="n">
        <ns0:v>20368</ns0:v>
      </ns0:c>
      <ns0:c r="P132" t="n">
        <ns0:v>3</ns0:v>
      </ns0:c>
      <ns0:c r="Q132">
        <ns0:f>IF(AND(L132=1,O132*Calculations!$B$2&lt;=Calculations!$B$10*Calculations!$B$4),1,0)</ns0:f>
        <ns0:v>1</ns0:v>
      </ns0:c>
      <ns0:c r="R132">
        <ns0:f>IF(AND(L132=1,O132*Calculations!$B$2&lt;=Calculations!$B$11*Calculations!$B$4),1,0)</ns0:f>
        <ns0:v>1</ns0:v>
      </ns0:c>
    </ns0:row>
    <ns0:row r="133">
      <ns0:c r="A133" t="inlineStr">
        <ns0:is>
          <ns0:t>case_0132</ns0:t>
        </ns0:is>
      </ns0:c>
      <ns0:c r="B133" t="inlineStr">
        <ns0:is>
          <ns0:t>function_0023</ns0:t>
        </ns0:is>
      </ns0:c>
      <ns0:c r="C133" t="inlineStr">
        <ns0:is>
          <ns0:t>run_002</ns0:t>
        </ns0:is>
      </ns0:c>
      <ns0:c r="D133" t="inlineStr">
        <ns0:is>
          <ns0:t>humantime</ns0:t>
        </ns0:is>
      </ns0:c>
      <ns0:c r="E133" t="inlineStr">
        <ns0:is>
          <ns0:t>deepseek-v3</ns0:t>
        </ns0:is>
      </ns0:c>
      <ns0:c r="F133" t="inlineStr">
        <ns0:is>
          <ns0:t>E0433</ns0:t>
        </ns0:is>
      </ns0:c>
      <ns0:c r="G133" t="n">
        <ns0:v>1</ns0:v>
      </ns0:c>
      <ns0:c r="H133" t="n">
        <ns0:v>0</ns0:v>
      </ns0:c>
      <ns0:c r="I133" t="n">
        <ns0:v>0</ns0:v>
      </ns0:c>
      <ns0:c r="J133" t="n">
        <ns0:v>0</ns0:v>
      </ns0:c>
      <ns0:c r="K133" t="n">
        <ns0:v>0</ns0:v>
      </ns0:c>
      <ns0:c r="L133" t="n">
        <ns0:v>1</ns0:v>
      </ns0:c>
      <ns0:c r="M133" t="n">
        <ns0:v>20143</ns0:v>
      </ns0:c>
      <ns0:c r="N133" t="n">
        <ns0:v>390</ns0:v>
      </ns0:c>
      <ns0:c r="O133" t="n">
        <ns0:v>20533</ns0:v>
      </ns0:c>
      <ns0:c r="P133" t="n">
        <ns0:v>3</ns0:v>
      </ns0:c>
      <ns0:c r="Q133">
        <ns0:f>IF(AND(L133=1,O133*Calculations!$B$2&lt;=Calculations!$B$10*Calculations!$B$4),1,0)</ns0:f>
        <ns0:v>1</ns0:v>
      </ns0:c>
      <ns0:c r="R133">
        <ns0:f>IF(AND(L133=1,O133*Calculations!$B$2&lt;=Calculations!$B$11*Calculations!$B$4),1,0)</ns0:f>
        <ns0:v>1</ns0:v>
      </ns0:c>
    </ns0:row>
    <ns0:row r="134">
      <ns0:c r="A134" t="inlineStr">
        <ns0:is>
          <ns0:t>case_0133</ns0:t>
        </ns0:is>
      </ns0:c>
      <ns0:c r="B134" t="inlineStr">
        <ns0:is>
          <ns0:t>function_0023</ns0:t>
        </ns0:is>
      </ns0:c>
      <ns0:c r="C134" t="inlineStr">
        <ns0:is>
          <ns0:t>run_002</ns0:t>
        </ns0:is>
      </ns0:c>
      <ns0:c r="D134" t="inlineStr">
        <ns0:is>
          <ns0:t>humantime</ns0:t>
        </ns0:is>
      </ns0:c>
      <ns0:c r="E134" t="inlineStr">
        <ns0:is>
          <ns0:t>deepseek-v3</ns0:t>
        </ns0:is>
      </ns0:c>
      <ns0:c r="F134" t="inlineStr">
        <ns0:is>
          <ns0:t>E0433</ns0:t>
        </ns0:is>
      </ns0:c>
      <ns0:c r="G134" t="n">
        <ns0:v>1</ns0:v>
      </ns0:c>
      <ns0:c r="H134" t="n">
        <ns0:v>0</ns0:v>
      </ns0:c>
      <ns0:c r="I134" t="n">
        <ns0:v>0</ns0:v>
      </ns0:c>
      <ns0:c r="J134" t="n">
        <ns0:v>0</ns0:v>
      </ns0:c>
      <ns0:c r="K134" t="n">
        <ns0:v>0</ns0:v>
      </ns0:c>
      <ns0:c r="L134" t="n">
        <ns0:v>1</ns0:v>
      </ns0:c>
      <ns0:c r="M134" t="n">
        <ns0:v>20069</ns0:v>
      </ns0:c>
      <ns0:c r="N134" t="n">
        <ns0:v>459</ns0:v>
      </ns0:c>
      <ns0:c r="O134" t="n">
        <ns0:v>20528</ns0:v>
      </ns0:c>
      <ns0:c r="P134" t="n">
        <ns0:v>3</ns0:v>
      </ns0:c>
      <ns0:c r="Q134">
        <ns0:f>IF(AND(L134=1,O134*Calculations!$B$2&lt;=Calculations!$B$10*Calculations!$B$4),1,0)</ns0:f>
        <ns0:v>1</ns0:v>
      </ns0:c>
      <ns0:c r="R134">
        <ns0:f>IF(AND(L134=1,O134*Calculations!$B$2&lt;=Calculations!$B$11*Calculations!$B$4),1,0)</ns0:f>
        <ns0:v>1</ns0:v>
      </ns0:c>
    </ns0:row>
    <ns0:row r="135">
      <ns0:c r="A135" t="inlineStr">
        <ns0:is>
          <ns0:t>case_0134</ns0:t>
        </ns0:is>
      </ns0:c>
      <ns0:c r="B135" t="inlineStr">
        <ns0:is>
          <ns0:t>function_0024</ns0:t>
        </ns0:is>
      </ns0:c>
      <ns0:c r="C135" t="inlineStr">
        <ns0:is>
          <ns0:t>run_002</ns0:t>
        </ns0:is>
      </ns0:c>
      <ns0:c r="D135" t="inlineStr">
        <ns0:is>
          <ns0:t>humantime</ns0:t>
        </ns0:is>
      </ns0:c>
      <ns0:c r="E135" t="inlineStr">
        <ns0:is>
          <ns0:t>deepseek-v3</ns0:t>
        </ns0:is>
      </ns0:c>
      <ns0:c r="F135" t="inlineStr">
        <ns0:is>
          <ns0:t>E0433</ns0:t>
        </ns0:is>
      </ns0:c>
      <ns0:c r="G135" t="n">
        <ns0:v>1</ns0:v>
      </ns0:c>
      <ns0:c r="H135" t="n">
        <ns0:v>0</ns0:v>
      </ns0:c>
      <ns0:c r="I135" t="n">
        <ns0:v>0</ns0:v>
      </ns0:c>
      <ns0:c r="J135" t="n">
        <ns0:v>0</ns0:v>
      </ns0:c>
      <ns0:c r="K135" t="n">
        <ns0:v>0</ns0:v>
      </ns0:c>
      <ns0:c r="L135" t="n">
        <ns0:v>1</ns0:v>
      </ns0:c>
      <ns0:c r="M135" t="n">
        <ns0:v>19860</ns0:v>
      </ns0:c>
      <ns0:c r="N135" t="n">
        <ns0:v>299</ns0:v>
      </ns0:c>
      <ns0:c r="O135" t="n">
        <ns0:v>20159</ns0:v>
      </ns0:c>
      <ns0:c r="P135" t="n">
        <ns0:v>3</ns0:v>
      </ns0:c>
      <ns0:c r="Q135">
        <ns0:f>IF(AND(L135=1,O135*Calculations!$B$2&lt;=Calculations!$B$10*Calculations!$B$4),1,0)</ns0:f>
        <ns0:v>1</ns0:v>
      </ns0:c>
      <ns0:c r="R135">
        <ns0:f>IF(AND(L135=1,O135*Calculations!$B$2&lt;=Calculations!$B$11*Calculations!$B$4),1,0)</ns0:f>
        <ns0:v>1</ns0:v>
      </ns0:c>
    </ns0:row>
    <ns0:row r="136">
      <ns0:c r="A136" t="inlineStr">
        <ns0:is>
          <ns0:t>case_0135</ns0:t>
        </ns0:is>
      </ns0:c>
      <ns0:c r="B136" t="inlineStr">
        <ns0:is>
          <ns0:t>function_0025</ns0:t>
        </ns0:is>
      </ns0:c>
      <ns0:c r="C136" t="inlineStr">
        <ns0:is>
          <ns0:t>run_002</ns0:t>
        </ns0:is>
      </ns0:c>
      <ns0:c r="D136" t="inlineStr">
        <ns0:is>
          <ns0:t>humantime</ns0:t>
        </ns0:is>
      </ns0:c>
      <ns0:c r="E136" t="inlineStr">
        <ns0:is>
          <ns0:t>deepseek-v3</ns0:t>
        </ns0:is>
      </ns0:c>
      <ns0:c r="F136" t="inlineStr">
        <ns0:is>
          <ns0:t>E0433</ns0:t>
        </ns0:is>
      </ns0:c>
      <ns0:c r="G136" t="n">
        <ns0:v>1</ns0:v>
      </ns0:c>
      <ns0:c r="H136" t="n">
        <ns0:v>0</ns0:v>
      </ns0:c>
      <ns0:c r="I136" t="n">
        <ns0:v>0</ns0:v>
      </ns0:c>
      <ns0:c r="J136" t="n">
        <ns0:v>0</ns0:v>
      </ns0:c>
      <ns0:c r="K136" t="n">
        <ns0:v>0</ns0:v>
      </ns0:c>
      <ns0:c r="L136" t="n">
        <ns0:v>1</ns0:v>
      </ns0:c>
      <ns0:c r="M136" t="n">
        <ns0:v>31428</ns0:v>
      </ns0:c>
      <ns0:c r="N136" t="n">
        <ns0:v>323</ns0:v>
      </ns0:c>
      <ns0:c r="O136" t="n">
        <ns0:v>31751</ns0:v>
      </ns0:c>
      <ns0:c r="P136" t="n">
        <ns0:v>4</ns0:v>
      </ns0:c>
      <ns0:c r="Q136">
        <ns0:f>IF(AND(L136=1,O136*Calculations!$B$2&lt;=Calculations!$B$10*Calculations!$B$4),1,0)</ns0:f>
        <ns0:v>0</ns0:v>
      </ns0:c>
      <ns0:c r="R136">
        <ns0:f>IF(AND(L136=1,O136*Calculations!$B$2&lt;=Calculations!$B$11*Calculations!$B$4),1,0)</ns0:f>
        <ns0:v>1</ns0:v>
      </ns0:c>
    </ns0:row>
    <ns0:row r="137">
      <ns0:c r="A137" t="inlineStr">
        <ns0:is>
          <ns0:t>case_0136</ns0:t>
        </ns0:is>
      </ns0:c>
      <ns0:c r="B137" t="inlineStr">
        <ns0:is>
          <ns0:t>function_0025</ns0:t>
        </ns0:is>
      </ns0:c>
      <ns0:c r="C137" t="inlineStr">
        <ns0:is>
          <ns0:t>run_002</ns0:t>
        </ns0:is>
      </ns0:c>
      <ns0:c r="D137" t="inlineStr">
        <ns0:is>
          <ns0:t>humantime</ns0:t>
        </ns0:is>
      </ns0:c>
      <ns0:c r="E137" t="inlineStr">
        <ns0:is>
          <ns0:t>deepseek-v3</ns0:t>
        </ns0:is>
      </ns0:c>
      <ns0:c r="F137" t="inlineStr">
        <ns0:is>
          <ns0:t>E0433</ns0:t>
        </ns0:is>
      </ns0:c>
      <ns0:c r="G137" t="n">
        <ns0:v>1</ns0:v>
      </ns0:c>
      <ns0:c r="H137" t="n">
        <ns0:v>0</ns0:v>
      </ns0:c>
      <ns0:c r="I137" t="n">
        <ns0:v>0</ns0:v>
      </ns0:c>
      <ns0:c r="J137" t="n">
        <ns0:v>0</ns0:v>
      </ns0:c>
      <ns0:c r="K137" t="n">
        <ns0:v>0</ns0:v>
      </ns0:c>
      <ns0:c r="L137" t="n">
        <ns0:v>1</ns0:v>
      </ns0:c>
      <ns0:c r="M137" t="n">
        <ns0:v>20141</ns0:v>
      </ns0:c>
      <ns0:c r="N137" t="n">
        <ns0:v>294</ns0:v>
      </ns0:c>
      <ns0:c r="O137" t="n">
        <ns0:v>20435</ns0:v>
      </ns0:c>
      <ns0:c r="P137" t="n">
        <ns0:v>3</ns0:v>
      </ns0:c>
      <ns0:c r="Q137">
        <ns0:f>IF(AND(L137=1,O137*Calculations!$B$2&lt;=Calculations!$B$10*Calculations!$B$4),1,0)</ns0:f>
        <ns0:v>1</ns0:v>
      </ns0:c>
      <ns0:c r="R137">
        <ns0:f>IF(AND(L137=1,O137*Calculations!$B$2&lt;=Calculations!$B$11*Calculations!$B$4),1,0)</ns0:f>
        <ns0:v>1</ns0:v>
      </ns0:c>
    </ns0:row>
    <ns0:row r="138">
      <ns0:c r="A138" t="inlineStr">
        <ns0:is>
          <ns0:t>case_0137</ns0:t>
        </ns0:is>
      </ns0:c>
      <ns0:c r="B138" t="inlineStr">
        <ns0:is>
          <ns0:t>function_0025</ns0:t>
        </ns0:is>
      </ns0:c>
      <ns0:c r="C138" t="inlineStr">
        <ns0:is>
          <ns0:t>run_002</ns0:t>
        </ns0:is>
      </ns0:c>
      <ns0:c r="D138" t="inlineStr">
        <ns0:is>
          <ns0:t>humantime</ns0:t>
        </ns0:is>
      </ns0:c>
      <ns0:c r="E138" t="inlineStr">
        <ns0:is>
          <ns0:t>deepseek-v3</ns0:t>
        </ns0:is>
      </ns0:c>
      <ns0:c r="F138" t="inlineStr">
        <ns0:is>
          <ns0:t>E0433</ns0:t>
        </ns0:is>
      </ns0:c>
      <ns0:c r="G138" t="n">
        <ns0:v>1</ns0:v>
      </ns0:c>
      <ns0:c r="H138" t="n">
        <ns0:v>0</ns0:v>
      </ns0:c>
      <ns0:c r="I138" t="n">
        <ns0:v>0</ns0:v>
      </ns0:c>
      <ns0:c r="J138" t="n">
        <ns0:v>0</ns0:v>
      </ns0:c>
      <ns0:c r="K138" t="n">
        <ns0:v>0</ns0:v>
      </ns0:c>
      <ns0:c r="L138" t="n">
        <ns0:v>1</ns0:v>
      </ns0:c>
      <ns0:c r="M138" t="n">
        <ns0:v>31448</ns0:v>
      </ns0:c>
      <ns0:c r="N138" t="n">
        <ns0:v>629</ns0:v>
      </ns0:c>
      <ns0:c r="O138" t="n">
        <ns0:v>32077</ns0:v>
      </ns0:c>
      <ns0:c r="P138" t="n">
        <ns0:v>4</ns0:v>
      </ns0:c>
      <ns0:c r="Q138">
        <ns0:f>IF(AND(L138=1,O138*Calculations!$B$2&lt;=Calculations!$B$10*Calculations!$B$4),1,0)</ns0:f>
        <ns0:v>0</ns0:v>
      </ns0:c>
      <ns0:c r="R138">
        <ns0:f>IF(AND(L138=1,O138*Calculations!$B$2&lt;=Calculations!$B$11*Calculations!$B$4),1,0)</ns0:f>
        <ns0:v>1</ns0:v>
      </ns0:c>
    </ns0:row>
    <ns0:row r="139">
      <ns0:c r="A139" t="inlineStr">
        <ns0:is>
          <ns0:t>case_0138</ns0:t>
        </ns0:is>
      </ns0:c>
      <ns0:c r="B139" t="inlineStr">
        <ns0:is>
          <ns0:t>function_0026</ns0:t>
        </ns0:is>
      </ns0:c>
      <ns0:c r="C139" t="inlineStr">
        <ns0:is>
          <ns0:t>run_002</ns0:t>
        </ns0:is>
      </ns0:c>
      <ns0:c r="D139" t="inlineStr">
        <ns0:is>
          <ns0:t>humantime</ns0:t>
        </ns0:is>
      </ns0:c>
      <ns0:c r="E139" t="inlineStr">
        <ns0:is>
          <ns0:t>deepseek-v3</ns0:t>
        </ns0:is>
      </ns0:c>
      <ns0:c r="F139" t="inlineStr">
        <ns0:is>
          <ns0:t>E0433</ns0:t>
        </ns0:is>
      </ns0:c>
      <ns0:c r="G139" t="n">
        <ns0:v>1</ns0:v>
      </ns0:c>
      <ns0:c r="H139" t="n">
        <ns0:v>653</ns0:v>
      </ns0:c>
      <ns0:c r="I139" t="n">
        <ns0:v>62</ns0:v>
      </ns0:c>
      <ns0:c r="J139" t="n">
        <ns0:v>715</ns0:v>
      </ns0:c>
      <ns0:c r="K139" t="n">
        <ns0:v>1</ns0:v>
      </ns0:c>
      <ns0:c r="L139" t="n">
        <ns0:v>1</ns0:v>
      </ns0:c>
      <ns0:c r="M139" t="n">
        <ns0:v>123423</ns0:v>
      </ns0:c>
      <ns0:c r="N139" t="n">
        <ns0:v>1801</ns0:v>
      </ns0:c>
      <ns0:c r="O139" t="n">
        <ns0:v>125224</ns0:v>
      </ns0:c>
      <ns0:c r="P139" t="n">
        <ns0:v>16</ns0:v>
      </ns0:c>
      <ns0:c r="Q139">
        <ns0:f>IF(AND(L139=1,O139*Calculations!$B$2&lt;=Calculations!$B$10*Calculations!$B$4),1,0)</ns0:f>
        <ns0:v>0</ns0:v>
      </ns0:c>
      <ns0:c r="R139">
        <ns0:f>IF(AND(L139=1,O139*Calculations!$B$2&lt;=Calculations!$B$11*Calculations!$B$4),1,0)</ns0:f>
        <ns0:v>0</ns0:v>
      </ns0:c>
    </ns0:row>
    <ns0:row r="140">
      <ns0:c r="A140" t="inlineStr">
        <ns0:is>
          <ns0:t>case_0139</ns0:t>
        </ns0:is>
      </ns0:c>
      <ns0:c r="B140" t="inlineStr">
        <ns0:is>
          <ns0:t>function_0026</ns0:t>
        </ns0:is>
      </ns0:c>
      <ns0:c r="C140" t="inlineStr">
        <ns0:is>
          <ns0:t>run_002</ns0:t>
        </ns0:is>
      </ns0:c>
      <ns0:c r="D140" t="inlineStr">
        <ns0:is>
          <ns0:t>humantime</ns0:t>
        </ns0:is>
      </ns0:c>
      <ns0:c r="E140" t="inlineStr">
        <ns0:is>
          <ns0:t>deepseek-v3</ns0:t>
        </ns0:is>
      </ns0:c>
      <ns0:c r="F140" t="inlineStr">
        <ns0:is>
          <ns0:t>E0433</ns0:t>
        </ns0:is>
      </ns0:c>
      <ns0:c r="G140" t="n">
        <ns0:v>1</ns0:v>
      </ns0:c>
      <ns0:c r="H140" t="n">
        <ns0:v>653</ns0:v>
      </ns0:c>
      <ns0:c r="I140" t="n">
        <ns0:v>62</ns0:v>
      </ns0:c>
      <ns0:c r="J140" t="n">
        <ns0:v>715</ns0:v>
      </ns0:c>
      <ns0:c r="K140" t="n">
        <ns0:v>1</ns0:v>
      </ns0:c>
      <ns0:c r="L140" t="n">
        <ns0:v>1</ns0:v>
      </ns0:c>
      <ns0:c r="M140" t="n">
        <ns0:v>87890</ns0:v>
      </ns0:c>
      <ns0:c r="N140" t="n">
        <ns0:v>1239</ns0:v>
      </ns0:c>
      <ns0:c r="O140" t="n">
        <ns0:v>89129</ns0:v>
      </ns0:c>
      <ns0:c r="P140" t="n">
        <ns0:v>11</ns0:v>
      </ns0:c>
      <ns0:c r="Q140">
        <ns0:f>IF(AND(L140=1,O140*Calculations!$B$2&lt;=Calculations!$B$10*Calculations!$B$4),1,0)</ns0:f>
        <ns0:v>0</ns0:v>
      </ns0:c>
      <ns0:c r="R140">
        <ns0:f>IF(AND(L140=1,O140*Calculations!$B$2&lt;=Calculations!$B$11*Calculations!$B$4),1,0)</ns0:f>
        <ns0:v>0</ns0:v>
      </ns0:c>
    </ns0:row>
    <ns0:row r="141">
      <ns0:c r="A141" t="inlineStr">
        <ns0:is>
          <ns0:t>case_0140</ns0:t>
        </ns0:is>
      </ns0:c>
      <ns0:c r="B141" t="inlineStr">
        <ns0:is>
          <ns0:t>function_0026</ns0:t>
        </ns0:is>
      </ns0:c>
      <ns0:c r="C141" t="inlineStr">
        <ns0:is>
          <ns0:t>run_002</ns0:t>
        </ns0:is>
      </ns0:c>
      <ns0:c r="D141" t="inlineStr">
        <ns0:is>
          <ns0:t>humantime</ns0:t>
        </ns0:is>
      </ns0:c>
      <ns0:c r="E141" t="inlineStr">
        <ns0:is>
          <ns0:t>deepseek-v3</ns0:t>
        </ns0:is>
      </ns0:c>
      <ns0:c r="F141" t="inlineStr">
        <ns0:is>
          <ns0:t>E0433</ns0:t>
        </ns0:is>
      </ns0:c>
      <ns0:c r="G141" t="n">
        <ns0:v>1</ns0:v>
      </ns0:c>
      <ns0:c r="H141" t="n">
        <ns0:v>2115</ns0:v>
      </ns0:c>
      <ns0:c r="I141" t="n">
        <ns0:v>248</ns0:v>
      </ns0:c>
      <ns0:c r="J141" t="n">
        <ns0:v>2363</ns0:v>
      </ns0:c>
      <ns0:c r="K141" t="n">
        <ns0:v>3</ns0:v>
      </ns0:c>
      <ns0:c r="L141" t="n">
        <ns0:v>0</ns0:v>
      </ns0:c>
      <ns0:c r="M141" t="n">
        <ns0:v>156692</ns0:v>
      </ns0:c>
      <ns0:c r="N141" t="n">
        <ns0:v>2596</ns0:v>
      </ns0:c>
      <ns0:c r="O141" t="n">
        <ns0:v>159288</ns0:v>
      </ns0:c>
      <ns0:c r="P141" t="n">
        <ns0:v>16</ns0:v>
      </ns0:c>
      <ns0:c r="Q141">
        <ns0:f>IF(AND(L141=1,O141*Calculations!$B$2&lt;=Calculations!$B$10*Calculations!$B$4),1,0)</ns0:f>
        <ns0:v>0</ns0:v>
      </ns0:c>
      <ns0:c r="R141">
        <ns0:f>IF(AND(L141=1,O141*Calculations!$B$2&lt;=Calculations!$B$11*Calculations!$B$4),1,0)</ns0:f>
        <ns0:v>0</ns0:v>
      </ns0:c>
    </ns0:row>
    <ns0:row r="142">
      <ns0:c r="A142" t="inlineStr">
        <ns0:is>
          <ns0:t>case_0141</ns0:t>
        </ns0:is>
      </ns0:c>
      <ns0:c r="B142" t="inlineStr">
        <ns0:is>
          <ns0:t>function_0026</ns0:t>
        </ns0:is>
      </ns0:c>
      <ns0:c r="C142" t="inlineStr">
        <ns0:is>
          <ns0:t>run_002</ns0:t>
        </ns0:is>
      </ns0:c>
      <ns0:c r="D142" t="inlineStr">
        <ns0:is>
          <ns0:t>humantime</ns0:t>
        </ns0:is>
      </ns0:c>
      <ns0:c r="E142" t="inlineStr">
        <ns0:is>
          <ns0:t>deepseek-v3</ns0:t>
        </ns0:is>
      </ns0:c>
      <ns0:c r="F142" t="inlineStr">
        <ns0:is>
          <ns0:t>E0433</ns0:t>
        </ns0:is>
      </ns0:c>
      <ns0:c r="G142" t="n">
        <ns0:v>1</ns0:v>
      </ns0:c>
      <ns0:c r="H142" t="n">
        <ns0:v>2181</ns0:v>
      </ns0:c>
      <ns0:c r="I142" t="n">
        <ns0:v>248</ns0:v>
      </ns0:c>
      <ns0:c r="J142" t="n">
        <ns0:v>2429</ns0:v>
      </ns0:c>
      <ns0:c r="K142" t="n">
        <ns0:v>3</ns0:v>
      </ns0:c>
      <ns0:c r="L142" t="n">
        <ns0:v>0</ns0:v>
      </ns0:c>
      <ns0:c r="M142" t="n">
        <ns0:v>177133</ns0:v>
      </ns0:c>
      <ns0:c r="N142" t="n">
        <ns0:v>2743</ns0:v>
      </ns0:c>
      <ns0:c r="O142" t="n">
        <ns0:v>179876</ns0:v>
      </ns0:c>
      <ns0:c r="P142" t="n">
        <ns0:v>20</ns0:v>
      </ns0:c>
      <ns0:c r="Q142">
        <ns0:f>IF(AND(L142=1,O142*Calculations!$B$2&lt;=Calculations!$B$10*Calculations!$B$4),1,0)</ns0:f>
        <ns0:v>0</ns0:v>
      </ns0:c>
      <ns0:c r="R142">
        <ns0:f>IF(AND(L142=1,O142*Calculations!$B$2&lt;=Calculations!$B$11*Calculations!$B$4),1,0)</ns0:f>
        <ns0:v>0</ns0:v>
      </ns0:c>
    </ns0:row>
    <ns0:row r="143">
      <ns0:c r="A143" t="inlineStr">
        <ns0:is>
          <ns0:t>case_0142</ns0:t>
        </ns0:is>
      </ns0:c>
      <ns0:c r="B143" t="inlineStr">
        <ns0:is>
          <ns0:t>function_0026</ns0:t>
        </ns0:is>
      </ns0:c>
      <ns0:c r="C143" t="inlineStr">
        <ns0:is>
          <ns0:t>run_002</ns0:t>
        </ns0:is>
      </ns0:c>
      <ns0:c r="D143" t="inlineStr">
        <ns0:is>
          <ns0:t>humantime</ns0:t>
        </ns0:is>
      </ns0:c>
      <ns0:c r="E143" t="inlineStr">
        <ns0:is>
          <ns0:t>deepseek-v3</ns0:t>
        </ns0:is>
      </ns0:c>
      <ns0:c r="F143" t="inlineStr">
        <ns0:is>
          <ns0:t>E0433</ns0:t>
        </ns0:is>
      </ns0:c>
      <ns0:c r="G143" t="n">
        <ns0:v>1</ns0:v>
      </ns0:c>
      <ns0:c r="H143" t="n">
        <ns0:v>2181</ns0:v>
      </ns0:c>
      <ns0:c r="I143" t="n">
        <ns0:v>248</ns0:v>
      </ns0:c>
      <ns0:c r="J143" t="n">
        <ns0:v>2429</ns0:v>
      </ns0:c>
      <ns0:c r="K143" t="n">
        <ns0:v>3</ns0:v>
      </ns0:c>
      <ns0:c r="L143" t="n">
        <ns0:v>0</ns0:v>
      </ns0:c>
      <ns0:c r="M143" t="n">
        <ns0:v>178237</ns0:v>
      </ns0:c>
      <ns0:c r="N143" t="n">
        <ns0:v>2262</ns0:v>
      </ns0:c>
      <ns0:c r="O143" t="n">
        <ns0:v>180499</ns0:v>
      </ns0:c>
      <ns0:c r="P143" t="n">
        <ns0:v>20</ns0:v>
      </ns0:c>
      <ns0:c r="Q143">
        <ns0:f>IF(AND(L143=1,O143*Calculations!$B$2&lt;=Calculations!$B$10*Calculations!$B$4),1,0)</ns0:f>
        <ns0:v>0</ns0:v>
      </ns0:c>
      <ns0:c r="R143">
        <ns0:f>IF(AND(L143=1,O143*Calculations!$B$2&lt;=Calculations!$B$11*Calculations!$B$4),1,0)</ns0:f>
        <ns0:v>0</ns0:v>
      </ns0:c>
    </ns0:row>
    <ns0:row r="144">
      <ns0:c r="A144" t="inlineStr">
        <ns0:is>
          <ns0:t>case_0143</ns0:t>
        </ns0:is>
      </ns0:c>
      <ns0:c r="B144" t="inlineStr">
        <ns0:is>
          <ns0:t>function_0026</ns0:t>
        </ns0:is>
      </ns0:c>
      <ns0:c r="C144" t="inlineStr">
        <ns0:is>
          <ns0:t>run_002</ns0:t>
        </ns0:is>
      </ns0:c>
      <ns0:c r="D144" t="inlineStr">
        <ns0:is>
          <ns0:t>humantime</ns0:t>
        </ns0:is>
      </ns0:c>
      <ns0:c r="E144" t="inlineStr">
        <ns0:is>
          <ns0:t>deepseek-v3</ns0:t>
        </ns0:is>
      </ns0:c>
      <ns0:c r="F144" t="inlineStr">
        <ns0:is>
          <ns0:t>E0433</ns0:t>
        </ns0:is>
      </ns0:c>
      <ns0:c r="G144" t="n">
        <ns0:v>0</ns0:v>
      </ns0:c>
      <ns0:c r="H144" t="n">
        <ns0:v>4857</ns0:v>
      </ns0:c>
      <ns0:c r="I144" t="n">
        <ns0:v>485</ns0:v>
      </ns0:c>
      <ns0:c r="J144" t="n">
        <ns0:v>5342</ns0:v>
      </ns0:c>
      <ns0:c r="K144" t="n">
        <ns0:v>6</ns0:v>
      </ns0:c>
      <ns0:c r="L144" t="n">
        <ns0:v>0</ns0:v>
      </ns0:c>
      <ns0:c r="M144" t="n">
        <ns0:v>179546</ns0:v>
      </ns0:c>
      <ns0:c r="N144" t="n">
        <ns0:v>1413</ns0:v>
      </ns0:c>
      <ns0:c r="O144" t="n">
        <ns0:v>180959</ns0:v>
      </ns0:c>
      <ns0:c r="P144" t="n">
        <ns0:v>20</ns0:v>
      </ns0:c>
      <ns0:c r="Q144">
        <ns0:f>IF(AND(L144=1,O144*Calculations!$B$2&lt;=Calculations!$B$10*Calculations!$B$4),1,0)</ns0:f>
        <ns0:v>0</ns0:v>
      </ns0:c>
      <ns0:c r="R144">
        <ns0:f>IF(AND(L144=1,O144*Calculations!$B$2&lt;=Calculations!$B$11*Calculations!$B$4),1,0)</ns0:f>
        <ns0:v>0</ns0:v>
      </ns0:c>
    </ns0:row>
    <ns0:row r="145">
      <ns0:c r="A145" t="inlineStr">
        <ns0:is>
          <ns0:t>case_0144</ns0:t>
        </ns0:is>
      </ns0:c>
      <ns0:c r="B145" t="inlineStr">
        <ns0:is>
          <ns0:t>function_0027</ns0:t>
        </ns0:is>
      </ns0:c>
      <ns0:c r="C145" t="inlineStr">
        <ns0:is>
          <ns0:t>run_002</ns0:t>
        </ns0:is>
      </ns0:c>
      <ns0:c r="D145" t="inlineStr">
        <ns0:is>
          <ns0:t>humantime</ns0:t>
        </ns0:is>
      </ns0:c>
      <ns0:c r="E145" t="inlineStr">
        <ns0:is>
          <ns0:t>deepseek-v3</ns0:t>
        </ns0:is>
      </ns0:c>
      <ns0:c r="F145" t="inlineStr">
        <ns0:is>
          <ns0:t>E0433</ns0:t>
        </ns0:is>
      </ns0:c>
      <ns0:c r="G145" t="n">
        <ns0:v>1</ns0:v>
      </ns0:c>
      <ns0:c r="H145" t="n">
        <ns0:v>2054</ns0:v>
      </ns0:c>
      <ns0:c r="I145" t="n">
        <ns0:v>80</ns0:v>
      </ns0:c>
      <ns0:c r="J145" t="n">
        <ns0:v>2134</ns0:v>
      </ns0:c>
      <ns0:c r="K145" t="n">
        <ns0:v>1</ns0:v>
      </ns0:c>
      <ns0:c r="L145" t="n">
        <ns0:v>1</ns0:v>
      </ns0:c>
      <ns0:c r="M145" t="n">
        <ns0:v>77998</ns0:v>
      </ns0:c>
      <ns0:c r="N145" t="n">
        <ns0:v>904</ns0:v>
      </ns0:c>
      <ns0:c r="O145" t="n">
        <ns0:v>78902</ns0:v>
      </ns0:c>
      <ns0:c r="P145" t="n">
        <ns0:v>10</ns0:v>
      </ns0:c>
      <ns0:c r="Q145">
        <ns0:f>IF(AND(L145=1,O145*Calculations!$B$2&lt;=Calculations!$B$10*Calculations!$B$4),1,0)</ns0:f>
        <ns0:v>0</ns0:v>
      </ns0:c>
      <ns0:c r="R145">
        <ns0:f>IF(AND(L145=1,O145*Calculations!$B$2&lt;=Calculations!$B$11*Calculations!$B$4),1,0)</ns0:f>
        <ns0:v>0</ns0:v>
      </ns0:c>
    </ns0:row>
    <ns0:row r="146">
      <ns0:c r="A146" t="inlineStr">
        <ns0:is>
          <ns0:t>case_0145</ns0:t>
        </ns0:is>
      </ns0:c>
      <ns0:c r="B146" t="inlineStr">
        <ns0:is>
          <ns0:t>function_0027</ns0:t>
        </ns0:is>
      </ns0:c>
      <ns0:c r="C146" t="inlineStr">
        <ns0:is>
          <ns0:t>run_002</ns0:t>
        </ns0:is>
      </ns0:c>
      <ns0:c r="D146" t="inlineStr">
        <ns0:is>
          <ns0:t>humantime</ns0:t>
        </ns0:is>
      </ns0:c>
      <ns0:c r="E146" t="inlineStr">
        <ns0:is>
          <ns0:t>deepseek-v3</ns0:t>
        </ns0:is>
      </ns0:c>
      <ns0:c r="F146" t="inlineStr">
        <ns0:is>
          <ns0:t>E0433</ns0:t>
        </ns0:is>
      </ns0:c>
      <ns0:c r="G146" t="n">
        <ns0:v>1</ns0:v>
      </ns0:c>
      <ns0:c r="H146" t="n">
        <ns0:v>2029</ns0:v>
      </ns0:c>
      <ns0:c r="I146" t="n">
        <ns0:v>75</ns0:v>
      </ns0:c>
      <ns0:c r="J146" t="n">
        <ns0:v>2104</ns0:v>
      </ns0:c>
      <ns0:c r="K146" t="n">
        <ns0:v>1</ns0:v>
      </ns0:c>
      <ns0:c r="L146" t="n">
        <ns0:v>1</ns0:v>
      </ns0:c>
      <ns0:c r="M146" t="n">
        <ns0:v>79097</ns0:v>
      </ns0:c>
      <ns0:c r="N146" t="n">
        <ns0:v>556</ns0:v>
      </ns0:c>
      <ns0:c r="O146" t="n">
        <ns0:v>79653</ns0:v>
      </ns0:c>
      <ns0:c r="P146" t="n">
        <ns0:v>6</ns0:v>
      </ns0:c>
      <ns0:c r="Q146">
        <ns0:f>IF(AND(L146=1,O146*Calculations!$B$2&lt;=Calculations!$B$10*Calculations!$B$4),1,0)</ns0:f>
        <ns0:v>0</ns0:v>
      </ns0:c>
      <ns0:c r="R146">
        <ns0:f>IF(AND(L146=1,O146*Calculations!$B$2&lt;=Calculations!$B$11*Calculations!$B$4),1,0)</ns0:f>
        <ns0:v>0</ns0:v>
      </ns0:c>
    </ns0:row>
    <ns0:row r="147">
      <ns0:c r="A147" t="inlineStr">
        <ns0:is>
          <ns0:t>case_0146</ns0:t>
        </ns0:is>
      </ns0:c>
      <ns0:c r="B147" t="inlineStr">
        <ns0:is>
          <ns0:t>function_0027</ns0:t>
        </ns0:is>
      </ns0:c>
      <ns0:c r="C147" t="inlineStr">
        <ns0:is>
          <ns0:t>run_002</ns0:t>
        </ns0:is>
      </ns0:c>
      <ns0:c r="D147" t="inlineStr">
        <ns0:is>
          <ns0:t>humantime</ns0:t>
        </ns0:is>
      </ns0:c>
      <ns0:c r="E147" t="inlineStr">
        <ns0:is>
          <ns0:t>deepseek-v3</ns0:t>
        </ns0:is>
      </ns0:c>
      <ns0:c r="F147" t="inlineStr">
        <ns0:is>
          <ns0:t>E0433</ns0:t>
        </ns0:is>
      </ns0:c>
      <ns0:c r="G147" t="n">
        <ns0:v>1</ns0:v>
      </ns0:c>
      <ns0:c r="H147" t="n">
        <ns0:v>2027</ns0:v>
      </ns0:c>
      <ns0:c r="I147" t="n">
        <ns0:v>75</ns0:v>
      </ns0:c>
      <ns0:c r="J147" t="n">
        <ns0:v>2102</ns0:v>
      </ns0:c>
      <ns0:c r="K147" t="n">
        <ns0:v>1</ns0:v>
      </ns0:c>
      <ns0:c r="L147" t="n">
        <ns0:v>1</ns0:v>
      </ns0:c>
      <ns0:c r="M147" t="n">
        <ns0:v>65336</ns0:v>
      </ns0:c>
      <ns0:c r="N147" t="n">
        <ns0:v>1275</ns0:v>
      </ns0:c>
      <ns0:c r="O147" t="n">
        <ns0:v>66611</ns0:v>
      </ns0:c>
      <ns0:c r="P147" t="n">
        <ns0:v>8</ns0:v>
      </ns0:c>
      <ns0:c r="Q147">
        <ns0:f>IF(AND(L147=1,O147*Calculations!$B$2&lt;=Calculations!$B$10*Calculations!$B$4),1,0)</ns0:f>
        <ns0:v>0</ns0:v>
      </ns0:c>
      <ns0:c r="R147">
        <ns0:f>IF(AND(L147=1,O147*Calculations!$B$2&lt;=Calculations!$B$11*Calculations!$B$4),1,0)</ns0:f>
        <ns0:v>0</ns0:v>
      </ns0:c>
    </ns0:row>
    <ns0:row r="148">
      <ns0:c r="A148" t="inlineStr">
        <ns0:is>
          <ns0:t>case_0147</ns0:t>
        </ns0:is>
      </ns0:c>
      <ns0:c r="B148" t="inlineStr">
        <ns0:is>
          <ns0:t>function_0027</ns0:t>
        </ns0:is>
      </ns0:c>
      <ns0:c r="C148" t="inlineStr">
        <ns0:is>
          <ns0:t>run_002</ns0:t>
        </ns0:is>
      </ns0:c>
      <ns0:c r="D148" t="inlineStr">
        <ns0:is>
          <ns0:t>humantime</ns0:t>
        </ns0:is>
      </ns0:c>
      <ns0:c r="E148" t="inlineStr">
        <ns0:is>
          <ns0:t>deepseek-v3</ns0:t>
        </ns0:is>
      </ns0:c>
      <ns0:c r="F148" t="inlineStr">
        <ns0:is>
          <ns0:t>E0433</ns0:t>
        </ns0:is>
      </ns0:c>
      <ns0:c r="G148" t="n">
        <ns0:v>1</ns0:v>
      </ns0:c>
      <ns0:c r="H148" t="n">
        <ns0:v>2023</ns0:v>
      </ns0:c>
      <ns0:c r="I148" t="n">
        <ns0:v>73</ns0:v>
      </ns0:c>
      <ns0:c r="J148" t="n">
        <ns0:v>2096</ns0:v>
      </ns0:c>
      <ns0:c r="K148" t="n">
        <ns0:v>1</ns0:v>
      </ns0:c>
      <ns0:c r="L148" t="n">
        <ns0:v>1</ns0:v>
      </ns0:c>
      <ns0:c r="M148" t="n">
        <ns0:v>64184</ns0:v>
      </ns0:c>
      <ns0:c r="N148" t="n">
        <ns0:v>712</ns0:v>
      </ns0:c>
      <ns0:c r="O148" t="n">
        <ns0:v>64896</ns0:v>
      </ns0:c>
      <ns0:c r="P148" t="n">
        <ns0:v>6</ns0:v>
      </ns0:c>
      <ns0:c r="Q148">
        <ns0:f>IF(AND(L148=1,O148*Calculations!$B$2&lt;=Calculations!$B$10*Calculations!$B$4),1,0)</ns0:f>
        <ns0:v>0</ns0:v>
      </ns0:c>
      <ns0:c r="R148">
        <ns0:f>IF(AND(L148=1,O148*Calculations!$B$2&lt;=Calculations!$B$11*Calculations!$B$4),1,0)</ns0:f>
        <ns0:v>0</ns0:v>
      </ns0:c>
    </ns0:row>
    <ns0:row r="149">
      <ns0:c r="A149" t="inlineStr">
        <ns0:is>
          <ns0:t>case_0148</ns0:t>
        </ns0:is>
      </ns0:c>
      <ns0:c r="B149" t="inlineStr">
        <ns0:is>
          <ns0:t>function_0027</ns0:t>
        </ns0:is>
      </ns0:c>
      <ns0:c r="C149" t="inlineStr">
        <ns0:is>
          <ns0:t>run_002</ns0:t>
        </ns0:is>
      </ns0:c>
      <ns0:c r="D149" t="inlineStr">
        <ns0:is>
          <ns0:t>humantime</ns0:t>
        </ns0:is>
      </ns0:c>
      <ns0:c r="E149" t="inlineStr">
        <ns0:is>
          <ns0:t>deepseek-v3</ns0:t>
        </ns0:is>
      </ns0:c>
      <ns0:c r="F149" t="inlineStr">
        <ns0:is>
          <ns0:t>E0063</ns0:t>
        </ns0:is>
      </ns0:c>
      <ns0:c r="G149" t="n">
        <ns0:v>1</ns0:v>
      </ns0:c>
      <ns0:c r="H149" t="n">
        <ns0:v>1582</ns0:v>
      </ns0:c>
      <ns0:c r="I149" t="n">
        <ns0:v>74</ns0:v>
      </ns0:c>
      <ns0:c r="J149" t="n">
        <ns0:v>1656</ns0:v>
      </ns0:c>
      <ns0:c r="K149" t="n">
        <ns0:v>1</ns0:v>
      </ns0:c>
      <ns0:c r="L149" t="n">
        <ns0:v>1</ns0:v>
      </ns0:c>
      <ns0:c r="M149" t="n">
        <ns0:v>41535</ns0:v>
      </ns0:c>
      <ns0:c r="N149" t="n">
        <ns0:v>541</ns0:v>
      </ns0:c>
      <ns0:c r="O149" t="n">
        <ns0:v>42076</ns0:v>
      </ns0:c>
      <ns0:c r="P149" t="n">
        <ns0:v>6</ns0:v>
      </ns0:c>
      <ns0:c r="Q149">
        <ns0:f>IF(AND(L149=1,O149*Calculations!$B$2&lt;=Calculations!$B$10*Calculations!$B$4),1,0)</ns0:f>
        <ns0:v>0</ns0:v>
      </ns0:c>
      <ns0:c r="R149">
        <ns0:f>IF(AND(L149=1,O149*Calculations!$B$2&lt;=Calculations!$B$11*Calculations!$B$4),1,0)</ns0:f>
        <ns0:v>1</ns0:v>
      </ns0:c>
    </ns0:row>
    <ns0:row r="150">
      <ns0:c r="A150" t="inlineStr">
        <ns0:is>
          <ns0:t>case_0149</ns0:t>
        </ns0:is>
      </ns0:c>
      <ns0:c r="B150" t="inlineStr">
        <ns0:is>
          <ns0:t>function_0027</ns0:t>
        </ns0:is>
      </ns0:c>
      <ns0:c r="C150" t="inlineStr">
        <ns0:is>
          <ns0:t>run_002</ns0:t>
        </ns0:is>
      </ns0:c>
      <ns0:c r="D150" t="inlineStr">
        <ns0:is>
          <ns0:t>humantime</ns0:t>
        </ns0:is>
      </ns0:c>
      <ns0:c r="E150" t="inlineStr">
        <ns0:is>
          <ns0:t>deepseek-v3</ns0:t>
        </ns0:is>
      </ns0:c>
      <ns0:c r="F150" t="inlineStr">
        <ns0:is>
          <ns0:t>E0433</ns0:t>
        </ns0:is>
      </ns0:c>
      <ns0:c r="G150" t="n">
        <ns0:v>1</ns0:v>
      </ns0:c>
      <ns0:c r="H150" t="n">
        <ns0:v>2091</ns0:v>
      </ns0:c>
      <ns0:c r="I150" t="n">
        <ns0:v>87</ns0:v>
      </ns0:c>
      <ns0:c r="J150" t="n">
        <ns0:v>2178</ns0:v>
      </ns0:c>
      <ns0:c r="K150" t="n">
        <ns0:v>1</ns0:v>
      </ns0:c>
      <ns0:c r="L150" t="n">
        <ns0:v>1</ns0:v>
      </ns0:c>
      <ns0:c r="M150" t="n">
        <ns0:v>60180</ns0:v>
      </ns0:c>
      <ns0:c r="N150" t="n">
        <ns0:v>1181</ns0:v>
      </ns0:c>
      <ns0:c r="O150" t="n">
        <ns0:v>61361</ns0:v>
      </ns0:c>
      <ns0:c r="P150" t="n">
        <ns0:v>8</ns0:v>
      </ns0:c>
      <ns0:c r="Q150">
        <ns0:f>IF(AND(L150=1,O150*Calculations!$B$2&lt;=Calculations!$B$10*Calculations!$B$4),1,0)</ns0:f>
        <ns0:v>0</ns0:v>
      </ns0:c>
      <ns0:c r="R150">
        <ns0:f>IF(AND(L150=1,O150*Calculations!$B$2&lt;=Calculations!$B$11*Calculations!$B$4),1,0)</ns0:f>
        <ns0:v>0</ns0:v>
      </ns0:c>
    </ns0:row>
    <ns0:row r="151">
      <ns0:c r="A151" t="inlineStr">
        <ns0:is>
          <ns0:t>case_0150</ns0:t>
        </ns0:is>
      </ns0:c>
      <ns0:c r="B151" t="inlineStr">
        <ns0:is>
          <ns0:t>function_0027</ns0:t>
        </ns0:is>
      </ns0:c>
      <ns0:c r="C151" t="inlineStr">
        <ns0:is>
          <ns0:t>run_002</ns0:t>
        </ns0:is>
      </ns0:c>
      <ns0:c r="D151" t="inlineStr">
        <ns0:is>
          <ns0:t>humantime</ns0:t>
        </ns0:is>
      </ns0:c>
      <ns0:c r="E151" t="inlineStr">
        <ns0:is>
          <ns0:t>deepseek-v3</ns0:t>
        </ns0:is>
      </ns0:c>
      <ns0:c r="F151" t="inlineStr">
        <ns0:is>
          <ns0:t>E0433</ns0:t>
        </ns0:is>
      </ns0:c>
      <ns0:c r="G151" t="n">
        <ns0:v>1</ns0:v>
      </ns0:c>
      <ns0:c r="H151" t="n">
        <ns0:v>2045</ns0:v>
      </ns0:c>
      <ns0:c r="I151" t="n">
        <ns0:v>80</ns0:v>
      </ns0:c>
      <ns0:c r="J151" t="n">
        <ns0:v>2125</ns0:v>
      </ns0:c>
      <ns0:c r="K151" t="n">
        <ns0:v>1</ns0:v>
      </ns0:c>
      <ns0:c r="L151" t="n">
        <ns0:v>1</ns0:v>
      </ns0:c>
      <ns0:c r="M151" t="n">
        <ns0:v>109248</ns0:v>
      </ns0:c>
      <ns0:c r="N151" t="n">
        <ns0:v>915</ns0:v>
      </ns0:c>
      <ns0:c r="O151" t="n">
        <ns0:v>110163</ns0:v>
      </ns0:c>
      <ns0:c r="P151" t="n">
        <ns0:v>8</ns0:v>
      </ns0:c>
      <ns0:c r="Q151">
        <ns0:f>IF(AND(L151=1,O151*Calculations!$B$2&lt;=Calculations!$B$10*Calculations!$B$4),1,0)</ns0:f>
        <ns0:v>0</ns0:v>
      </ns0:c>
      <ns0:c r="R151">
        <ns0:f>IF(AND(L151=1,O151*Calculations!$B$2&lt;=Calculations!$B$11*Calculations!$B$4),1,0)</ns0:f>
        <ns0:v>0</ns0:v>
      </ns0:c>
    </ns0:row>
    <ns0:row r="152">
      <ns0:c r="A152" t="inlineStr">
        <ns0:is>
          <ns0:t>case_0151</ns0:t>
        </ns0:is>
      </ns0:c>
      <ns0:c r="B152" t="inlineStr">
        <ns0:is>
          <ns0:t>function_0027</ns0:t>
        </ns0:is>
      </ns0:c>
      <ns0:c r="C152" t="inlineStr">
        <ns0:is>
          <ns0:t>run_002</ns0:t>
        </ns0:is>
      </ns0:c>
      <ns0:c r="D152" t="inlineStr">
        <ns0:is>
          <ns0:t>humantime</ns0:t>
        </ns0:is>
      </ns0:c>
      <ns0:c r="E152" t="inlineStr">
        <ns0:is>
          <ns0:t>deepseek-v3</ns0:t>
        </ns0:is>
      </ns0:c>
      <ns0:c r="F152" t="inlineStr">
        <ns0:is>
          <ns0:t>E0433</ns0:t>
        </ns0:is>
      </ns0:c>
      <ns0:c r="G152" t="n">
        <ns0:v>1</ns0:v>
      </ns0:c>
      <ns0:c r="H152" t="n">
        <ns0:v>2047</ns0:v>
      </ns0:c>
      <ns0:c r="I152" t="n">
        <ns0:v>80</ns0:v>
      </ns0:c>
      <ns0:c r="J152" t="n">
        <ns0:v>2127</ns0:v>
      </ns0:c>
      <ns0:c r="K152" t="n">
        <ns0:v>1</ns0:v>
      </ns0:c>
      <ns0:c r="L152" t="n">
        <ns0:v>1</ns0:v>
      </ns0:c>
      <ns0:c r="M152" t="n">
        <ns0:v>78996</ns0:v>
      </ns0:c>
      <ns0:c r="N152" t="n">
        <ns0:v>638</ns0:v>
      </ns0:c>
      <ns0:c r="O152" t="n">
        <ns0:v>79634</ns0:v>
      </ns0:c>
      <ns0:c r="P152" t="n">
        <ns0:v>6</ns0:v>
      </ns0:c>
      <ns0:c r="Q152">
        <ns0:f>IF(AND(L152=1,O152*Calculations!$B$2&lt;=Calculations!$B$10*Calculations!$B$4),1,0)</ns0:f>
        <ns0:v>0</ns0:v>
      </ns0:c>
      <ns0:c r="R152">
        <ns0:f>IF(AND(L152=1,O152*Calculations!$B$2&lt;=Calculations!$B$11*Calculations!$B$4),1,0)</ns0:f>
        <ns0:v>0</ns0:v>
      </ns0:c>
    </ns0:row>
    <ns0:row r="153">
      <ns0:c r="A153" t="inlineStr">
        <ns0:is>
          <ns0:t>case_0152</ns0:t>
        </ns0:is>
      </ns0:c>
      <ns0:c r="B153" t="inlineStr">
        <ns0:is>
          <ns0:t>function_0027</ns0:t>
        </ns0:is>
      </ns0:c>
      <ns0:c r="C153" t="inlineStr">
        <ns0:is>
          <ns0:t>run_002</ns0:t>
        </ns0:is>
      </ns0:c>
      <ns0:c r="D153" t="inlineStr">
        <ns0:is>
          <ns0:t>humantime</ns0:t>
        </ns0:is>
      </ns0:c>
      <ns0:c r="E153" t="inlineStr">
        <ns0:is>
          <ns0:t>deepseek-v3</ns0:t>
        </ns0:is>
      </ns0:c>
      <ns0:c r="F153" t="inlineStr">
        <ns0:is>
          <ns0:t>E0433</ns0:t>
        </ns0:is>
      </ns0:c>
      <ns0:c r="G153" t="n">
        <ns0:v>1</ns0:v>
      </ns0:c>
      <ns0:c r="H153" t="n">
        <ns0:v>2262</ns0:v>
      </ns0:c>
      <ns0:c r="I153" t="n">
        <ns0:v>86</ns0:v>
      </ns0:c>
      <ns0:c r="J153" t="n">
        <ns0:v>2348</ns0:v>
      </ns0:c>
      <ns0:c r="K153" t="n">
        <ns0:v>1</ns0:v>
      </ns0:c>
      <ns0:c r="L153" t="n">
        <ns0:v>1</ns0:v>
      </ns0:c>
      <ns0:c r="M153" t="n">
        <ns0:v>115133</ns0:v>
      </ns0:c>
      <ns0:c r="N153" t="n">
        <ns0:v>1199</ns0:v>
      </ns0:c>
      <ns0:c r="O153" t="n">
        <ns0:v>116332</ns0:v>
      </ns0:c>
      <ns0:c r="P153" t="n">
        <ns0:v>11</ns0:v>
      </ns0:c>
      <ns0:c r="Q153">
        <ns0:f>IF(AND(L153=1,O153*Calculations!$B$2&lt;=Calculations!$B$10*Calculations!$B$4),1,0)</ns0:f>
        <ns0:v>0</ns0:v>
      </ns0:c>
      <ns0:c r="R153">
        <ns0:f>IF(AND(L153=1,O153*Calculations!$B$2&lt;=Calculations!$B$11*Calculations!$B$4),1,0)</ns0:f>
        <ns0:v>0</ns0:v>
      </ns0:c>
    </ns0:row>
    <ns0:row r="154">
      <ns0:c r="A154" t="inlineStr">
        <ns0:is>
          <ns0:t>case_0153</ns0:t>
        </ns0:is>
      </ns0:c>
      <ns0:c r="B154" t="inlineStr">
        <ns0:is>
          <ns0:t>function_0027</ns0:t>
        </ns0:is>
      </ns0:c>
      <ns0:c r="C154" t="inlineStr">
        <ns0:is>
          <ns0:t>run_002</ns0:t>
        </ns0:is>
      </ns0:c>
      <ns0:c r="D154" t="inlineStr">
        <ns0:is>
          <ns0:t>humantime</ns0:t>
        </ns0:is>
      </ns0:c>
      <ns0:c r="E154" t="inlineStr">
        <ns0:is>
          <ns0:t>deepseek-v3</ns0:t>
        </ns0:is>
      </ns0:c>
      <ns0:c r="F154" t="inlineStr">
        <ns0:is>
          <ns0:t>E0063</ns0:t>
        </ns0:is>
      </ns0:c>
      <ns0:c r="G154" t="n">
        <ns0:v>1</ns0:v>
      </ns0:c>
      <ns0:c r="H154" t="n">
        <ns0:v>1591</ns0:v>
      </ns0:c>
      <ns0:c r="I154" t="n">
        <ns0:v>73</ns0:v>
      </ns0:c>
      <ns0:c r="J154" t="n">
        <ns0:v>1664</ns0:v>
      </ns0:c>
      <ns0:c r="K154" t="n">
        <ns0:v>1</ns0:v>
      </ns0:c>
      <ns0:c r="L154" t="n">
        <ns0:v>1</ns0:v>
      </ns0:c>
      <ns0:c r="M154" t="n">
        <ns0:v>33848</ns0:v>
      </ns0:c>
      <ns0:c r="N154" t="n">
        <ns0:v>435</ns0:v>
      </ns0:c>
      <ns0:c r="O154" t="n">
        <ns0:v>34283</ns0:v>
      </ns0:c>
      <ns0:c r="P154" t="n">
        <ns0:v>5</ns0:v>
      </ns0:c>
      <ns0:c r="Q154">
        <ns0:f>IF(AND(L154=1,O154*Calculations!$B$2&lt;=Calculations!$B$10*Calculations!$B$4),1,0)</ns0:f>
        <ns0:v>0</ns0:v>
      </ns0:c>
      <ns0:c r="R154">
        <ns0:f>IF(AND(L154=1,O154*Calculations!$B$2&lt;=Calculations!$B$11*Calculations!$B$4),1,0)</ns0:f>
        <ns0:v>1</ns0:v>
      </ns0:c>
    </ns0:row>
    <ns0:row r="155">
      <ns0:c r="A155" t="inlineStr">
        <ns0:is>
          <ns0:t>case_0154</ns0:t>
        </ns0:is>
      </ns0:c>
      <ns0:c r="B155" t="inlineStr">
        <ns0:is>
          <ns0:t>function_0027</ns0:t>
        </ns0:is>
      </ns0:c>
      <ns0:c r="C155" t="inlineStr">
        <ns0:is>
          <ns0:t>run_002</ns0:t>
        </ns0:is>
      </ns0:c>
      <ns0:c r="D155" t="inlineStr">
        <ns0:is>
          <ns0:t>humantime</ns0:t>
        </ns0:is>
      </ns0:c>
      <ns0:c r="E155" t="inlineStr">
        <ns0:is>
          <ns0:t>deepseek-v3</ns0:t>
        </ns0:is>
      </ns0:c>
      <ns0:c r="F155" t="inlineStr">
        <ns0:is>
          <ns0:t>E0063</ns0:t>
        </ns0:is>
      </ns0:c>
      <ns0:c r="G155" t="n">
        <ns0:v>1</ns0:v>
      </ns0:c>
      <ns0:c r="H155" t="n">
        <ns0:v>1591</ns0:v>
      </ns0:c>
      <ns0:c r="I155" t="n">
        <ns0:v>71</ns0:v>
      </ns0:c>
      <ns0:c r="J155" t="n">
        <ns0:v>1662</ns0:v>
      </ns0:c>
      <ns0:c r="K155" t="n">
        <ns0:v>1</ns0:v>
      </ns0:c>
      <ns0:c r="L155" t="n">
        <ns0:v>1</ns0:v>
      </ns0:c>
      <ns0:c r="M155" t="n">
        <ns0:v>48845</ns0:v>
      </ns0:c>
      <ns0:c r="N155" t="n">
        <ns0:v>331</ns0:v>
      </ns0:c>
      <ns0:c r="O155" t="n">
        <ns0:v>49176</ns0:v>
      </ns0:c>
      <ns0:c r="P155" t="n">
        <ns0:v>4</ns0:v>
      </ns0:c>
      <ns0:c r="Q155">
        <ns0:f>IF(AND(L155=1,O155*Calculations!$B$2&lt;=Calculations!$B$10*Calculations!$B$4),1,0)</ns0:f>
        <ns0:v>0</ns0:v>
      </ns0:c>
      <ns0:c r="R155">
        <ns0:f>IF(AND(L155=1,O155*Calculations!$B$2&lt;=Calculations!$B$11*Calculations!$B$4),1,0)</ns0:f>
        <ns0:v>0</ns0:v>
      </ns0:c>
    </ns0:row>
    <ns0:row r="156">
      <ns0:c r="A156" t="inlineStr">
        <ns0:is>
          <ns0:t>case_0155</ns0:t>
        </ns0:is>
      </ns0:c>
      <ns0:c r="B156" t="inlineStr">
        <ns0:is>
          <ns0:t>function_0027</ns0:t>
        </ns0:is>
      </ns0:c>
      <ns0:c r="C156" t="inlineStr">
        <ns0:is>
          <ns0:t>run_002</ns0:t>
        </ns0:is>
      </ns0:c>
      <ns0:c r="D156" t="inlineStr">
        <ns0:is>
          <ns0:t>humantime</ns0:t>
        </ns0:is>
      </ns0:c>
      <ns0:c r="E156" t="inlineStr">
        <ns0:is>
          <ns0:t>deepseek-v3</ns0:t>
        </ns0:is>
      </ns0:c>
      <ns0:c r="F156" t="inlineStr">
        <ns0:is>
          <ns0:t>E0063</ns0:t>
        </ns0:is>
      </ns0:c>
      <ns0:c r="G156" t="n">
        <ns0:v>1</ns0:v>
      </ns0:c>
      <ns0:c r="H156" t="n">
        <ns0:v>1579</ns0:v>
      </ns0:c>
      <ns0:c r="I156" t="n">
        <ns0:v>67</ns0:v>
      </ns0:c>
      <ns0:c r="J156" t="n">
        <ns0:v>1646</ns0:v>
      </ns0:c>
      <ns0:c r="K156" t="n">
        <ns0:v>1</ns0:v>
      </ns0:c>
      <ns0:c r="L156" t="n">
        <ns0:v>1</ns0:v>
      </ns0:c>
      <ns0:c r="M156" t="n">
        <ns0:v>48844</ns0:v>
      </ns0:c>
      <ns0:c r="N156" t="n">
        <ns0:v>328</ns0:v>
      </ns0:c>
      <ns0:c r="O156" t="n">
        <ns0:v>49172</ns0:v>
      </ns0:c>
      <ns0:c r="P156" t="n">
        <ns0:v>4</ns0:v>
      </ns0:c>
      <ns0:c r="Q156">
        <ns0:f>IF(AND(L156=1,O156*Calculations!$B$2&lt;=Calculations!$B$10*Calculations!$B$4),1,0)</ns0:f>
        <ns0:v>0</ns0:v>
      </ns0:c>
      <ns0:c r="R156">
        <ns0:f>IF(AND(L156=1,O156*Calculations!$B$2&lt;=Calculations!$B$11*Calculations!$B$4),1,0)</ns0:f>
        <ns0:v>0</ns0:v>
      </ns0:c>
    </ns0:row>
    <ns0:row r="157">
      <ns0:c r="A157" t="inlineStr">
        <ns0:is>
          <ns0:t>case_0156</ns0:t>
        </ns0:is>
      </ns0:c>
      <ns0:c r="B157" t="inlineStr">
        <ns0:is>
          <ns0:t>function_0028</ns0:t>
        </ns0:is>
      </ns0:c>
      <ns0:c r="C157" t="inlineStr">
        <ns0:is>
          <ns0:t>run_002</ns0:t>
        </ns0:is>
      </ns0:c>
      <ns0:c r="D157" t="inlineStr">
        <ns0:is>
          <ns0:t>humantime</ns0:t>
        </ns0:is>
      </ns0:c>
      <ns0:c r="E157" t="inlineStr">
        <ns0:is>
          <ns0:t>deepseek-v3</ns0:t>
        </ns0:is>
      </ns0:c>
      <ns0:c r="F157" t="inlineStr">
        <ns0:is>
          <ns0:t>E0599</ns0:t>
        </ns0:is>
      </ns0:c>
      <ns0:c r="G157" t="n">
        <ns0:v>0</ns0:v>
      </ns0:c>
      <ns0:c r="H157" t="n">
        <ns0:v>3613</ns0:v>
      </ns0:c>
      <ns0:c r="I157" t="n">
        <ns0:v>182</ns0:v>
      </ns0:c>
      <ns0:c r="J157" t="n">
        <ns0:v>3795</ns0:v>
      </ns0:c>
      <ns0:c r="K157" t="n">
        <ns0:v>3</ns0:v>
      </ns0:c>
      <ns0:c r="L157" t="n">
        <ns0:v>1</ns0:v>
      </ns0:c>
      <ns0:c r="M157" t="n">
        <ns0:v>111955</ns0:v>
      </ns0:c>
      <ns0:c r="N157" t="n">
        <ns0:v>816</ns0:v>
      </ns0:c>
      <ns0:c r="O157" t="n">
        <ns0:v>112771</ns0:v>
      </ns0:c>
      <ns0:c r="P157" t="n">
        <ns0:v>11</ns0:v>
      </ns0:c>
      <ns0:c r="Q157">
        <ns0:f>IF(AND(L157=1,O157*Calculations!$B$2&lt;=Calculations!$B$10*Calculations!$B$4),1,0)</ns0:f>
        <ns0:v>0</ns0:v>
      </ns0:c>
      <ns0:c r="R157">
        <ns0:f>IF(AND(L157=1,O157*Calculations!$B$2&lt;=Calculations!$B$11*Calculations!$B$4),1,0)</ns0:f>
        <ns0:v>0</ns0:v>
      </ns0:c>
    </ns0:row>
    <ns0:row r="158">
      <ns0:c r="A158" t="inlineStr">
        <ns0:is>
          <ns0:t>case_0157</ns0:t>
        </ns0:is>
      </ns0:c>
      <ns0:c r="B158" t="inlineStr">
        <ns0:is>
          <ns0:t>function_0028</ns0:t>
        </ns0:is>
      </ns0:c>
      <ns0:c r="C158" t="inlineStr">
        <ns0:is>
          <ns0:t>run_002</ns0:t>
        </ns0:is>
      </ns0:c>
      <ns0:c r="D158" t="inlineStr">
        <ns0:is>
          <ns0:t>humantime</ns0:t>
        </ns0:is>
      </ns0:c>
      <ns0:c r="E158" t="inlineStr">
        <ns0:is>
          <ns0:t>deepseek-v3</ns0:t>
        </ns0:is>
      </ns0:c>
      <ns0:c r="F158" t="inlineStr">
        <ns0:is>
          <ns0:t>E0063</ns0:t>
        </ns0:is>
      </ns0:c>
      <ns0:c r="G158" t="n">
        <ns0:v>0</ns0:v>
      </ns0:c>
      <ns0:c r="H158" t="n">
        <ns0:v>5443</ns0:v>
      </ns0:c>
      <ns0:c r="I158" t="n">
        <ns0:v>252</ns0:v>
      </ns0:c>
      <ns0:c r="J158" t="n">
        <ns0:v>5695</ns0:v>
      </ns0:c>
      <ns0:c r="K158" t="n">
        <ns0:v>3</ns0:v>
      </ns0:c>
      <ns0:c r="L158" t="n">
        <ns0:v>1</ns0:v>
      </ns0:c>
      <ns0:c r="M158" t="n">
        <ns0:v>35250</ns0:v>
      </ns0:c>
      <ns0:c r="N158" t="n">
        <ns0:v>1024</ns0:v>
      </ns0:c>
      <ns0:c r="O158" t="n">
        <ns0:v>36274</ns0:v>
      </ns0:c>
      <ns0:c r="P158" t="n">
        <ns0:v>5</ns0:v>
      </ns0:c>
      <ns0:c r="Q158">
        <ns0:f>IF(AND(L158=1,O158*Calculations!$B$2&lt;=Calculations!$B$10*Calculations!$B$4),1,0)</ns0:f>
        <ns0:v>0</ns0:v>
      </ns0:c>
      <ns0:c r="R158">
        <ns0:f>IF(AND(L158=1,O158*Calculations!$B$2&lt;=Calculations!$B$11*Calculations!$B$4),1,0)</ns0:f>
        <ns0:v>1</ns0:v>
      </ns0:c>
    </ns0:row>
    <ns0:row r="159">
      <ns0:c r="A159" t="inlineStr">
        <ns0:is>
          <ns0:t>case_0158</ns0:t>
        </ns0:is>
      </ns0:c>
      <ns0:c r="B159" t="inlineStr">
        <ns0:is>
          <ns0:t>function_0028</ns0:t>
        </ns0:is>
      </ns0:c>
      <ns0:c r="C159" t="inlineStr">
        <ns0:is>
          <ns0:t>run_002</ns0:t>
        </ns0:is>
      </ns0:c>
      <ns0:c r="D159" t="inlineStr">
        <ns0:is>
          <ns0:t>humantime</ns0:t>
        </ns0:is>
      </ns0:c>
      <ns0:c r="E159" t="inlineStr">
        <ns0:is>
          <ns0:t>deepseek-v3</ns0:t>
        </ns0:is>
      </ns0:c>
      <ns0:c r="F159" t="inlineStr">
        <ns0:is>
          <ns0:t>E0599</ns0:t>
        </ns0:is>
      </ns0:c>
      <ns0:c r="G159" t="n">
        <ns0:v>0</ns0:v>
      </ns0:c>
      <ns0:c r="H159" t="n">
        <ns0:v>3394</ns0:v>
      </ns0:c>
      <ns0:c r="I159" t="n">
        <ns0:v>165</ns0:v>
      </ns0:c>
      <ns0:c r="J159" t="n">
        <ns0:v>3559</ns0:v>
      </ns0:c>
      <ns0:c r="K159" t="n">
        <ns0:v>3</ns0:v>
      </ns0:c>
      <ns0:c r="L159" t="n">
        <ns0:v>1</ns0:v>
      </ns0:c>
      <ns0:c r="M159" t="n">
        <ns0:v>80059</ns0:v>
      </ns0:c>
      <ns0:c r="N159" t="n">
        <ns0:v>1019</ns0:v>
      </ns0:c>
      <ns0:c r="O159" t="n">
        <ns0:v>81078</ns0:v>
      </ns0:c>
      <ns0:c r="P159" t="n">
        <ns0:v>10</ns0:v>
      </ns0:c>
      <ns0:c r="Q159">
        <ns0:f>IF(AND(L159=1,O159*Calculations!$B$2&lt;=Calculations!$B$10*Calculations!$B$4),1,0)</ns0:f>
        <ns0:v>0</ns0:v>
      </ns0:c>
      <ns0:c r="R159">
        <ns0:f>IF(AND(L159=1,O159*Calculations!$B$2&lt;=Calculations!$B$11*Calculations!$B$4),1,0)</ns0:f>
        <ns0:v>0</ns0:v>
      </ns0:c>
    </ns0:row>
    <ns0:row r="160">
      <ns0:c r="A160" t="inlineStr">
        <ns0:is>
          <ns0:t>case_0159</ns0:t>
        </ns0:is>
      </ns0:c>
      <ns0:c r="B160" t="inlineStr">
        <ns0:is>
          <ns0:t>function_0028</ns0:t>
        </ns0:is>
      </ns0:c>
      <ns0:c r="C160" t="inlineStr">
        <ns0:is>
          <ns0:t>run_002</ns0:t>
        </ns0:is>
      </ns0:c>
      <ns0:c r="D160" t="inlineStr">
        <ns0:is>
          <ns0:t>humantime</ns0:t>
        </ns0:is>
      </ns0:c>
      <ns0:c r="E160" t="inlineStr">
        <ns0:is>
          <ns0:t>deepseek-v3</ns0:t>
        </ns0:is>
      </ns0:c>
      <ns0:c r="F160" t="inlineStr">
        <ns0:is>
          <ns0:t>E0599</ns0:t>
        </ns0:is>
      </ns0:c>
      <ns0:c r="G160" t="n">
        <ns0:v>1</ns0:v>
      </ns0:c>
      <ns0:c r="H160" t="n">
        <ns0:v>1762</ns0:v>
      </ns0:c>
      <ns0:c r="I160" t="n">
        <ns0:v>90</ns0:v>
      </ns0:c>
      <ns0:c r="J160" t="n">
        <ns0:v>1852</ns0:v>
      </ns0:c>
      <ns0:c r="K160" t="n">
        <ns0:v>1</ns0:v>
      </ns0:c>
      <ns0:c r="L160" t="n">
        <ns0:v>1</ns0:v>
      </ns0:c>
      <ns0:c r="M160" t="n">
        <ns0:v>55789</ns0:v>
      </ns0:c>
      <ns0:c r="N160" t="n">
        <ns0:v>887</ns0:v>
      </ns0:c>
      <ns0:c r="O160" t="n">
        <ns0:v>56676</ns0:v>
      </ns0:c>
      <ns0:c r="P160" t="n">
        <ns0:v>7</ns0:v>
      </ns0:c>
      <ns0:c r="Q160">
        <ns0:f>IF(AND(L160=1,O160*Calculations!$B$2&lt;=Calculations!$B$10*Calculations!$B$4),1,0)</ns0:f>
        <ns0:v>0</ns0:v>
      </ns0:c>
      <ns0:c r="R160">
        <ns0:f>IF(AND(L160=1,O160*Calculations!$B$2&lt;=Calculations!$B$11*Calculations!$B$4),1,0)</ns0:f>
        <ns0:v>0</ns0:v>
      </ns0:c>
    </ns0:row>
    <ns0:row r="161">
      <ns0:c r="A161" t="inlineStr">
        <ns0:is>
          <ns0:t>case_0160</ns0:t>
        </ns0:is>
      </ns0:c>
      <ns0:c r="B161" t="inlineStr">
        <ns0:is>
          <ns0:t>function_0028</ns0:t>
        </ns0:is>
      </ns0:c>
      <ns0:c r="C161" t="inlineStr">
        <ns0:is>
          <ns0:t>run_002</ns0:t>
        </ns0:is>
      </ns0:c>
      <ns0:c r="D161" t="inlineStr">
        <ns0:is>
          <ns0:t>humantime</ns0:t>
        </ns0:is>
      </ns0:c>
      <ns0:c r="E161" t="inlineStr">
        <ns0:is>
          <ns0:t>deepseek-v3</ns0:t>
        </ns0:is>
      </ns0:c>
      <ns0:c r="F161" t="inlineStr">
        <ns0:is>
          <ns0:t>E0599</ns0:t>
        </ns0:is>
      </ns0:c>
      <ns0:c r="G161" t="n">
        <ns0:v>1</ns0:v>
      </ns0:c>
      <ns0:c r="H161" t="n">
        <ns0:v>1764</ns0:v>
      </ns0:c>
      <ns0:c r="I161" t="n">
        <ns0:v>84</ns0:v>
      </ns0:c>
      <ns0:c r="J161" t="n">
        <ns0:v>1848</ns0:v>
      </ns0:c>
      <ns0:c r="K161" t="n">
        <ns0:v>1</ns0:v>
      </ns0:c>
      <ns0:c r="L161" t="n">
        <ns0:v>1</ns0:v>
      </ns0:c>
      <ns0:c r="M161" t="n">
        <ns0:v>49366</ns0:v>
      </ns0:c>
      <ns0:c r="N161" t="n">
        <ns0:v>463</ns0:v>
      </ns0:c>
      <ns0:c r="O161" t="n">
        <ns0:v>49829</ns0:v>
      </ns0:c>
      <ns0:c r="P161" t="n">
        <ns0:v>4</ns0:v>
      </ns0:c>
      <ns0:c r="Q161">
        <ns0:f>IF(AND(L161=1,O161*Calculations!$B$2&lt;=Calculations!$B$10*Calculations!$B$4),1,0)</ns0:f>
        <ns0:v>0</ns0:v>
      </ns0:c>
      <ns0:c r="R161">
        <ns0:f>IF(AND(L161=1,O161*Calculations!$B$2&lt;=Calculations!$B$11*Calculations!$B$4),1,0)</ns0:f>
        <ns0:v>0</ns0:v>
      </ns0:c>
    </ns0:row>
    <ns0:row r="162">
      <ns0:c r="A162" t="inlineStr">
        <ns0:is>
          <ns0:t>case_0161</ns0:t>
        </ns0:is>
      </ns0:c>
      <ns0:c r="B162" t="inlineStr">
        <ns0:is>
          <ns0:t>function_0028</ns0:t>
        </ns0:is>
      </ns0:c>
      <ns0:c r="C162" t="inlineStr">
        <ns0:is>
          <ns0:t>run_002</ns0:t>
        </ns0:is>
      </ns0:c>
      <ns0:c r="D162" t="inlineStr">
        <ns0:is>
          <ns0:t>humantime</ns0:t>
        </ns0:is>
      </ns0:c>
      <ns0:c r="E162" t="inlineStr">
        <ns0:is>
          <ns0:t>deepseek-v3</ns0:t>
        </ns0:is>
      </ns0:c>
      <ns0:c r="F162" t="inlineStr">
        <ns0:is>
          <ns0:t>E0063</ns0:t>
        </ns0:is>
      </ns0:c>
      <ns0:c r="G162" t="n">
        <ns0:v>1</ns0:v>
      </ns0:c>
      <ns0:c r="H162" t="n">
        <ns0:v>1628</ns0:v>
      </ns0:c>
      <ns0:c r="I162" t="n">
        <ns0:v>85</ns0:v>
      </ns0:c>
      <ns0:c r="J162" t="n">
        <ns0:v>1713</ns0:v>
      </ns0:c>
      <ns0:c r="K162" t="n">
        <ns0:v>1</ns0:v>
      </ns0:c>
      <ns0:c r="L162" t="n">
        <ns0:v>1</ns0:v>
      </ns0:c>
      <ns0:c r="M162" t="n">
        <ns0:v>31283</ns0:v>
      </ns0:c>
      <ns0:c r="N162" t="n">
        <ns0:v>532</ns0:v>
      </ns0:c>
      <ns0:c r="O162" t="n">
        <ns0:v>31815</ns0:v>
      </ns0:c>
      <ns0:c r="P162" t="n">
        <ns0:v>4</ns0:v>
      </ns0:c>
      <ns0:c r="Q162">
        <ns0:f>IF(AND(L162=1,O162*Calculations!$B$2&lt;=Calculations!$B$10*Calculations!$B$4),1,0)</ns0:f>
        <ns0:v>0</ns0:v>
      </ns0:c>
      <ns0:c r="R162">
        <ns0:f>IF(AND(L162=1,O162*Calculations!$B$2&lt;=Calculations!$B$11*Calculations!$B$4),1,0)</ns0:f>
        <ns0:v>1</ns0:v>
      </ns0:c>
    </ns0:row>
    <ns0:row r="163">
      <ns0:c r="A163" t="inlineStr">
        <ns0:is>
          <ns0:t>case_0162</ns0:t>
        </ns0:is>
      </ns0:c>
      <ns0:c r="B163" t="inlineStr">
        <ns0:is>
          <ns0:t>function_0028</ns0:t>
        </ns0:is>
      </ns0:c>
      <ns0:c r="C163" t="inlineStr">
        <ns0:is>
          <ns0:t>run_002</ns0:t>
        </ns0:is>
      </ns0:c>
      <ns0:c r="D163" t="inlineStr">
        <ns0:is>
          <ns0:t>humantime</ns0:t>
        </ns0:is>
      </ns0:c>
      <ns0:c r="E163" t="inlineStr">
        <ns0:is>
          <ns0:t>deepseek-v3</ns0:t>
        </ns0:is>
      </ns0:c>
      <ns0:c r="F163" t="inlineStr">
        <ns0:is>
          <ns0:t>E0599</ns0:t>
        </ns0:is>
      </ns0:c>
      <ns0:c r="G163" t="n">
        <ns0:v>0</ns0:v>
      </ns0:c>
      <ns0:c r="H163" t="n">
        <ns0:v>3546</ns0:v>
      </ns0:c>
      <ns0:c r="I163" t="n">
        <ns0:v>183</ns0:v>
      </ns0:c>
      <ns0:c r="J163" t="n">
        <ns0:v>3729</ns0:v>
      </ns0:c>
      <ns0:c r="K163" t="n">
        <ns0:v>3</ns0:v>
      </ns0:c>
      <ns0:c r="L163" t="n">
        <ns0:v>1</ns0:v>
      </ns0:c>
      <ns0:c r="M163" t="n">
        <ns0:v>179917</ns0:v>
      </ns0:c>
      <ns0:c r="N163" t="n">
        <ns0:v>1062</ns0:v>
      </ns0:c>
      <ns0:c r="O163" t="n">
        <ns0:v>180979</ns0:v>
      </ns0:c>
      <ns0:c r="P163" t="n">
        <ns0:v>10</ns0:v>
      </ns0:c>
      <ns0:c r="Q163">
        <ns0:f>IF(AND(L163=1,O163*Calculations!$B$2&lt;=Calculations!$B$10*Calculations!$B$4),1,0)</ns0:f>
        <ns0:v>0</ns0:v>
      </ns0:c>
      <ns0:c r="R163">
        <ns0:f>IF(AND(L163=1,O163*Calculations!$B$2&lt;=Calculations!$B$11*Calculations!$B$4),1,0)</ns0:f>
        <ns0:v>0</ns0:v>
      </ns0:c>
    </ns0:row>
    <ns0:row r="164">
      <ns0:c r="A164" t="inlineStr">
        <ns0:is>
          <ns0:t>case_0163</ns0:t>
        </ns0:is>
      </ns0:c>
      <ns0:c r="B164" t="inlineStr">
        <ns0:is>
          <ns0:t>function_0028</ns0:t>
        </ns0:is>
      </ns0:c>
      <ns0:c r="C164" t="inlineStr">
        <ns0:is>
          <ns0:t>run_002</ns0:t>
        </ns0:is>
      </ns0:c>
      <ns0:c r="D164" t="inlineStr">
        <ns0:is>
          <ns0:t>humantime</ns0:t>
        </ns0:is>
      </ns0:c>
      <ns0:c r="E164" t="inlineStr">
        <ns0:is>
          <ns0:t>deepseek-v3</ns0:t>
        </ns0:is>
      </ns0:c>
      <ns0:c r="F164" t="inlineStr">
        <ns0:is>
          <ns0:t>E0599</ns0:t>
        </ns0:is>
      </ns0:c>
      <ns0:c r="G164" t="n">
        <ns0:v>0</ns0:v>
      </ns0:c>
      <ns0:c r="H164" t="n">
        <ns0:v>3538</ns0:v>
      </ns0:c>
      <ns0:c r="I164" t="n">
        <ns0:v>189</ns0:v>
      </ns0:c>
      <ns0:c r="J164" t="n">
        <ns0:v>3727</ns0:v>
      </ns0:c>
      <ns0:c r="K164" t="n">
        <ns0:v>3</ns0:v>
      </ns0:c>
      <ns0:c r="L164" t="n">
        <ns0:v>1</ns0:v>
      </ns0:c>
      <ns0:c r="M164" t="n">
        <ns0:v>73972</ns0:v>
      </ns0:c>
      <ns0:c r="N164" t="n">
        <ns0:v>1072</ns0:v>
      </ns0:c>
      <ns0:c r="O164" t="n">
        <ns0:v>75044</ns0:v>
      </ns0:c>
      <ns0:c r="P164" t="n">
        <ns0:v>9</ns0:v>
      </ns0:c>
      <ns0:c r="Q164">
        <ns0:f>IF(AND(L164=1,O164*Calculations!$B$2&lt;=Calculations!$B$10*Calculations!$B$4),1,0)</ns0:f>
        <ns0:v>0</ns0:v>
      </ns0:c>
      <ns0:c r="R164">
        <ns0:f>IF(AND(L164=1,O164*Calculations!$B$2&lt;=Calculations!$B$11*Calculations!$B$4),1,0)</ns0:f>
        <ns0:v>0</ns0:v>
      </ns0:c>
    </ns0:row>
    <ns0:row r="165">
      <ns0:c r="A165" t="inlineStr">
        <ns0:is>
          <ns0:t>case_0164</ns0:t>
        </ns0:is>
      </ns0:c>
      <ns0:c r="B165" t="inlineStr">
        <ns0:is>
          <ns0:t>function_0028</ns0:t>
        </ns0:is>
      </ns0:c>
      <ns0:c r="C165" t="inlineStr">
        <ns0:is>
          <ns0:t>run_002</ns0:t>
        </ns0:is>
      </ns0:c>
      <ns0:c r="D165" t="inlineStr">
        <ns0:is>
          <ns0:t>humantime</ns0:t>
        </ns0:is>
      </ns0:c>
      <ns0:c r="E165" t="inlineStr">
        <ns0:is>
          <ns0:t>deepseek-v3</ns0:t>
        </ns0:is>
      </ns0:c>
      <ns0:c r="F165" t="inlineStr">
        <ns0:is>
          <ns0:t>E0599</ns0:t>
        </ns0:is>
      </ns0:c>
      <ns0:c r="G165" t="n">
        <ns0:v>0</ns0:v>
      </ns0:c>
      <ns0:c r="H165" t="n">
        <ns0:v>3582</ns0:v>
      </ns0:c>
      <ns0:c r="I165" t="n">
        <ns0:v>162</ns0:v>
      </ns0:c>
      <ns0:c r="J165" t="n">
        <ns0:v>3744</ns0:v>
      </ns0:c>
      <ns0:c r="K165" t="n">
        <ns0:v>3</ns0:v>
      </ns0:c>
      <ns0:c r="L165" t="n">
        <ns0:v>1</ns0:v>
      </ns0:c>
      <ns0:c r="M165" t="n">
        <ns0:v>165341</ns0:v>
      </ns0:c>
      <ns0:c r="N165" t="n">
        <ns0:v>1694</ns0:v>
      </ns0:c>
      <ns0:c r="O165" t="n">
        <ns0:v>167035</ns0:v>
      </ns0:c>
      <ns0:c r="P165" t="n">
        <ns0:v>20</ns0:v>
      </ns0:c>
      <ns0:c r="Q165">
        <ns0:f>IF(AND(L165=1,O165*Calculations!$B$2&lt;=Calculations!$B$10*Calculations!$B$4),1,0)</ns0:f>
        <ns0:v>0</ns0:v>
      </ns0:c>
      <ns0:c r="R165">
        <ns0:f>IF(AND(L165=1,O165*Calculations!$B$2&lt;=Calculations!$B$11*Calculations!$B$4),1,0)</ns0:f>
        <ns0:v>0</ns0:v>
      </ns0:c>
    </ns0:row>
    <ns0:row r="166">
      <ns0:c r="A166" t="inlineStr">
        <ns0:is>
          <ns0:t>case_0165</ns0:t>
        </ns0:is>
      </ns0:c>
      <ns0:c r="B166" t="inlineStr">
        <ns0:is>
          <ns0:t>function_0028</ns0:t>
        </ns0:is>
      </ns0:c>
      <ns0:c r="C166" t="inlineStr">
        <ns0:is>
          <ns0:t>run_002</ns0:t>
        </ns0:is>
      </ns0:c>
      <ns0:c r="D166" t="inlineStr">
        <ns0:is>
          <ns0:t>humantime</ns0:t>
        </ns0:is>
      </ns0:c>
      <ns0:c r="E166" t="inlineStr">
        <ns0:is>
          <ns0:t>deepseek-v3</ns0:t>
        </ns0:is>
      </ns0:c>
      <ns0:c r="F166" t="inlineStr">
        <ns0:is>
          <ns0:t>E0765</ns0:t>
        </ns0:is>
      </ns0:c>
      <ns0:c r="G166" t="n">
        <ns0:v>0</ns0:v>
      </ns0:c>
      <ns0:c r="H166" t="n">
        <ns0:v>0</ns0:v>
      </ns0:c>
      <ns0:c r="I166" t="n">
        <ns0:v>0</ns0:v>
      </ns0:c>
      <ns0:c r="J166" t="n">
        <ns0:v>0</ns0:v>
      </ns0:c>
      <ns0:c r="K166" t="n">
        <ns0:v>0</ns0:v>
      </ns0:c>
      <ns0:c r="L166" t="n">
        <ns0:v>0</ns0:v>
      </ns0:c>
      <ns0:c r="M166" t="n">
        <ns0:v>37080</ns0:v>
      </ns0:c>
      <ns0:c r="N166" t="n">
        <ns0:v>319</ns0:v>
      </ns0:c>
      <ns0:c r="O166" t="n">
        <ns0:v>37399</ns0:v>
      </ns0:c>
      <ns0:c r="P166" t="n">
        <ns0:v>2</ns0:v>
      </ns0:c>
      <ns0:c r="Q166">
        <ns0:f>IF(AND(L166=1,O166*Calculations!$B$2&lt;=Calculations!$B$10*Calculations!$B$4),1,0)</ns0:f>
        <ns0:v>0</ns0:v>
      </ns0:c>
      <ns0:c r="R166">
        <ns0:f>IF(AND(L166=1,O166*Calculations!$B$2&lt;=Calculations!$B$11*Calculations!$B$4),1,0)</ns0:f>
        <ns0:v>0</ns0:v>
      </ns0:c>
    </ns0:row>
    <ns0:row r="167">
      <ns0:c r="A167" t="inlineStr">
        <ns0:is>
          <ns0:t>case_0166</ns0:t>
        </ns0:is>
      </ns0:c>
      <ns0:c r="B167" t="inlineStr">
        <ns0:is>
          <ns0:t>function_0028</ns0:t>
        </ns0:is>
      </ns0:c>
      <ns0:c r="C167" t="inlineStr">
        <ns0:is>
          <ns0:t>run_002</ns0:t>
        </ns0:is>
      </ns0:c>
      <ns0:c r="D167" t="inlineStr">
        <ns0:is>
          <ns0:t>humantime</ns0:t>
        </ns0:is>
      </ns0:c>
      <ns0:c r="E167" t="inlineStr">
        <ns0:is>
          <ns0:t>deepseek-v3</ns0:t>
        </ns0:is>
      </ns0:c>
      <ns0:c r="F167" t="inlineStr">
        <ns0:is>
          <ns0:t>E0599</ns0:t>
        </ns0:is>
      </ns0:c>
      <ns0:c r="G167" t="n">
        <ns0:v>0</ns0:v>
      </ns0:c>
      <ns0:c r="H167" t="n">
        <ns0:v>3418</ns0:v>
      </ns0:c>
      <ns0:c r="I167" t="n">
        <ns0:v>162</ns0:v>
      </ns0:c>
      <ns0:c r="J167" t="n">
        <ns0:v>3580</ns0:v>
      </ns0:c>
      <ns0:c r="K167" t="n">
        <ns0:v>3</ns0:v>
      </ns0:c>
      <ns0:c r="L167" t="n">
        <ns0:v>0</ns0:v>
      </ns0:c>
      <ns0:c r="M167" t="n">
        <ns0:v>162555</ns0:v>
      </ns0:c>
      <ns0:c r="N167" t="n">
        <ns0:v>1202</ns0:v>
      </ns0:c>
      <ns0:c r="O167" t="n">
        <ns0:v>163757</ns0:v>
      </ns0:c>
      <ns0:c r="P167" t="n">
        <ns0:v>20</ns0:v>
      </ns0:c>
      <ns0:c r="Q167">
        <ns0:f>IF(AND(L167=1,O167*Calculations!$B$2&lt;=Calculations!$B$10*Calculations!$B$4),1,0)</ns0:f>
        <ns0:v>0</ns0:v>
      </ns0:c>
      <ns0:c r="R167">
        <ns0:f>IF(AND(L167=1,O167*Calculations!$B$2&lt;=Calculations!$B$11*Calculations!$B$4),1,0)</ns0:f>
        <ns0:v>0</ns0:v>
      </ns0:c>
    </ns0:row>
    <ns0:row r="168">
      <ns0:c r="A168" t="inlineStr">
        <ns0:is>
          <ns0:t>case_0167</ns0:t>
        </ns0:is>
      </ns0:c>
      <ns0:c r="B168" t="inlineStr">
        <ns0:is>
          <ns0:t>function_0028</ns0:t>
        </ns0:is>
      </ns0:c>
      <ns0:c r="C168" t="inlineStr">
        <ns0:is>
          <ns0:t>run_002</ns0:t>
        </ns0:is>
      </ns0:c>
      <ns0:c r="D168" t="inlineStr">
        <ns0:is>
          <ns0:t>humantime</ns0:t>
        </ns0:is>
      </ns0:c>
      <ns0:c r="E168" t="inlineStr">
        <ns0:is>
          <ns0:t>deepseek-v3</ns0:t>
        </ns0:is>
      </ns0:c>
      <ns0:c r="F168" t="inlineStr">
        <ns0:is>
          <ns0:t>E0599</ns0:t>
        </ns0:is>
      </ns0:c>
      <ns0:c r="G168" t="n">
        <ns0:v>0</ns0:v>
      </ns0:c>
      <ns0:c r="H168" t="n">
        <ns0:v>5858</ns0:v>
      </ns0:c>
      <ns0:c r="I168" t="n">
        <ns0:v>252</ns0:v>
      </ns0:c>
      <ns0:c r="J168" t="n">
        <ns0:v>6110</ns0:v>
      </ns0:c>
      <ns0:c r="K168" t="n">
        <ns0:v>3</ns0:v>
      </ns0:c>
      <ns0:c r="L168" t="n">
        <ns0:v>1</ns0:v>
      </ns0:c>
      <ns0:c r="M168" t="n">
        <ns0:v>44816</ns0:v>
      </ns0:c>
      <ns0:c r="N168" t="n">
        <ns0:v>1192</ns0:v>
      </ns0:c>
      <ns0:c r="O168" t="n">
        <ns0:v>46008</ns0:v>
      </ns0:c>
      <ns0:c r="P168" t="n">
        <ns0:v>6</ns0:v>
      </ns0:c>
      <ns0:c r="Q168">
        <ns0:f>IF(AND(L168=1,O168*Calculations!$B$2&lt;=Calculations!$B$10*Calculations!$B$4),1,0)</ns0:f>
        <ns0:v>0</ns0:v>
      </ns0:c>
      <ns0:c r="R168">
        <ns0:f>IF(AND(L168=1,O168*Calculations!$B$2&lt;=Calculations!$B$11*Calculations!$B$4),1,0)</ns0:f>
        <ns0:v>1</ns0:v>
      </ns0:c>
    </ns0:row>
    <ns0:row r="169">
      <ns0:c r="A169" t="inlineStr">
        <ns0:is>
          <ns0:t>case_0168</ns0:t>
        </ns0:is>
      </ns0:c>
      <ns0:c r="B169" t="inlineStr">
        <ns0:is>
          <ns0:t>function_0029</ns0:t>
        </ns0:is>
      </ns0:c>
      <ns0:c r="C169" t="inlineStr">
        <ns0:is>
          <ns0:t>run_002</ns0:t>
        </ns0:is>
      </ns0:c>
      <ns0:c r="D169" t="inlineStr">
        <ns0:is>
          <ns0:t>humantime</ns0:t>
        </ns0:is>
      </ns0:c>
      <ns0:c r="E169" t="inlineStr">
        <ns0:is>
          <ns0:t>deepseek-v3</ns0:t>
        </ns0:is>
      </ns0:c>
      <ns0:c r="F169" t="inlineStr">
        <ns0:is>
          <ns0:t>E0433</ns0:t>
        </ns0:is>
      </ns0:c>
      <ns0:c r="G169" t="n">
        <ns0:v>1</ns0:v>
      </ns0:c>
      <ns0:c r="H169" t="n">
        <ns0:v>8508</ns0:v>
      </ns0:c>
      <ns0:c r="I169" t="n">
        <ns0:v>409</ns0:v>
      </ns0:c>
      <ns0:c r="J169" t="n">
        <ns0:v>8917</ns0:v>
      </ns0:c>
      <ns0:c r="K169" t="n">
        <ns0:v>4</ns0:v>
      </ns0:c>
      <ns0:c r="L169" t="n">
        <ns0:v>1</ns0:v>
      </ns0:c>
      <ns0:c r="M169" t="n">
        <ns0:v>71565</ns0:v>
      </ns0:c>
      <ns0:c r="N169" t="n">
        <ns0:v>609</ns0:v>
      </ns0:c>
      <ns0:c r="O169" t="n">
        <ns0:v>72174</ns0:v>
      </ns0:c>
      <ns0:c r="P169" t="n">
        <ns0:v>6</ns0:v>
      </ns0:c>
      <ns0:c r="Q169">
        <ns0:f>IF(AND(L169=1,O169*Calculations!$B$2&lt;=Calculations!$B$10*Calculations!$B$4),1,0)</ns0:f>
        <ns0:v>0</ns0:v>
      </ns0:c>
      <ns0:c r="R169">
        <ns0:f>IF(AND(L169=1,O169*Calculations!$B$2&lt;=Calculations!$B$11*Calculations!$B$4),1,0)</ns0:f>
        <ns0:v>0</ns0:v>
      </ns0:c>
    </ns0:row>
    <ns0:row r="170">
      <ns0:c r="A170" t="inlineStr">
        <ns0:is>
          <ns0:t>case_0169</ns0:t>
        </ns0:is>
      </ns0:c>
      <ns0:c r="B170" t="inlineStr">
        <ns0:is>
          <ns0:t>function_0029</ns0:t>
        </ns0:is>
      </ns0:c>
      <ns0:c r="C170" t="inlineStr">
        <ns0:is>
          <ns0:t>run_002</ns0:t>
        </ns0:is>
      </ns0:c>
      <ns0:c r="D170" t="inlineStr">
        <ns0:is>
          <ns0:t>humantime</ns0:t>
        </ns0:is>
      </ns0:c>
      <ns0:c r="E170" t="inlineStr">
        <ns0:is>
          <ns0:t>deepseek-v3</ns0:t>
        </ns0:is>
      </ns0:c>
      <ns0:c r="F170" t="inlineStr">
        <ns0:is>
          <ns0:t>E0433</ns0:t>
        </ns0:is>
      </ns0:c>
      <ns0:c r="G170" t="n">
        <ns0:v>1</ns0:v>
      </ns0:c>
      <ns0:c r="H170" t="n">
        <ns0:v>8504</ns0:v>
      </ns0:c>
      <ns0:c r="I170" t="n">
        <ns0:v>412</ns0:v>
      </ns0:c>
      <ns0:c r="J170" t="n">
        <ns0:v>8916</ns0:v>
      </ns0:c>
      <ns0:c r="K170" t="n">
        <ns0:v>4</ns0:v>
      </ns0:c>
      <ns0:c r="L170" t="n">
        <ns0:v>1</ns0:v>
      </ns0:c>
      <ns0:c r="M170" t="n">
        <ns0:v>57568</ns0:v>
      </ns0:c>
      <ns0:c r="N170" t="n">
        <ns0:v>582</ns0:v>
      </ns0:c>
      <ns0:c r="O170" t="n">
        <ns0:v>58150</ns0:v>
      </ns0:c>
      <ns0:c r="P170" t="n">
        <ns0:v>7</ns0:v>
      </ns0:c>
      <ns0:c r="Q170">
        <ns0:f>IF(AND(L170=1,O170*Calculations!$B$2&lt;=Calculations!$B$10*Calculations!$B$4),1,0)</ns0:f>
        <ns0:v>0</ns0:v>
      </ns0:c>
      <ns0:c r="R170">
        <ns0:f>IF(AND(L170=1,O170*Calculations!$B$2&lt;=Calculations!$B$11*Calculations!$B$4),1,0)</ns0:f>
        <ns0:v>0</ns0:v>
      </ns0:c>
    </ns0:row>
    <ns0:row r="171">
      <ns0:c r="A171" t="inlineStr">
        <ns0:is>
          <ns0:t>case_0170</ns0:t>
        </ns0:is>
      </ns0:c>
      <ns0:c r="B171" t="inlineStr">
        <ns0:is>
          <ns0:t>function_0029</ns0:t>
        </ns0:is>
      </ns0:c>
      <ns0:c r="C171" t="inlineStr">
        <ns0:is>
          <ns0:t>run_002</ns0:t>
        </ns0:is>
      </ns0:c>
      <ns0:c r="D171" t="inlineStr">
        <ns0:is>
          <ns0:t>humantime</ns0:t>
        </ns0:is>
      </ns0:c>
      <ns0:c r="E171" t="inlineStr">
        <ns0:is>
          <ns0:t>deepseek-v3</ns0:t>
        </ns0:is>
      </ns0:c>
      <ns0:c r="F171" t="inlineStr">
        <ns0:is>
          <ns0:t>E0433</ns0:t>
        </ns0:is>
      </ns0:c>
      <ns0:c r="G171" t="n">
        <ns0:v>1</ns0:v>
      </ns0:c>
      <ns0:c r="H171" t="n">
        <ns0:v>2186</ns0:v>
      </ns0:c>
      <ns0:c r="I171" t="n">
        <ns0:v>104</ns0:v>
      </ns0:c>
      <ns0:c r="J171" t="n">
        <ns0:v>2290</ns0:v>
      </ns0:c>
      <ns0:c r="K171" t="n">
        <ns0:v>1</ns0:v>
      </ns0:c>
      <ns0:c r="L171" t="n">
        <ns0:v>1</ns0:v>
      </ns0:c>
      <ns0:c r="M171" t="n">
        <ns0:v>57663</ns0:v>
      </ns0:c>
      <ns0:c r="N171" t="n">
        <ns0:v>635</ns0:v>
      </ns0:c>
      <ns0:c r="O171" t="n">
        <ns0:v>58298</ns0:v>
      </ns0:c>
      <ns0:c r="P171" t="n">
        <ns0:v>8</ns0:v>
      </ns0:c>
      <ns0:c r="Q171">
        <ns0:f>IF(AND(L171=1,O171*Calculations!$B$2&lt;=Calculations!$B$10*Calculations!$B$4),1,0)</ns0:f>
        <ns0:v>0</ns0:v>
      </ns0:c>
      <ns0:c r="R171">
        <ns0:f>IF(AND(L171=1,O171*Calculations!$B$2&lt;=Calculations!$B$11*Calculations!$B$4),1,0)</ns0:f>
        <ns0:v>0</ns0:v>
      </ns0:c>
    </ns0:row>
    <ns0:row r="172">
      <ns0:c r="A172" t="inlineStr">
        <ns0:is>
          <ns0:t>case_0171</ns0:t>
        </ns0:is>
      </ns0:c>
      <ns0:c r="B172" t="inlineStr">
        <ns0:is>
          <ns0:t>function_0029</ns0:t>
        </ns0:is>
      </ns0:c>
      <ns0:c r="C172" t="inlineStr">
        <ns0:is>
          <ns0:t>run_002</ns0:t>
        </ns0:is>
      </ns0:c>
      <ns0:c r="D172" t="inlineStr">
        <ns0:is>
          <ns0:t>humantime</ns0:t>
        </ns0:is>
      </ns0:c>
      <ns0:c r="E172" t="inlineStr">
        <ns0:is>
          <ns0:t>deepseek-v3</ns0:t>
        </ns0:is>
      </ns0:c>
      <ns0:c r="F172" t="inlineStr">
        <ns0:is>
          <ns0:t>E0433</ns0:t>
        </ns0:is>
      </ns0:c>
      <ns0:c r="G172" t="n">
        <ns0:v>1</ns0:v>
      </ns0:c>
      <ns0:c r="H172" t="n">
        <ns0:v>8514</ns0:v>
      </ns0:c>
      <ns0:c r="I172" t="n">
        <ns0:v>413</ns0:v>
      </ns0:c>
      <ns0:c r="J172" t="n">
        <ns0:v>8927</ns0:v>
      </ns0:c>
      <ns0:c r="K172" t="n">
        <ns0:v>4</ns0:v>
      </ns0:c>
      <ns0:c r="L172" t="n">
        <ns0:v>0</ns0:v>
      </ns0:c>
      <ns0:c r="M172" t="n">
        <ns0:v>33407</ns0:v>
      </ns0:c>
      <ns0:c r="N172" t="n">
        <ns0:v>766</ns0:v>
      </ns0:c>
      <ns0:c r="O172" t="n">
        <ns0:v>34173</ns0:v>
      </ns0:c>
      <ns0:c r="P172" t="n">
        <ns0:v>4</ns0:v>
      </ns0:c>
      <ns0:c r="Q172">
        <ns0:f>IF(AND(L172=1,O172*Calculations!$B$2&lt;=Calculations!$B$10*Calculations!$B$4),1,0)</ns0:f>
        <ns0:v>0</ns0:v>
      </ns0:c>
      <ns0:c r="R172">
        <ns0:f>IF(AND(L172=1,O172*Calculations!$B$2&lt;=Calculations!$B$11*Calculations!$B$4),1,0)</ns0:f>
        <ns0:v>0</ns0:v>
      </ns0:c>
    </ns0:row>
    <ns0:row r="173">
      <ns0:c r="A173" t="inlineStr">
        <ns0:is>
          <ns0:t>case_0172</ns0:t>
        </ns0:is>
      </ns0:c>
      <ns0:c r="B173" t="inlineStr">
        <ns0:is>
          <ns0:t>function_0029</ns0:t>
        </ns0:is>
      </ns0:c>
      <ns0:c r="C173" t="inlineStr">
        <ns0:is>
          <ns0:t>run_002</ns0:t>
        </ns0:is>
      </ns0:c>
      <ns0:c r="D173" t="inlineStr">
        <ns0:is>
          <ns0:t>humantime</ns0:t>
        </ns0:is>
      </ns0:c>
      <ns0:c r="E173" t="inlineStr">
        <ns0:is>
          <ns0:t>deepseek-v3</ns0:t>
        </ns0:is>
      </ns0:c>
      <ns0:c r="F173" t="inlineStr">
        <ns0:is>
          <ns0:t>E0433</ns0:t>
        </ns0:is>
      </ns0:c>
      <ns0:c r="G173" t="n">
        <ns0:v>0</ns0:v>
      </ns0:c>
      <ns0:c r="H173" t="n">
        <ns0:v>15768</ns0:v>
      </ns0:c>
      <ns0:c r="I173" t="n">
        <ns0:v>1021</ns0:v>
      </ns0:c>
      <ns0:c r="J173" t="n">
        <ns0:v>16789</ns0:v>
      </ns0:c>
      <ns0:c r="K173" t="n">
        <ns0:v>12</ns0:v>
      </ns0:c>
      <ns0:c r="L173" t="n">
        <ns0:v>0</ns0:v>
      </ns0:c>
      <ns0:c r="M173" t="n">
        <ns0:v>93633</ns0:v>
      </ns0:c>
      <ns0:c r="N173" t="n">
        <ns0:v>794</ns0:v>
      </ns0:c>
      <ns0:c r="O173" t="n">
        <ns0:v>94427</ns0:v>
      </ns0:c>
      <ns0:c r="P173" t="n">
        <ns0:v>8</ns0:v>
      </ns0:c>
      <ns0:c r="Q173">
        <ns0:f>IF(AND(L173=1,O173*Calculations!$B$2&lt;=Calculations!$B$10*Calculations!$B$4),1,0)</ns0:f>
        <ns0:v>0</ns0:v>
      </ns0:c>
      <ns0:c r="R173">
        <ns0:f>IF(AND(L173=1,O173*Calculations!$B$2&lt;=Calculations!$B$11*Calculations!$B$4),1,0)</ns0:f>
        <ns0:v>0</ns0:v>
      </ns0:c>
    </ns0:row>
    <ns0:row r="174">
      <ns0:c r="A174" t="inlineStr">
        <ns0:is>
          <ns0:t>case_0173</ns0:t>
        </ns0:is>
      </ns0:c>
      <ns0:c r="B174" t="inlineStr">
        <ns0:is>
          <ns0:t>function_0029</ns0:t>
        </ns0:is>
      </ns0:c>
      <ns0:c r="C174" t="inlineStr">
        <ns0:is>
          <ns0:t>run_002</ns0:t>
        </ns0:is>
      </ns0:c>
      <ns0:c r="D174" t="inlineStr">
        <ns0:is>
          <ns0:t>humantime</ns0:t>
        </ns0:is>
      </ns0:c>
      <ns0:c r="E174" t="inlineStr">
        <ns0:is>
          <ns0:t>deepseek-v3</ns0:t>
        </ns0:is>
      </ns0:c>
      <ns0:c r="F174" t="inlineStr">
        <ns0:is>
          <ns0:t>E0433</ns0:t>
        </ns0:is>
      </ns0:c>
      <ns0:c r="G174" t="n">
        <ns0:v>1</ns0:v>
      </ns0:c>
      <ns0:c r="H174" t="n">
        <ns0:v>2123</ns0:v>
      </ns0:c>
      <ns0:c r="I174" t="n">
        <ns0:v>102</ns0:v>
      </ns0:c>
      <ns0:c r="J174" t="n">
        <ns0:v>2225</ns0:v>
      </ns0:c>
      <ns0:c r="K174" t="n">
        <ns0:v>1</ns0:v>
      </ns0:c>
      <ns0:c r="L174" t="n">
        <ns0:v>1</ns0:v>
      </ns0:c>
      <ns0:c r="M174" t="n">
        <ns0:v>77353</ns0:v>
      </ns0:c>
      <ns0:c r="N174" t="n">
        <ns0:v>1038</ns0:v>
      </ns0:c>
      <ns0:c r="O174" t="n">
        <ns0:v>78391</ns0:v>
      </ns0:c>
      <ns0:c r="P174" t="n">
        <ns0:v>10</ns0:v>
      </ns0:c>
      <ns0:c r="Q174">
        <ns0:f>IF(AND(L174=1,O174*Calculations!$B$2&lt;=Calculations!$B$10*Calculations!$B$4),1,0)</ns0:f>
        <ns0:v>0</ns0:v>
      </ns0:c>
      <ns0:c r="R174">
        <ns0:f>IF(AND(L174=1,O174*Calculations!$B$2&lt;=Calculations!$B$11*Calculations!$B$4),1,0)</ns0:f>
        <ns0:v>0</ns0:v>
      </ns0:c>
    </ns0:row>
    <ns0:row r="175">
      <ns0:c r="A175" t="inlineStr">
        <ns0:is>
          <ns0:t>case_0174</ns0:t>
        </ns0:is>
      </ns0:c>
      <ns0:c r="B175" t="inlineStr">
        <ns0:is>
          <ns0:t>function_0029</ns0:t>
        </ns0:is>
      </ns0:c>
      <ns0:c r="C175" t="inlineStr">
        <ns0:is>
          <ns0:t>run_002</ns0:t>
        </ns0:is>
      </ns0:c>
      <ns0:c r="D175" t="inlineStr">
        <ns0:is>
          <ns0:t>humantime</ns0:t>
        </ns0:is>
      </ns0:c>
      <ns0:c r="E175" t="inlineStr">
        <ns0:is>
          <ns0:t>deepseek-v3</ns0:t>
        </ns0:is>
      </ns0:c>
      <ns0:c r="F175" t="inlineStr">
        <ns0:is>
          <ns0:t>E0433</ns0:t>
        </ns0:is>
      </ns0:c>
      <ns0:c r="G175" t="n">
        <ns0:v>0</ns0:v>
      </ns0:c>
      <ns0:c r="H175" t="n">
        <ns0:v>15814</ns0:v>
      </ns0:c>
      <ns0:c r="I175" t="n">
        <ns0:v>1007</ns0:v>
      </ns0:c>
      <ns0:c r="J175" t="n">
        <ns0:v>16821</ns0:v>
      </ns0:c>
      <ns0:c r="K175" t="n">
        <ns0:v>12</ns0:v>
      </ns0:c>
      <ns0:c r="L175" t="n">
        <ns0:v>1</ns0:v>
      </ns0:c>
      <ns0:c r="M175" t="n">
        <ns0:v>74061</ns0:v>
      </ns0:c>
      <ns0:c r="N175" t="n">
        <ns0:v>1714</ns0:v>
      </ns0:c>
      <ns0:c r="O175" t="n">
        <ns0:v>75775</ns0:v>
      </ns0:c>
      <ns0:c r="P175" t="n">
        <ns0:v>8</ns0:v>
      </ns0:c>
      <ns0:c r="Q175">
        <ns0:f>IF(AND(L175=1,O175*Calculations!$B$2&lt;=Calculations!$B$10*Calculations!$B$4),1,0)</ns0:f>
        <ns0:v>0</ns0:v>
      </ns0:c>
      <ns0:c r="R175">
        <ns0:f>IF(AND(L175=1,O175*Calculations!$B$2&lt;=Calculations!$B$11*Calculations!$B$4),1,0)</ns0:f>
        <ns0:v>0</ns0:v>
      </ns0:c>
    </ns0:row>
    <ns0:row r="176">
      <ns0:c r="A176" t="inlineStr">
        <ns0:is>
          <ns0:t>case_0175</ns0:t>
        </ns0:is>
      </ns0:c>
      <ns0:c r="B176" t="inlineStr">
        <ns0:is>
          <ns0:t>function_0029</ns0:t>
        </ns0:is>
      </ns0:c>
      <ns0:c r="C176" t="inlineStr">
        <ns0:is>
          <ns0:t>run_002</ns0:t>
        </ns0:is>
      </ns0:c>
      <ns0:c r="D176" t="inlineStr">
        <ns0:is>
          <ns0:t>humantime</ns0:t>
        </ns0:is>
      </ns0:c>
      <ns0:c r="E176" t="inlineStr">
        <ns0:is>
          <ns0:t>deepseek-v3</ns0:t>
        </ns0:is>
      </ns0:c>
      <ns0:c r="F176" t="inlineStr">
        <ns0:is>
          <ns0:t>E0433</ns0:t>
        </ns0:is>
      </ns0:c>
      <ns0:c r="G176" t="n">
        <ns0:v>0</ns0:v>
      </ns0:c>
      <ns0:c r="H176" t="n">
        <ns0:v>15716</ns0:v>
      </ns0:c>
      <ns0:c r="I176" t="n">
        <ns0:v>995</ns0:v>
      </ns0:c>
      <ns0:c r="J176" t="n">
        <ns0:v>16711</ns0:v>
      </ns0:c>
      <ns0:c r="K176" t="n">
        <ns0:v>12</ns0:v>
      </ns0:c>
      <ns0:c r="L176" t="n">
        <ns0:v>0</ns0:v>
      </ns0:c>
      <ns0:c r="M176" t="n">
        <ns0:v>41552</ns0:v>
      </ns0:c>
      <ns0:c r="N176" t="n">
        <ns0:v>583</ns0:v>
      </ns0:c>
      <ns0:c r="O176" t="n">
        <ns0:v>42135</ns0:v>
      </ns0:c>
      <ns0:c r="P176" t="n">
        <ns0:v>5</ns0:v>
      </ns0:c>
      <ns0:c r="Q176">
        <ns0:f>IF(AND(L176=1,O176*Calculations!$B$2&lt;=Calculations!$B$10*Calculations!$B$4),1,0)</ns0:f>
        <ns0:v>0</ns0:v>
      </ns0:c>
      <ns0:c r="R176">
        <ns0:f>IF(AND(L176=1,O176*Calculations!$B$2&lt;=Calculations!$B$11*Calculations!$B$4),1,0)</ns0:f>
        <ns0:v>0</ns0:v>
      </ns0:c>
    </ns0:row>
    <ns0:row r="177">
      <ns0:c r="A177" t="inlineStr">
        <ns0:is>
          <ns0:t>case_0176</ns0:t>
        </ns0:is>
      </ns0:c>
      <ns0:c r="B177" t="inlineStr">
        <ns0:is>
          <ns0:t>function_0029</ns0:t>
        </ns0:is>
      </ns0:c>
      <ns0:c r="C177" t="inlineStr">
        <ns0:is>
          <ns0:t>run_002</ns0:t>
        </ns0:is>
      </ns0:c>
      <ns0:c r="D177" t="inlineStr">
        <ns0:is>
          <ns0:t>humantime</ns0:t>
        </ns0:is>
      </ns0:c>
      <ns0:c r="E177" t="inlineStr">
        <ns0:is>
          <ns0:t>deepseek-v3</ns0:t>
        </ns0:is>
      </ns0:c>
      <ns0:c r="F177" t="inlineStr">
        <ns0:is>
          <ns0:t>E0433</ns0:t>
        </ns0:is>
      </ns0:c>
      <ns0:c r="G177" t="n">
        <ns0:v>0</ns0:v>
      </ns0:c>
      <ns0:c r="H177" t="n">
        <ns0:v>15812</ns0:v>
      </ns0:c>
      <ns0:c r="I177" t="n">
        <ns0:v>999</ns0:v>
      </ns0:c>
      <ns0:c r="J177" t="n">
        <ns0:v>16811</ns0:v>
      </ns0:c>
      <ns0:c r="K177" t="n">
        <ns0:v>12</ns0:v>
      </ns0:c>
      <ns0:c r="L177" t="n">
        <ns0:v>0</ns0:v>
      </ns0:c>
      <ns0:c r="M177" t="n">
        <ns0:v>58137</ns0:v>
      </ns0:c>
      <ns0:c r="N177" t="n">
        <ns0:v>560</ns0:v>
      </ns0:c>
      <ns0:c r="O177" t="n">
        <ns0:v>58697</ns0:v>
      </ns0:c>
      <ns0:c r="P177" t="n">
        <ns0:v>7</ns0:v>
      </ns0:c>
      <ns0:c r="Q177">
        <ns0:f>IF(AND(L177=1,O177*Calculations!$B$2&lt;=Calculations!$B$10*Calculations!$B$4),1,0)</ns0:f>
        <ns0:v>0</ns0:v>
      </ns0:c>
      <ns0:c r="R177">
        <ns0:f>IF(AND(L177=1,O177*Calculations!$B$2&lt;=Calculations!$B$11*Calculations!$B$4),1,0)</ns0:f>
        <ns0:v>0</ns0:v>
      </ns0:c>
    </ns0:row>
    <ns0:row r="178">
      <ns0:c r="A178" t="inlineStr">
        <ns0:is>
          <ns0:t>case_0177</ns0:t>
        </ns0:is>
      </ns0:c>
      <ns0:c r="B178" t="inlineStr">
        <ns0:is>
          <ns0:t>function_0029</ns0:t>
        </ns0:is>
      </ns0:c>
      <ns0:c r="C178" t="inlineStr">
        <ns0:is>
          <ns0:t>run_002</ns0:t>
        </ns0:is>
      </ns0:c>
      <ns0:c r="D178" t="inlineStr">
        <ns0:is>
          <ns0:t>humantime</ns0:t>
        </ns0:is>
      </ns0:c>
      <ns0:c r="E178" t="inlineStr">
        <ns0:is>
          <ns0:t>deepseek-v3</ns0:t>
        </ns0:is>
      </ns0:c>
      <ns0:c r="F178" t="inlineStr">
        <ns0:is>
          <ns0:t>E0063</ns0:t>
        </ns0:is>
      </ns0:c>
      <ns0:c r="G178" t="n">
        <ns0:v>1</ns0:v>
      </ns0:c>
      <ns0:c r="H178" t="n">
        <ns0:v>6566</ns0:v>
      </ns0:c>
      <ns0:c r="I178" t="n">
        <ns0:v>394</ns0:v>
      </ns0:c>
      <ns0:c r="J178" t="n">
        <ns0:v>6960</ns0:v>
      </ns0:c>
      <ns0:c r="K178" t="n">
        <ns0:v>4</ns0:v>
      </ns0:c>
      <ns0:c r="L178" t="n">
        <ns0:v>1</ns0:v>
      </ns0:c>
      <ns0:c r="M178" t="n">
        <ns0:v>38439</ns0:v>
      </ns0:c>
      <ns0:c r="N178" t="n">
        <ns0:v>369</ns0:v>
      </ns0:c>
      <ns0:c r="O178" t="n">
        <ns0:v>38808</ns0:v>
      </ns0:c>
      <ns0:c r="P178" t="n">
        <ns0:v>5</ns0:v>
      </ns0:c>
      <ns0:c r="Q178">
        <ns0:f>IF(AND(L178=1,O178*Calculations!$B$2&lt;=Calculations!$B$10*Calculations!$B$4),1,0)</ns0:f>
        <ns0:v>0</ns0:v>
      </ns0:c>
      <ns0:c r="R178">
        <ns0:f>IF(AND(L178=1,O178*Calculations!$B$2&lt;=Calculations!$B$11*Calculations!$B$4),1,0)</ns0:f>
        <ns0:v>1</ns0:v>
      </ns0:c>
    </ns0:row>
    <ns0:row r="179">
      <ns0:c r="A179" t="inlineStr">
        <ns0:is>
          <ns0:t>case_0178</ns0:t>
        </ns0:is>
      </ns0:c>
      <ns0:c r="B179" t="inlineStr">
        <ns0:is>
          <ns0:t>function_0029</ns0:t>
        </ns0:is>
      </ns0:c>
      <ns0:c r="C179" t="inlineStr">
        <ns0:is>
          <ns0:t>run_002</ns0:t>
        </ns0:is>
      </ns0:c>
      <ns0:c r="D179" t="inlineStr">
        <ns0:is>
          <ns0:t>humantime</ns0:t>
        </ns0:is>
      </ns0:c>
      <ns0:c r="E179" t="inlineStr">
        <ns0:is>
          <ns0:t>deepseek-v3</ns0:t>
        </ns0:is>
      </ns0:c>
      <ns0:c r="F179" t="inlineStr">
        <ns0:is>
          <ns0:t>E0432,E0560</ns0:t>
        </ns0:is>
      </ns0:c>
      <ns0:c r="G179" t="n">
        <ns0:v>0</ns0:v>
      </ns0:c>
      <ns0:c r="H179" t="n">
        <ns0:v>10711</ns0:v>
      </ns0:c>
      <ns0:c r="I179" t="n">
        <ns0:v>591</ns0:v>
      </ns0:c>
      <ns0:c r="J179" t="n">
        <ns0:v>11302</ns0:v>
      </ns0:c>
      <ns0:c r="K179" t="n">
        <ns0:v>6</ns0:v>
      </ns0:c>
      <ns0:c r="L179" t="n">
        <ns0:v>1</ns0:v>
      </ns0:c>
      <ns0:c r="M179" t="n">
        <ns0:v>74724</ns0:v>
      </ns0:c>
      <ns0:c r="N179" t="n">
        <ns0:v>487</ns0:v>
      </ns0:c>
      <ns0:c r="O179" t="n">
        <ns0:v>75211</ns0:v>
      </ns0:c>
      <ns0:c r="P179" t="n">
        <ns0:v>5</ns0:v>
      </ns0:c>
      <ns0:c r="Q179">
        <ns0:f>IF(AND(L179=1,O179*Calculations!$B$2&lt;=Calculations!$B$10*Calculations!$B$4),1,0)</ns0:f>
        <ns0:v>0</ns0:v>
      </ns0:c>
      <ns0:c r="R179">
        <ns0:f>IF(AND(L179=1,O179*Calculations!$B$2&lt;=Calculations!$B$11*Calculations!$B$4),1,0)</ns0:f>
        <ns0:v>0</ns0:v>
      </ns0:c>
    </ns0:row>
    <ns0:row r="180">
      <ns0:c r="A180" t="inlineStr">
        <ns0:is>
          <ns0:t>case_0179</ns0:t>
        </ns0:is>
      </ns0:c>
      <ns0:c r="B180" t="inlineStr">
        <ns0:is>
          <ns0:t>function_0029</ns0:t>
        </ns0:is>
      </ns0:c>
      <ns0:c r="C180" t="inlineStr">
        <ns0:is>
          <ns0:t>run_002</ns0:t>
        </ns0:is>
      </ns0:c>
      <ns0:c r="D180" t="inlineStr">
        <ns0:is>
          <ns0:t>humantime</ns0:t>
        </ns0:is>
      </ns0:c>
      <ns0:c r="E180" t="inlineStr">
        <ns0:is>
          <ns0:t>deepseek-v3</ns0:t>
        </ns0:is>
      </ns0:c>
      <ns0:c r="F180" t="inlineStr">
        <ns0:is>
          <ns0:t>E0063</ns0:t>
        </ns0:is>
      </ns0:c>
      <ns0:c r="G180" t="n">
        <ns0:v>1</ns0:v>
      </ns0:c>
      <ns0:c r="H180" t="n">
        <ns0:v>1640</ns0:v>
      </ns0:c>
      <ns0:c r="I180" t="n">
        <ns0:v>100</ns0:v>
      </ns0:c>
      <ns0:c r="J180" t="n">
        <ns0:v>1740</ns0:v>
      </ns0:c>
      <ns0:c r="K180" t="n">
        <ns0:v>1</ns0:v>
      </ns0:c>
      <ns0:c r="L180" t="n">
        <ns0:v>1</ns0:v>
      </ns0:c>
      <ns0:c r="M180" t="n">
        <ns0:v>49128</ns0:v>
      </ns0:c>
      <ns0:c r="N180" t="n">
        <ns0:v>305</ns0:v>
      </ns0:c>
      <ns0:c r="O180" t="n">
        <ns0:v>49433</ns0:v>
      </ns0:c>
      <ns0:c r="P180" t="n">
        <ns0:v>4</ns0:v>
      </ns0:c>
      <ns0:c r="Q180">
        <ns0:f>IF(AND(L180=1,O180*Calculations!$B$2&lt;=Calculations!$B$10*Calculations!$B$4),1,0)</ns0:f>
        <ns0:v>0</ns0:v>
      </ns0:c>
      <ns0:c r="R180">
        <ns0:f>IF(AND(L180=1,O180*Calculations!$B$2&lt;=Calculations!$B$11*Calculations!$B$4),1,0)</ns0:f>
        <ns0:v>0</ns0:v>
      </ns0:c>
    </ns0:row>
    <ns0:row r="181">
      <ns0:c r="A181" t="inlineStr">
        <ns0:is>
          <ns0:t>case_0180</ns0:t>
        </ns0:is>
      </ns0:c>
      <ns0:c r="B181" t="inlineStr">
        <ns0:is>
          <ns0:t>function_0030</ns0:t>
        </ns0:is>
      </ns0:c>
      <ns0:c r="C181" t="inlineStr">
        <ns0:is>
          <ns0:t>run_002</ns0:t>
        </ns0:is>
      </ns0:c>
      <ns0:c r="D181" t="inlineStr">
        <ns0:is>
          <ns0:t>humantime</ns0:t>
        </ns0:is>
      </ns0:c>
      <ns0:c r="E181" t="inlineStr">
        <ns0:is>
          <ns0:t>deepseek-v3</ns0:t>
        </ns0:is>
      </ns0:c>
      <ns0:c r="F181" t="inlineStr">
        <ns0:is>
          <ns0:t>E0599</ns0:t>
        </ns0:is>
      </ns0:c>
      <ns0:c r="G181" t="n">
        <ns0:v>0</ns0:v>
      </ns0:c>
      <ns0:c r="H181" t="n">
        <ns0:v>3817</ns0:v>
      </ns0:c>
      <ns0:c r="I181" t="n">
        <ns0:v>303</ns0:v>
      </ns0:c>
      <ns0:c r="J181" t="n">
        <ns0:v>4120</ns0:v>
      </ns0:c>
      <ns0:c r="K181" t="n">
        <ns0:v>3</ns0:v>
      </ns0:c>
      <ns0:c r="L181" t="n">
        <ns0:v>0</ns0:v>
      </ns0:c>
      <ns0:c r="M181" t="n">
        <ns0:v>67604</ns0:v>
      </ns0:c>
      <ns0:c r="N181" t="n">
        <ns0:v>782</ns0:v>
      </ns0:c>
      <ns0:c r="O181" t="n">
        <ns0:v>68386</ns0:v>
      </ns0:c>
      <ns0:c r="P181" t="n">
        <ns0:v>9</ns0:v>
      </ns0:c>
      <ns0:c r="Q181">
        <ns0:f>IF(AND(L181=1,O181*Calculations!$B$2&lt;=Calculations!$B$10*Calculations!$B$4),1,0)</ns0:f>
        <ns0:v>0</ns0:v>
      </ns0:c>
      <ns0:c r="R181">
        <ns0:f>IF(AND(L181=1,O181*Calculations!$B$2&lt;=Calculations!$B$11*Calculations!$B$4),1,0)</ns0:f>
        <ns0:v>0</ns0:v>
      </ns0:c>
    </ns0:row>
    <ns0:row r="182">
      <ns0:c r="A182" t="inlineStr">
        <ns0:is>
          <ns0:t>case_0181</ns0:t>
        </ns0:is>
      </ns0:c>
      <ns0:c r="B182" t="inlineStr">
        <ns0:is>
          <ns0:t>function_0030</ns0:t>
        </ns0:is>
      </ns0:c>
      <ns0:c r="C182" t="inlineStr">
        <ns0:is>
          <ns0:t>run_002</ns0:t>
        </ns0:is>
      </ns0:c>
      <ns0:c r="D182" t="inlineStr">
        <ns0:is>
          <ns0:t>humantime</ns0:t>
        </ns0:is>
      </ns0:c>
      <ns0:c r="E182" t="inlineStr">
        <ns0:is>
          <ns0:t>deepseek-v3</ns0:t>
        </ns0:is>
      </ns0:c>
      <ns0:c r="F182" t="inlineStr">
        <ns0:is>
          <ns0:t>E0433</ns0:t>
        </ns0:is>
      </ns0:c>
      <ns0:c r="G182" t="n">
        <ns0:v>1</ns0:v>
      </ns0:c>
      <ns0:c r="H182" t="n">
        <ns0:v>2253</ns0:v>
      </ns0:c>
      <ns0:c r="I182" t="n">
        <ns0:v>116</ns0:v>
      </ns0:c>
      <ns0:c r="J182" t="n">
        <ns0:v>2369</ns0:v>
      </ns0:c>
      <ns0:c r="K182" t="n">
        <ns0:v>1</ns0:v>
      </ns0:c>
      <ns0:c r="L182" t="n">
        <ns0:v>0</ns0:v>
      </ns0:c>
      <ns0:c r="M182" t="n">
        <ns0:v>151422</ns0:v>
      </ns0:c>
      <ns0:c r="N182" t="n">
        <ns0:v>1845</ns0:v>
      </ns0:c>
      <ns0:c r="O182" t="n">
        <ns0:v>153267</ns0:v>
      </ns0:c>
      <ns0:c r="P182" t="n">
        <ns0:v>20</ns0:v>
      </ns0:c>
      <ns0:c r="Q182">
        <ns0:f>IF(AND(L182=1,O182*Calculations!$B$2&lt;=Calculations!$B$10*Calculations!$B$4),1,0)</ns0:f>
        <ns0:v>0</ns0:v>
      </ns0:c>
      <ns0:c r="R182">
        <ns0:f>IF(AND(L182=1,O182*Calculations!$B$2&lt;=Calculations!$B$11*Calculations!$B$4),1,0)</ns0:f>
        <ns0:v>0</ns0:v>
      </ns0:c>
    </ns0:row>
    <ns0:row r="183">
      <ns0:c r="A183" t="inlineStr">
        <ns0:is>
          <ns0:t>case_0182</ns0:t>
        </ns0:is>
      </ns0:c>
      <ns0:c r="B183" t="inlineStr">
        <ns0:is>
          <ns0:t>function_0030</ns0:t>
        </ns0:is>
      </ns0:c>
      <ns0:c r="C183" t="inlineStr">
        <ns0:is>
          <ns0:t>run_002</ns0:t>
        </ns0:is>
      </ns0:c>
      <ns0:c r="D183" t="inlineStr">
        <ns0:is>
          <ns0:t>humantime</ns0:t>
        </ns0:is>
      </ns0:c>
      <ns0:c r="E183" t="inlineStr">
        <ns0:is>
          <ns0:t>deepseek-v3</ns0:t>
        </ns0:is>
      </ns0:c>
      <ns0:c r="F183" t="inlineStr">
        <ns0:is>
          <ns0:t>E0433</ns0:t>
        </ns0:is>
      </ns0:c>
      <ns0:c r="G183" t="n">
        <ns0:v>0</ns0:v>
      </ns0:c>
      <ns0:c r="H183" t="n">
        <ns0:v>4067</ns0:v>
      </ns0:c>
      <ns0:c r="I183" t="n">
        <ns0:v>320</ns0:v>
      </ns0:c>
      <ns0:c r="J183" t="n">
        <ns0:v>4387</ns0:v>
      </ns0:c>
      <ns0:c r="K183" t="n">
        <ns0:v>3</ns0:v>
      </ns0:c>
      <ns0:c r="L183" t="n">
        <ns0:v>1</ns0:v>
      </ns0:c>
      <ns0:c r="M183" t="n">
        <ns0:v>63363</ns0:v>
      </ns0:c>
      <ns0:c r="N183" t="n">
        <ns0:v>1077</ns0:v>
      </ns0:c>
      <ns0:c r="O183" t="n">
        <ns0:v>64440</ns0:v>
      </ns0:c>
      <ns0:c r="P183" t="n">
        <ns0:v>8</ns0:v>
      </ns0:c>
      <ns0:c r="Q183">
        <ns0:f>IF(AND(L183=1,O183*Calculations!$B$2&lt;=Calculations!$B$10*Calculations!$B$4),1,0)</ns0:f>
        <ns0:v>0</ns0:v>
      </ns0:c>
      <ns0:c r="R183">
        <ns0:f>IF(AND(L183=1,O183*Calculations!$B$2&lt;=Calculations!$B$11*Calculations!$B$4),1,0)</ns0:f>
        <ns0:v>0</ns0:v>
      </ns0:c>
    </ns0:row>
    <ns0:row r="184">
      <ns0:c r="A184" t="inlineStr">
        <ns0:is>
          <ns0:t>case_0183</ns0:t>
        </ns0:is>
      </ns0:c>
      <ns0:c r="B184" t="inlineStr">
        <ns0:is>
          <ns0:t>function_0030</ns0:t>
        </ns0:is>
      </ns0:c>
      <ns0:c r="C184" t="inlineStr">
        <ns0:is>
          <ns0:t>run_002</ns0:t>
        </ns0:is>
      </ns0:c>
      <ns0:c r="D184" t="inlineStr">
        <ns0:is>
          <ns0:t>humantime</ns0:t>
        </ns0:is>
      </ns0:c>
      <ns0:c r="E184" t="inlineStr">
        <ns0:is>
          <ns0:t>deepseek-v3</ns0:t>
        </ns0:is>
      </ns0:c>
      <ns0:c r="F184" t="inlineStr">
        <ns0:is>
          <ns0:t>E0433</ns0:t>
        </ns0:is>
      </ns0:c>
      <ns0:c r="G184" t="n">
        <ns0:v>1</ns0:v>
      </ns0:c>
      <ns0:c r="H184" t="n">
        <ns0:v>2146</ns0:v>
      </ns0:c>
      <ns0:c r="I184" t="n">
        <ns0:v>124</ns0:v>
      </ns0:c>
      <ns0:c r="J184" t="n">
        <ns0:v>2270</ns0:v>
      </ns0:c>
      <ns0:c r="K184" t="n">
        <ns0:v>1</ns0:v>
      </ns0:c>
      <ns0:c r="L184" t="n">
        <ns0:v>1</ns0:v>
      </ns0:c>
      <ns0:c r="M184" t="n">
        <ns0:v>56926</ns0:v>
      </ns0:c>
      <ns0:c r="N184" t="n">
        <ns0:v>520</ns0:v>
      </ns0:c>
      <ns0:c r="O184" t="n">
        <ns0:v>57446</ns0:v>
      </ns0:c>
      <ns0:c r="P184" t="n">
        <ns0:v>6</ns0:v>
      </ns0:c>
      <ns0:c r="Q184">
        <ns0:f>IF(AND(L184=1,O184*Calculations!$B$2&lt;=Calculations!$B$10*Calculations!$B$4),1,0)</ns0:f>
        <ns0:v>0</ns0:v>
      </ns0:c>
      <ns0:c r="R184">
        <ns0:f>IF(AND(L184=1,O184*Calculations!$B$2&lt;=Calculations!$B$11*Calculations!$B$4),1,0)</ns0:f>
        <ns0:v>0</ns0:v>
      </ns0:c>
    </ns0:row>
    <ns0:row r="185">
      <ns0:c r="A185" t="inlineStr">
        <ns0:is>
          <ns0:t>case_0184</ns0:t>
        </ns0:is>
      </ns0:c>
      <ns0:c r="B185" t="inlineStr">
        <ns0:is>
          <ns0:t>function_0030</ns0:t>
        </ns0:is>
      </ns0:c>
      <ns0:c r="C185" t="inlineStr">
        <ns0:is>
          <ns0:t>run_002</ns0:t>
        </ns0:is>
      </ns0:c>
      <ns0:c r="D185" t="inlineStr">
        <ns0:is>
          <ns0:t>humantime</ns0:t>
        </ns0:is>
      </ns0:c>
      <ns0:c r="E185" t="inlineStr">
        <ns0:is>
          <ns0:t>deepseek-v3</ns0:t>
        </ns0:is>
      </ns0:c>
      <ns0:c r="F185" t="inlineStr">
        <ns0:is>
          <ns0:t>E0560</ns0:t>
        </ns0:is>
      </ns0:c>
      <ns0:c r="G185" t="n">
        <ns0:v>1</ns0:v>
      </ns0:c>
      <ns0:c r="H185" t="n">
        <ns0:v>1747</ns0:v>
      </ns0:c>
      <ns0:c r="I185" t="n">
        <ns0:v>135</ns0:v>
      </ns0:c>
      <ns0:c r="J185" t="n">
        <ns0:v>1882</ns0:v>
      </ns0:c>
      <ns0:c r="K185" t="n">
        <ns0:v>1</ns0:v>
      </ns0:c>
      <ns0:c r="L185" t="n">
        <ns0:v>1</ns0:v>
      </ns0:c>
      <ns0:c r="M185" t="n">
        <ns0:v>78854</ns0:v>
      </ns0:c>
      <ns0:c r="N185" t="n">
        <ns0:v>455</ns0:v>
      </ns0:c>
      <ns0:c r="O185" t="n">
        <ns0:v>79309</ns0:v>
      </ns0:c>
      <ns0:c r="P185" t="n">
        <ns0:v>6</ns0:v>
      </ns0:c>
      <ns0:c r="Q185">
        <ns0:f>IF(AND(L185=1,O185*Calculations!$B$2&lt;=Calculations!$B$10*Calculations!$B$4),1,0)</ns0:f>
        <ns0:v>0</ns0:v>
      </ns0:c>
      <ns0:c r="R185">
        <ns0:f>IF(AND(L185=1,O185*Calculations!$B$2&lt;=Calculations!$B$11*Calculations!$B$4),1,0)</ns0:f>
        <ns0:v>0</ns0:v>
      </ns0:c>
    </ns0:row>
    <ns0:row r="186">
      <ns0:c r="A186" t="inlineStr">
        <ns0:is>
          <ns0:t>case_0185</ns0:t>
        </ns0:is>
      </ns0:c>
      <ns0:c r="B186" t="inlineStr">
        <ns0:is>
          <ns0:t>function_0030</ns0:t>
        </ns0:is>
      </ns0:c>
      <ns0:c r="C186" t="inlineStr">
        <ns0:is>
          <ns0:t>run_002</ns0:t>
        </ns0:is>
      </ns0:c>
      <ns0:c r="D186" t="inlineStr">
        <ns0:is>
          <ns0:t>humantime</ns0:t>
        </ns0:is>
      </ns0:c>
      <ns0:c r="E186" t="inlineStr">
        <ns0:is>
          <ns0:t>deepseek-v3</ns0:t>
        </ns0:is>
      </ns0:c>
      <ns0:c r="F186" t="inlineStr">
        <ns0:is>
          <ns0:t>E0433</ns0:t>
        </ns0:is>
      </ns0:c>
      <ns0:c r="G186" t="n">
        <ns0:v>1</ns0:v>
      </ns0:c>
      <ns0:c r="H186" t="n">
        <ns0:v>8925</ns0:v>
      </ns0:c>
      <ns0:c r="I186" t="n">
        <ns0:v>593</ns0:v>
      </ns0:c>
      <ns0:c r="J186" t="n">
        <ns0:v>9518</ns0:v>
      </ns0:c>
      <ns0:c r="K186" t="n">
        <ns0:v>4</ns0:v>
      </ns0:c>
      <ns0:c r="L186" t="n">
        <ns0:v>1</ns0:v>
      </ns0:c>
      <ns0:c r="M186" t="n">
        <ns0:v>74382</ns0:v>
      </ns0:c>
      <ns0:c r="N186" t="n">
        <ns0:v>564</ns0:v>
      </ns0:c>
      <ns0:c r="O186" t="n">
        <ns0:v>74946</ns0:v>
      </ns0:c>
      <ns0:c r="P186" t="n">
        <ns0:v>6</ns0:v>
      </ns0:c>
      <ns0:c r="Q186">
        <ns0:f>IF(AND(L186=1,O186*Calculations!$B$2&lt;=Calculations!$B$10*Calculations!$B$4),1,0)</ns0:f>
        <ns0:v>0</ns0:v>
      </ns0:c>
      <ns0:c r="R186">
        <ns0:f>IF(AND(L186=1,O186*Calculations!$B$2&lt;=Calculations!$B$11*Calculations!$B$4),1,0)</ns0:f>
        <ns0:v>0</ns0:v>
      </ns0:c>
    </ns0:row>
    <ns0:row r="187">
      <ns0:c r="A187" t="inlineStr">
        <ns0:is>
          <ns0:t>case_0186</ns0:t>
        </ns0:is>
      </ns0:c>
      <ns0:c r="B187" t="inlineStr">
        <ns0:is>
          <ns0:t>function_0030</ns0:t>
        </ns0:is>
      </ns0:c>
      <ns0:c r="C187" t="inlineStr">
        <ns0:is>
          <ns0:t>run_002</ns0:t>
        </ns0:is>
      </ns0:c>
      <ns0:c r="D187" t="inlineStr">
        <ns0:is>
          <ns0:t>humantime</ns0:t>
        </ns0:is>
      </ns0:c>
      <ns0:c r="E187" t="inlineStr">
        <ns0:is>
          <ns0:t>deepseek-v3</ns0:t>
        </ns0:is>
      </ns0:c>
      <ns0:c r="F187" t="inlineStr">
        <ns0:is>
          <ns0:t>E0063</ns0:t>
        </ns0:is>
      </ns0:c>
      <ns0:c r="G187" t="n">
        <ns0:v>0</ns0:v>
      </ns0:c>
      <ns0:c r="H187" t="n">
        <ns0:v>7120</ns0:v>
      </ns0:c>
      <ns0:c r="I187" t="n">
        <ns0:v>360</ns0:v>
      </ns0:c>
      <ns0:c r="J187" t="n">
        <ns0:v>7480</ns0:v>
      </ns0:c>
      <ns0:c r="K187" t="n">
        <ns0:v>3</ns0:v>
      </ns0:c>
      <ns0:c r="L187" t="n">
        <ns0:v>1</ns0:v>
      </ns0:c>
      <ns0:c r="M187" t="n">
        <ns0:v>81292</ns0:v>
      </ns0:c>
      <ns0:c r="N187" t="n">
        <ns0:v>942</ns0:v>
      </ns0:c>
      <ns0:c r="O187" t="n">
        <ns0:v>82234</ns0:v>
      </ns0:c>
      <ns0:c r="P187" t="n">
        <ns0:v>8</ns0:v>
      </ns0:c>
      <ns0:c r="Q187">
        <ns0:f>IF(AND(L187=1,O187*Calculations!$B$2&lt;=Calculations!$B$10*Calculations!$B$4),1,0)</ns0:f>
        <ns0:v>0</ns0:v>
      </ns0:c>
      <ns0:c r="R187">
        <ns0:f>IF(AND(L187=1,O187*Calculations!$B$2&lt;=Calculations!$B$11*Calculations!$B$4),1,0)</ns0:f>
        <ns0:v>0</ns0:v>
      </ns0:c>
    </ns0:row>
    <ns0:row r="188">
      <ns0:c r="A188" t="inlineStr">
        <ns0:is>
          <ns0:t>case_0187</ns0:t>
        </ns0:is>
      </ns0:c>
      <ns0:c r="B188" t="inlineStr">
        <ns0:is>
          <ns0:t>function_0030</ns0:t>
        </ns0:is>
      </ns0:c>
      <ns0:c r="C188" t="inlineStr">
        <ns0:is>
          <ns0:t>run_002</ns0:t>
        </ns0:is>
      </ns0:c>
      <ns0:c r="D188" t="inlineStr">
        <ns0:is>
          <ns0:t>humantime</ns0:t>
        </ns0:is>
      </ns0:c>
      <ns0:c r="E188" t="inlineStr">
        <ns0:is>
          <ns0:t>deepseek-v3</ns0:t>
        </ns0:is>
      </ns0:c>
      <ns0:c r="F188" t="inlineStr">
        <ns0:is>
          <ns0:t>E0560</ns0:t>
        </ns0:is>
      </ns0:c>
      <ns0:c r="G188" t="n">
        <ns0:v>0</ns0:v>
      </ns0:c>
      <ns0:c r="H188" t="n">
        <ns0:v>7334</ns0:v>
      </ns0:c>
      <ns0:c r="I188" t="n">
        <ns0:v>366</ns0:v>
      </ns0:c>
      <ns0:c r="J188" t="n">
        <ns0:v>7700</ns0:v>
      </ns0:c>
      <ns0:c r="K188" t="n">
        <ns0:v>3</ns0:v>
      </ns0:c>
      <ns0:c r="L188" t="n">
        <ns0:v>0</ns0:v>
      </ns0:c>
      <ns0:c r="M188" t="n">
        <ns0:v>107873</ns0:v>
      </ns0:c>
      <ns0:c r="N188" t="n">
        <ns0:v>1547</ns0:v>
      </ns0:c>
      <ns0:c r="O188" t="n">
        <ns0:v>109420</ns0:v>
      </ns0:c>
      <ns0:c r="P188" t="n">
        <ns0:v>14</ns0:v>
      </ns0:c>
      <ns0:c r="Q188">
        <ns0:f>IF(AND(L188=1,O188*Calculations!$B$2&lt;=Calculations!$B$10*Calculations!$B$4),1,0)</ns0:f>
        <ns0:v>0</ns0:v>
      </ns0:c>
      <ns0:c r="R188">
        <ns0:f>IF(AND(L188=1,O188*Calculations!$B$2&lt;=Calculations!$B$11*Calculations!$B$4),1,0)</ns0:f>
        <ns0:v>0</ns0:v>
      </ns0:c>
    </ns0:row>
    <ns0:row r="189">
      <ns0:c r="A189" t="inlineStr">
        <ns0:is>
          <ns0:t>case_0188</ns0:t>
        </ns0:is>
      </ns0:c>
      <ns0:c r="B189" t="inlineStr">
        <ns0:is>
          <ns0:t>function_0030</ns0:t>
        </ns0:is>
      </ns0:c>
      <ns0:c r="C189" t="inlineStr">
        <ns0:is>
          <ns0:t>run_002</ns0:t>
        </ns0:is>
      </ns0:c>
      <ns0:c r="D189" t="inlineStr">
        <ns0:is>
          <ns0:t>humantime</ns0:t>
        </ns0:is>
      </ns0:c>
      <ns0:c r="E189" t="inlineStr">
        <ns0:is>
          <ns0:t>deepseek-v3</ns0:t>
        </ns0:is>
      </ns0:c>
      <ns0:c r="F189" t="inlineStr">
        <ns0:is>
          <ns0:t>E0063</ns0:t>
        </ns0:is>
      </ns0:c>
      <ns0:c r="G189" t="n">
        <ns0:v>0</ns0:v>
      </ns0:c>
      <ns0:c r="H189" t="n">
        <ns0:v>7207</ns0:v>
      </ns0:c>
      <ns0:c r="I189" t="n">
        <ns0:v>294</ns0:v>
      </ns0:c>
      <ns0:c r="J189" t="n">
        <ns0:v>7501</ns0:v>
      </ns0:c>
      <ns0:c r="K189" t="n">
        <ns0:v>3</ns0:v>
      </ns0:c>
      <ns0:c r="L189" t="n">
        <ns0:v>1</ns0:v>
      </ns0:c>
      <ns0:c r="M189" t="n">
        <ns0:v>50215</ns0:v>
      </ns0:c>
      <ns0:c r="N189" t="n">
        <ns0:v>637</ns0:v>
      </ns0:c>
      <ns0:c r="O189" t="n">
        <ns0:v>50852</ns0:v>
      </ns0:c>
      <ns0:c r="P189" t="n">
        <ns0:v>7</ns0:v>
      </ns0:c>
      <ns0:c r="Q189">
        <ns0:f>IF(AND(L189=1,O189*Calculations!$B$2&lt;=Calculations!$B$10*Calculations!$B$4),1,0)</ns0:f>
        <ns0:v>0</ns0:v>
      </ns0:c>
      <ns0:c r="R189">
        <ns0:f>IF(AND(L189=1,O189*Calculations!$B$2&lt;=Calculations!$B$11*Calculations!$B$4),1,0)</ns0:f>
        <ns0:v>0</ns0:v>
      </ns0:c>
    </ns0:row>
    <ns0:row r="190">
      <ns0:c r="A190" t="inlineStr">
        <ns0:is>
          <ns0:t>case_0189</ns0:t>
        </ns0:is>
      </ns0:c>
      <ns0:c r="B190" t="inlineStr">
        <ns0:is>
          <ns0:t>function_0030</ns0:t>
        </ns0:is>
      </ns0:c>
      <ns0:c r="C190" t="inlineStr">
        <ns0:is>
          <ns0:t>run_002</ns0:t>
        </ns0:is>
      </ns0:c>
      <ns0:c r="D190" t="inlineStr">
        <ns0:is>
          <ns0:t>humantime</ns0:t>
        </ns0:is>
      </ns0:c>
      <ns0:c r="E190" t="inlineStr">
        <ns0:is>
          <ns0:t>deepseek-v3</ns0:t>
        </ns0:is>
      </ns0:c>
      <ns0:c r="F190" t="inlineStr">
        <ns0:is>
          <ns0:t>E0063</ns0:t>
        </ns0:is>
      </ns0:c>
      <ns0:c r="G190" t="n">
        <ns0:v>1</ns0:v>
      </ns0:c>
      <ns0:c r="H190" t="n">
        <ns0:v>1653</ns0:v>
      </ns0:c>
      <ns0:c r="I190" t="n">
        <ns0:v>112</ns0:v>
      </ns0:c>
      <ns0:c r="J190" t="n">
        <ns0:v>1765</ns0:v>
      </ns0:c>
      <ns0:c r="K190" t="n">
        <ns0:v>1</ns0:v>
      </ns0:c>
      <ns0:c r="L190" t="n">
        <ns0:v>1</ns0:v>
      </ns0:c>
      <ns0:c r="M190" t="n">
        <ns0:v>26991</ns0:v>
      </ns0:c>
      <ns0:c r="N190" t="n">
        <ns0:v>334</ns0:v>
      </ns0:c>
      <ns0:c r="O190" t="n">
        <ns0:v>27325</ns0:v>
      </ns0:c>
      <ns0:c r="P190" t="n">
        <ns0:v>4</ns0:v>
      </ns0:c>
      <ns0:c r="Q190">
        <ns0:f>IF(AND(L190=1,O190*Calculations!$B$2&lt;=Calculations!$B$10*Calculations!$B$4),1,0)</ns0:f>
        <ns0:v>0</ns0:v>
      </ns0:c>
      <ns0:c r="R190">
        <ns0:f>IF(AND(L190=1,O190*Calculations!$B$2&lt;=Calculations!$B$11*Calculations!$B$4),1,0)</ns0:f>
        <ns0:v>1</ns0:v>
      </ns0:c>
    </ns0:row>
    <ns0:row r="191">
      <ns0:c r="A191" t="inlineStr">
        <ns0:is>
          <ns0:t>case_0190</ns0:t>
        </ns0:is>
      </ns0:c>
      <ns0:c r="B191" t="inlineStr">
        <ns0:is>
          <ns0:t>function_0030</ns0:t>
        </ns0:is>
      </ns0:c>
      <ns0:c r="C191" t="inlineStr">
        <ns0:is>
          <ns0:t>run_002</ns0:t>
        </ns0:is>
      </ns0:c>
      <ns0:c r="D191" t="inlineStr">
        <ns0:is>
          <ns0:t>humantime</ns0:t>
        </ns0:is>
      </ns0:c>
      <ns0:c r="E191" t="inlineStr">
        <ns0:is>
          <ns0:t>deepseek-v3</ns0:t>
        </ns0:is>
      </ns0:c>
      <ns0:c r="F191" t="inlineStr">
        <ns0:is>
          <ns0:t>E0063</ns0:t>
        </ns0:is>
      </ns0:c>
      <ns0:c r="G191" t="n">
        <ns0:v>1</ns0:v>
      </ns0:c>
      <ns0:c r="H191" t="n">
        <ns0:v>1661</ns0:v>
      </ns0:c>
      <ns0:c r="I191" t="n">
        <ns0:v>122</ns0:v>
      </ns0:c>
      <ns0:c r="J191" t="n">
        <ns0:v>1783</ns0:v>
      </ns0:c>
      <ns0:c r="K191" t="n">
        <ns0:v>1</ns0:v>
      </ns0:c>
      <ns0:c r="L191" t="n">
        <ns0:v>1</ns0:v>
      </ns0:c>
      <ns0:c r="M191" t="n">
        <ns0:v>49249</ns0:v>
      </ns0:c>
      <ns0:c r="N191" t="n">
        <ns0:v>404</ns0:v>
      </ns0:c>
      <ns0:c r="O191" t="n">
        <ns0:v>49653</ns0:v>
      </ns0:c>
      <ns0:c r="P191" t="n">
        <ns0:v>4</ns0:v>
      </ns0:c>
      <ns0:c r="Q191">
        <ns0:f>IF(AND(L191=1,O191*Calculations!$B$2&lt;=Calculations!$B$10*Calculations!$B$4),1,0)</ns0:f>
        <ns0:v>0</ns0:v>
      </ns0:c>
      <ns0:c r="R191">
        <ns0:f>IF(AND(L191=1,O191*Calculations!$B$2&lt;=Calculations!$B$11*Calculations!$B$4),1,0)</ns0:f>
        <ns0:v>0</ns0:v>
      </ns0:c>
    </ns0:row>
    <ns0:row r="192">
      <ns0:c r="A192" t="inlineStr">
        <ns0:is>
          <ns0:t>case_0191</ns0:t>
        </ns0:is>
      </ns0:c>
      <ns0:c r="B192" t="inlineStr">
        <ns0:is>
          <ns0:t>function_0030</ns0:t>
        </ns0:is>
      </ns0:c>
      <ns0:c r="C192" t="inlineStr">
        <ns0:is>
          <ns0:t>run_002</ns0:t>
        </ns0:is>
      </ns0:c>
      <ns0:c r="D192" t="inlineStr">
        <ns0:is>
          <ns0:t>humantime</ns0:t>
        </ns0:is>
      </ns0:c>
      <ns0:c r="E192" t="inlineStr">
        <ns0:is>
          <ns0:t>deepseek-v3</ns0:t>
        </ns0:is>
      </ns0:c>
      <ns0:c r="F192" t="inlineStr">
        <ns0:is>
          <ns0:t>E0063</ns0:t>
        </ns0:is>
      </ns0:c>
      <ns0:c r="G192" t="n">
        <ns0:v>0</ns0:v>
      </ns0:c>
      <ns0:c r="H192" t="n">
        <ns0:v>7021</ns0:v>
      </ns0:c>
      <ns0:c r="I192" t="n">
        <ns0:v>294</ns0:v>
      </ns0:c>
      <ns0:c r="J192" t="n">
        <ns0:v>7315</ns0:v>
      </ns0:c>
      <ns0:c r="K192" t="n">
        <ns0:v>3</ns0:v>
      </ns0:c>
      <ns0:c r="L192" t="n">
        <ns0:v>1</ns0:v>
      </ns0:c>
      <ns0:c r="M192" t="n">
        <ns0:v>50255</ns0:v>
      </ns0:c>
      <ns0:c r="N192" t="n">
        <ns0:v>853</ns0:v>
      </ns0:c>
      <ns0:c r="O192" t="n">
        <ns0:v>51108</ns0:v>
      </ns0:c>
      <ns0:c r="P192" t="n">
        <ns0:v>7</ns0:v>
      </ns0:c>
      <ns0:c r="Q192">
        <ns0:f>IF(AND(L192=1,O192*Calculations!$B$2&lt;=Calculations!$B$10*Calculations!$B$4),1,0)</ns0:f>
        <ns0:v>0</ns0:v>
      </ns0:c>
      <ns0:c r="R192">
        <ns0:f>IF(AND(L192=1,O192*Calculations!$B$2&lt;=Calculations!$B$11*Calculations!$B$4),1,0)</ns0:f>
        <ns0:v>0</ns0:v>
      </ns0:c>
    </ns0:row>
    <ns0:row r="193">
      <ns0:c r="A193" t="inlineStr">
        <ns0:is>
          <ns0:t>case_0192</ns0:t>
        </ns0:is>
      </ns0:c>
      <ns0:c r="B193" t="inlineStr">
        <ns0:is>
          <ns0:t>function_0031</ns0:t>
        </ns0:is>
      </ns0:c>
      <ns0:c r="C193" t="inlineStr">
        <ns0:is>
          <ns0:t>run_002</ns0:t>
        </ns0:is>
      </ns0:c>
      <ns0:c r="D193" t="inlineStr">
        <ns0:is>
          <ns0:t>humantime</ns0:t>
        </ns0:is>
      </ns0:c>
      <ns0:c r="E193" t="inlineStr">
        <ns0:is>
          <ns0:t>deepseek-v3</ns0:t>
        </ns0:is>
      </ns0:c>
      <ns0:c r="F193" t="inlineStr">
        <ns0:is>
          <ns0:t>E0599</ns0:t>
        </ns0:is>
      </ns0:c>
      <ns0:c r="G193" t="n">
        <ns0:v>1</ns0:v>
      </ns0:c>
      <ns0:c r="H193" t="n">
        <ns0:v>0</ns0:v>
      </ns0:c>
      <ns0:c r="I193" t="n">
        <ns0:v>0</ns0:v>
      </ns0:c>
      <ns0:c r="J193" t="n">
        <ns0:v>0</ns0:v>
      </ns0:c>
      <ns0:c r="K193" t="n">
        <ns0:v>0</ns0:v>
      </ns0:c>
      <ns0:c r="L193" t="n">
        <ns0:v>1</ns0:v>
      </ns0:c>
      <ns0:c r="M193" t="n">
        <ns0:v>36817</ns0:v>
      </ns0:c>
      <ns0:c r="N193" t="n">
        <ns0:v>7452</ns0:v>
      </ns0:c>
      <ns0:c r="O193" t="n">
        <ns0:v>44269</ns0:v>
      </ns0:c>
      <ns0:c r="P193" t="n">
        <ns0:v>5</ns0:v>
      </ns0:c>
      <ns0:c r="Q193">
        <ns0:f>IF(AND(L193=1,O193*Calculations!$B$2&lt;=Calculations!$B$10*Calculations!$B$4),1,0)</ns0:f>
        <ns0:v>0</ns0:v>
      </ns0:c>
      <ns0:c r="R193">
        <ns0:f>IF(AND(L193=1,O193*Calculations!$B$2&lt;=Calculations!$B$11*Calculations!$B$4),1,0)</ns0:f>
        <ns0:v>1</ns0:v>
      </ns0:c>
    </ns0:row>
    <ns0:row r="194">
      <ns0:c r="A194" t="inlineStr">
        <ns0:is>
          <ns0:t>case_0193</ns0:t>
        </ns0:is>
      </ns0:c>
      <ns0:c r="B194" t="inlineStr">
        <ns0:is>
          <ns0:t>function_0031</ns0:t>
        </ns0:is>
      </ns0:c>
      <ns0:c r="C194" t="inlineStr">
        <ns0:is>
          <ns0:t>run_002</ns0:t>
        </ns0:is>
      </ns0:c>
      <ns0:c r="D194" t="inlineStr">
        <ns0:is>
          <ns0:t>humantime</ns0:t>
        </ns0:is>
      </ns0:c>
      <ns0:c r="E194" t="inlineStr">
        <ns0:is>
          <ns0:t>deepseek-v3</ns0:t>
        </ns0:is>
      </ns0:c>
      <ns0:c r="F194" t="inlineStr">
        <ns0:is>
          <ns0:t>E0599</ns0:t>
        </ns0:is>
      </ns0:c>
      <ns0:c r="G194" t="n">
        <ns0:v>1</ns0:v>
      </ns0:c>
      <ns0:c r="H194" t="n">
        <ns0:v>0</ns0:v>
      </ns0:c>
      <ns0:c r="I194" t="n">
        <ns0:v>0</ns0:v>
      </ns0:c>
      <ns0:c r="J194" t="n">
        <ns0:v>0</ns0:v>
      </ns0:c>
      <ns0:c r="K194" t="n">
        <ns0:v>0</ns0:v>
      </ns0:c>
      <ns0:c r="L194" t="n">
        <ns0:v>0</ns0:v>
      </ns0:c>
      <ns0:c r="M194" t="n">
        <ns0:v>191843</ns0:v>
      </ns0:c>
      <ns0:c r="N194" t="n">
        <ns0:v>10586</ns0:v>
      </ns0:c>
      <ns0:c r="O194" t="n">
        <ns0:v>202429</ns0:v>
      </ns0:c>
      <ns0:c r="P194" t="n">
        <ns0:v>20</ns0:v>
      </ns0:c>
      <ns0:c r="Q194">
        <ns0:f>IF(AND(L194=1,O194*Calculations!$B$2&lt;=Calculations!$B$10*Calculations!$B$4),1,0)</ns0:f>
        <ns0:v>0</ns0:v>
      </ns0:c>
      <ns0:c r="R194">
        <ns0:f>IF(AND(L194=1,O194*Calculations!$B$2&lt;=Calculations!$B$11*Calculations!$B$4),1,0)</ns0:f>
        <ns0:v>0</ns0:v>
      </ns0:c>
    </ns0:row>
    <ns0:row r="195">
      <ns0:c r="A195" t="inlineStr">
        <ns0:is>
          <ns0:t>case_0194</ns0:t>
        </ns0:is>
      </ns0:c>
      <ns0:c r="B195" t="inlineStr">
        <ns0:is>
          <ns0:t>function_0031</ns0:t>
        </ns0:is>
      </ns0:c>
      <ns0:c r="C195" t="inlineStr">
        <ns0:is>
          <ns0:t>run_002</ns0:t>
        </ns0:is>
      </ns0:c>
      <ns0:c r="D195" t="inlineStr">
        <ns0:is>
          <ns0:t>humantime</ns0:t>
        </ns0:is>
      </ns0:c>
      <ns0:c r="E195" t="inlineStr">
        <ns0:is>
          <ns0:t>deepseek-v3</ns0:t>
        </ns0:is>
      </ns0:c>
      <ns0:c r="F195" t="inlineStr">
        <ns0:is>
          <ns0:t>E0658</ns0:t>
        </ns0:is>
      </ns0:c>
      <ns0:c r="G195" t="n">
        <ns0:v>0</ns0:v>
      </ns0:c>
      <ns0:c r="H195" t="n">
        <ns0:v>2212</ns0:v>
      </ns0:c>
      <ns0:c r="I195" t="n">
        <ns0:v>289</ns0:v>
      </ns0:c>
      <ns0:c r="J195" t="n">
        <ns0:v>2501</ns0:v>
      </ns0:c>
      <ns0:c r="K195" t="n">
        <ns0:v>3</ns0:v>
      </ns0:c>
      <ns0:c r="L195" t="n">
        <ns0:v>1</ns0:v>
      </ns0:c>
      <ns0:c r="M195" t="n">
        <ns0:v>50965</ns0:v>
      </ns0:c>
      <ns0:c r="N195" t="n">
        <ns0:v>3609</ns0:v>
      </ns0:c>
      <ns0:c r="O195" t="n">
        <ns0:v>54574</ns0:v>
      </ns0:c>
      <ns0:c r="P195" t="n">
        <ns0:v>4</ns0:v>
      </ns0:c>
      <ns0:c r="Q195">
        <ns0:f>IF(AND(L195=1,O195*Calculations!$B$2&lt;=Calculations!$B$10*Calculations!$B$4),1,0)</ns0:f>
        <ns0:v>0</ns0:v>
      </ns0:c>
      <ns0:c r="R195">
        <ns0:f>IF(AND(L195=1,O195*Calculations!$B$2&lt;=Calculations!$B$11*Calculations!$B$4),1,0)</ns0:f>
        <ns0:v>0</ns0:v>
      </ns0:c>
    </ns0:row>
    <ns0:row r="196">
      <ns0:c r="A196" t="inlineStr">
        <ns0:is>
          <ns0:t>case_0195</ns0:t>
        </ns0:is>
      </ns0:c>
      <ns0:c r="B196" t="inlineStr">
        <ns0:is>
          <ns0:t>function_0031</ns0:t>
        </ns0:is>
      </ns0:c>
      <ns0:c r="C196" t="inlineStr">
        <ns0:is>
          <ns0:t>run_002</ns0:t>
        </ns0:is>
      </ns0:c>
      <ns0:c r="D196" t="inlineStr">
        <ns0:is>
          <ns0:t>humantime</ns0:t>
        </ns0:is>
      </ns0:c>
      <ns0:c r="E196" t="inlineStr">
        <ns0:is>
          <ns0:t>deepseek-v3</ns0:t>
        </ns0:is>
      </ns0:c>
      <ns0:c r="F196" t="inlineStr">
        <ns0:is>
          <ns0:t>E0277,E0433,E0658</ns0:t>
        </ns0:is>
      </ns0:c>
      <ns0:c r="G196" t="n">
        <ns0:v>0</ns0:v>
      </ns0:c>
      <ns0:c r="H196" t="n">
        <ns0:v>2432</ns0:v>
      </ns0:c>
      <ns0:c r="I196" t="n">
        <ns0:v>246</ns0:v>
      </ns0:c>
      <ns0:c r="J196" t="n">
        <ns0:v>2678</ns0:v>
      </ns0:c>
      <ns0:c r="K196" t="n">
        <ns0:v>3</ns0:v>
      </ns0:c>
      <ns0:c r="L196" t="n">
        <ns0:v>0</ns0:v>
      </ns0:c>
      <ns0:c r="M196" t="n">
        <ns0:v>241949</ns0:v>
      </ns0:c>
      <ns0:c r="N196" t="n">
        <ns0:v>11158</ns0:v>
      </ns0:c>
      <ns0:c r="O196" t="n">
        <ns0:v>253107</ns0:v>
      </ns0:c>
      <ns0:c r="P196" t="n">
        <ns0:v>20</ns0:v>
      </ns0:c>
      <ns0:c r="Q196">
        <ns0:f>IF(AND(L196=1,O196*Calculations!$B$2&lt;=Calculations!$B$10*Calculations!$B$4),1,0)</ns0:f>
        <ns0:v>0</ns0:v>
      </ns0:c>
      <ns0:c r="R196">
        <ns0:f>IF(AND(L196=1,O196*Calculations!$B$2&lt;=Calculations!$B$11*Calculations!$B$4),1,0)</ns0:f>
        <ns0:v>0</ns0:v>
      </ns0:c>
    </ns0:row>
    <ns0:row r="197">
      <ns0:c r="A197" t="inlineStr">
        <ns0:is>
          <ns0:t>case_0196</ns0:t>
        </ns0:is>
      </ns0:c>
      <ns0:c r="B197" t="inlineStr">
        <ns0:is>
          <ns0:t>function_0031</ns0:t>
        </ns0:is>
      </ns0:c>
      <ns0:c r="C197" t="inlineStr">
        <ns0:is>
          <ns0:t>run_002</ns0:t>
        </ns0:is>
      </ns0:c>
      <ns0:c r="D197" t="inlineStr">
        <ns0:is>
          <ns0:t>humantime</ns0:t>
        </ns0:is>
      </ns0:c>
      <ns0:c r="E197" t="inlineStr">
        <ns0:is>
          <ns0:t>deepseek-v3</ns0:t>
        </ns0:is>
      </ns0:c>
      <ns0:c r="F197" t="inlineStr">
        <ns0:is>
          <ns0:t>E0433,E0599</ns0:t>
        </ns0:is>
      </ns0:c>
      <ns0:c r="G197" t="n">
        <ns0:v>1</ns0:v>
      </ns0:c>
      <ns0:c r="H197" t="n">
        <ns0:v>0</ns0:v>
      </ns0:c>
      <ns0:c r="I197" t="n">
        <ns0:v>0</ns0:v>
      </ns0:c>
      <ns0:c r="J197" t="n">
        <ns0:v>0</ns0:v>
      </ns0:c>
      <ns0:c r="K197" t="n">
        <ns0:v>0</ns0:v>
      </ns0:c>
      <ns0:c r="L197" t="n">
        <ns0:v>0</ns0:v>
      </ns0:c>
      <ns0:c r="M197" t="n">
        <ns0:v>209906</ns0:v>
      </ns0:c>
      <ns0:c r="N197" t="n">
        <ns0:v>10249</ns0:v>
      </ns0:c>
      <ns0:c r="O197" t="n">
        <ns0:v>220155</ns0:v>
      </ns0:c>
      <ns0:c r="P197" t="n">
        <ns0:v>20</ns0:v>
      </ns0:c>
      <ns0:c r="Q197">
        <ns0:f>IF(AND(L197=1,O197*Calculations!$B$2&lt;=Calculations!$B$10*Calculations!$B$4),1,0)</ns0:f>
        <ns0:v>0</ns0:v>
      </ns0:c>
      <ns0:c r="R197">
        <ns0:f>IF(AND(L197=1,O197*Calculations!$B$2&lt;=Calculations!$B$11*Calculations!$B$4),1,0)</ns0:f>
        <ns0:v>0</ns0:v>
      </ns0:c>
    </ns0:row>
    <ns0:row r="198">
      <ns0:c r="A198" t="inlineStr">
        <ns0:is>
          <ns0:t>case_0197</ns0:t>
        </ns0:is>
      </ns0:c>
      <ns0:c r="B198" t="inlineStr">
        <ns0:is>
          <ns0:t>function_0031</ns0:t>
        </ns0:is>
      </ns0:c>
      <ns0:c r="C198" t="inlineStr">
        <ns0:is>
          <ns0:t>run_002</ns0:t>
        </ns0:is>
      </ns0:c>
      <ns0:c r="D198" t="inlineStr">
        <ns0:is>
          <ns0:t>humantime</ns0:t>
        </ns0:is>
      </ns0:c>
      <ns0:c r="E198" t="inlineStr">
        <ns0:is>
          <ns0:t>deepseek-v3</ns0:t>
        </ns0:is>
      </ns0:c>
      <ns0:c r="F198" t="inlineStr">
        <ns0:is>
          <ns0:t>E0433,E0599</ns0:t>
        </ns0:is>
      </ns0:c>
      <ns0:c r="G198" t="n">
        <ns0:v>1</ns0:v>
      </ns0:c>
      <ns0:c r="H198" t="n">
        <ns0:v>0</ns0:v>
      </ns0:c>
      <ns0:c r="I198" t="n">
        <ns0:v>0</ns0:v>
      </ns0:c>
      <ns0:c r="J198" t="n">
        <ns0:v>0</ns0:v>
      </ns0:c>
      <ns0:c r="K198" t="n">
        <ns0:v>0</ns0:v>
      </ns0:c>
      <ns0:c r="L198" t="n">
        <ns0:v>0</ns0:v>
      </ns0:c>
      <ns0:c r="M198" t="n">
        <ns0:v>202394</ns0:v>
      </ns0:c>
      <ns0:c r="N198" t="n">
        <ns0:v>6223</ns0:v>
      </ns0:c>
      <ns0:c r="O198" t="n">
        <ns0:v>208617</ns0:v>
      </ns0:c>
      <ns0:c r="P198" t="n">
        <ns0:v>20</ns0:v>
      </ns0:c>
      <ns0:c r="Q198">
        <ns0:f>IF(AND(L198=1,O198*Calculations!$B$2&lt;=Calculations!$B$10*Calculations!$B$4),1,0)</ns0:f>
        <ns0:v>0</ns0:v>
      </ns0:c>
      <ns0:c r="R198">
        <ns0:f>IF(AND(L198=1,O198*Calculations!$B$2&lt;=Calculations!$B$11*Calculations!$B$4),1,0)</ns0:f>
        <ns0:v>0</ns0:v>
      </ns0:c>
    </ns0:row>
    <ns0:row r="199">
      <ns0:c r="A199" t="inlineStr">
        <ns0:is>
          <ns0:t>case_0198</ns0:t>
        </ns0:is>
      </ns0:c>
      <ns0:c r="B199" t="inlineStr">
        <ns0:is>
          <ns0:t>function_0032</ns0:t>
        </ns0:is>
      </ns0:c>
      <ns0:c r="C199" t="inlineStr">
        <ns0:is>
          <ns0:t>run_002</ns0:t>
        </ns0:is>
      </ns0:c>
      <ns0:c r="D199" t="inlineStr">
        <ns0:is>
          <ns0:t>humantime</ns0:t>
        </ns0:is>
      </ns0:c>
      <ns0:c r="E199" t="inlineStr">
        <ns0:is>
          <ns0:t>deepseek-v3</ns0:t>
        </ns0:is>
      </ns0:c>
      <ns0:c r="F199" t="inlineStr">
        <ns0:is>
          <ns0:t>E0599</ns0:t>
        </ns0:is>
      </ns0:c>
      <ns0:c r="G199" t="n">
        <ns0:v>1</ns0:v>
      </ns0:c>
      <ns0:c r="H199" t="n">
        <ns0:v>0</ns0:v>
      </ns0:c>
      <ns0:c r="I199" t="n">
        <ns0:v>0</ns0:v>
      </ns0:c>
      <ns0:c r="J199" t="n">
        <ns0:v>0</ns0:v>
      </ns0:c>
      <ns0:c r="K199" t="n">
        <ns0:v>0</ns0:v>
      </ns0:c>
      <ns0:c r="L199" t="n">
        <ns0:v>0</ns0:v>
      </ns0:c>
      <ns0:c r="M199" t="n">
        <ns0:v>319854</ns0:v>
      </ns0:c>
      <ns0:c r="N199" t="n">
        <ns0:v>8125</ns0:v>
      </ns0:c>
      <ns0:c r="O199" t="n">
        <ns0:v>327979</ns0:v>
      </ns0:c>
      <ns0:c r="P199" t="n">
        <ns0:v>20</ns0:v>
      </ns0:c>
      <ns0:c r="Q199">
        <ns0:f>IF(AND(L199=1,O199*Calculations!$B$2&lt;=Calculations!$B$10*Calculations!$B$4),1,0)</ns0:f>
        <ns0:v>0</ns0:v>
      </ns0:c>
      <ns0:c r="R199">
        <ns0:f>IF(AND(L199=1,O199*Calculations!$B$2&lt;=Calculations!$B$11*Calculations!$B$4),1,0)</ns0:f>
        <ns0:v>0</ns0:v>
      </ns0:c>
    </ns0:row>
    <ns0:row r="200">
      <ns0:c r="A200" t="inlineStr">
        <ns0:is>
          <ns0:t>case_0199</ns0:t>
        </ns0:is>
      </ns0:c>
      <ns0:c r="B200" t="inlineStr">
        <ns0:is>
          <ns0:t>function_0032</ns0:t>
        </ns0:is>
      </ns0:c>
      <ns0:c r="C200" t="inlineStr">
        <ns0:is>
          <ns0:t>run_002</ns0:t>
        </ns0:is>
      </ns0:c>
      <ns0:c r="D200" t="inlineStr">
        <ns0:is>
          <ns0:t>humantime</ns0:t>
        </ns0:is>
      </ns0:c>
      <ns0:c r="E200" t="inlineStr">
        <ns0:is>
          <ns0:t>deepseek-v3</ns0:t>
        </ns0:is>
      </ns0:c>
      <ns0:c r="F200" t="inlineStr">
        <ns0:is>
          <ns0:t>E0277,E0658</ns0:t>
        </ns0:is>
      </ns0:c>
      <ns0:c r="G200" t="n">
        <ns0:v>0</ns0:v>
      </ns0:c>
      <ns0:c r="H200" t="n">
        <ns0:v>2377</ns0:v>
      </ns0:c>
      <ns0:c r="I200" t="n">
        <ns0:v>303</ns0:v>
      </ns0:c>
      <ns0:c r="J200" t="n">
        <ns0:v>2680</ns0:v>
      </ns0:c>
      <ns0:c r="K200" t="n">
        <ns0:v>3</ns0:v>
      </ns0:c>
      <ns0:c r="L200" t="n">
        <ns0:v>0</ns0:v>
      </ns0:c>
      <ns0:c r="M200" t="n">
        <ns0:v>194039</ns0:v>
      </ns0:c>
      <ns0:c r="N200" t="n">
        <ns0:v>3628</ns0:v>
      </ns0:c>
      <ns0:c r="O200" t="n">
        <ns0:v>197667</ns0:v>
      </ns0:c>
      <ns0:c r="P200" t="n">
        <ns0:v>20</ns0:v>
      </ns0:c>
      <ns0:c r="Q200">
        <ns0:f>IF(AND(L200=1,O200*Calculations!$B$2&lt;=Calculations!$B$10*Calculations!$B$4),1,0)</ns0:f>
        <ns0:v>0</ns0:v>
      </ns0:c>
      <ns0:c r="R200">
        <ns0:f>IF(AND(L200=1,O200*Calculations!$B$2&lt;=Calculations!$B$11*Calculations!$B$4),1,0)</ns0:f>
        <ns0:v>0</ns0:v>
      </ns0:c>
    </ns0:row>
    <ns0:row r="201">
      <ns0:c r="A201" t="inlineStr">
        <ns0:is>
          <ns0:t>case_0200</ns0:t>
        </ns0:is>
      </ns0:c>
      <ns0:c r="B201" t="inlineStr">
        <ns0:is>
          <ns0:t>function_0032</ns0:t>
        </ns0:is>
      </ns0:c>
      <ns0:c r="C201" t="inlineStr">
        <ns0:is>
          <ns0:t>run_002</ns0:t>
        </ns0:is>
      </ns0:c>
      <ns0:c r="D201" t="inlineStr">
        <ns0:is>
          <ns0:t>humantime</ns0:t>
        </ns0:is>
      </ns0:c>
      <ns0:c r="E201" t="inlineStr">
        <ns0:is>
          <ns0:t>deepseek-v3</ns0:t>
        </ns0:is>
      </ns0:c>
      <ns0:c r="F201" t="inlineStr">
        <ns0:is>
          <ns0:t>E0277,E0658</ns0:t>
        </ns0:is>
      </ns0:c>
      <ns0:c r="G201" t="n">
        <ns0:v>0</ns0:v>
      </ns0:c>
      <ns0:c r="H201" t="n">
        <ns0:v>2376</ns0:v>
      </ns0:c>
      <ns0:c r="I201" t="n">
        <ns0:v>265</ns0:v>
      </ns0:c>
      <ns0:c r="J201" t="n">
        <ns0:v>2641</ns0:v>
      </ns0:c>
      <ns0:c r="K201" t="n">
        <ns0:v>3</ns0:v>
      </ns0:c>
      <ns0:c r="L201" t="n">
        <ns0:v>1</ns0:v>
      </ns0:c>
      <ns0:c r="M201" t="n">
        <ns0:v>54220</ns0:v>
      </ns0:c>
      <ns0:c r="N201" t="n">
        <ns0:v>9399</ns0:v>
      </ns0:c>
      <ns0:c r="O201" t="n">
        <ns0:v>63619</ns0:v>
      </ns0:c>
      <ns0:c r="P201" t="n">
        <ns0:v>7</ns0:v>
      </ns0:c>
      <ns0:c r="Q201">
        <ns0:f>IF(AND(L201=1,O201*Calculations!$B$2&lt;=Calculations!$B$10*Calculations!$B$4),1,0)</ns0:f>
        <ns0:v>0</ns0:v>
      </ns0:c>
      <ns0:c r="R201">
        <ns0:f>IF(AND(L201=1,O201*Calculations!$B$2&lt;=Calculations!$B$11*Calculations!$B$4),1,0)</ns0:f>
        <ns0:v>0</ns0:v>
      </ns0:c>
    </ns0:row>
    <ns0:row r="202">
      <ns0:c r="A202" t="inlineStr">
        <ns0:is>
          <ns0:t>case_0201</ns0:t>
        </ns0:is>
      </ns0:c>
      <ns0:c r="B202" t="inlineStr">
        <ns0:is>
          <ns0:t>function_0032</ns0:t>
        </ns0:is>
      </ns0:c>
      <ns0:c r="C202" t="inlineStr">
        <ns0:is>
          <ns0:t>run_002</ns0:t>
        </ns0:is>
      </ns0:c>
      <ns0:c r="D202" t="inlineStr">
        <ns0:is>
          <ns0:t>humantime</ns0:t>
        </ns0:is>
      </ns0:c>
      <ns0:c r="E202" t="inlineStr">
        <ns0:is>
          <ns0:t>deepseek-v3</ns0:t>
        </ns0:is>
      </ns0:c>
      <ns0:c r="F202" t="inlineStr">
        <ns0:is>
          <ns0:t>E0433,E0599</ns0:t>
        </ns0:is>
      </ns0:c>
      <ns0:c r="G202" t="n">
        <ns0:v>1</ns0:v>
      </ns0:c>
      <ns0:c r="H202" t="n">
        <ns0:v>0</ns0:v>
      </ns0:c>
      <ns0:c r="I202" t="n">
        <ns0:v>0</ns0:v>
      </ns0:c>
      <ns0:c r="J202" t="n">
        <ns0:v>0</ns0:v>
      </ns0:c>
      <ns0:c r="K202" t="n">
        <ns0:v>0</ns0:v>
      </ns0:c>
      <ns0:c r="L202" t="n">
        <ns0:v>1</ns0:v>
      </ns0:c>
      <ns0:c r="M202" t="n">
        <ns0:v>51410</ns0:v>
      </ns0:c>
      <ns0:c r="N202" t="n">
        <ns0:v>5919</ns0:v>
      </ns0:c>
      <ns0:c r="O202" t="n">
        <ns0:v>57329</ns0:v>
      </ns0:c>
      <ns0:c r="P202" t="n">
        <ns0:v>4</ns0:v>
      </ns0:c>
      <ns0:c r="Q202">
        <ns0:f>IF(AND(L202=1,O202*Calculations!$B$2&lt;=Calculations!$B$10*Calculations!$B$4),1,0)</ns0:f>
        <ns0:v>0</ns0:v>
      </ns0:c>
      <ns0:c r="R202">
        <ns0:f>IF(AND(L202=1,O202*Calculations!$B$2&lt;=Calculations!$B$11*Calculations!$B$4),1,0)</ns0:f>
        <ns0:v>0</ns0:v>
      </ns0:c>
    </ns0:row>
    <ns0:row r="203">
      <ns0:c r="A203" t="inlineStr">
        <ns0:is>
          <ns0:t>case_0202</ns0:t>
        </ns0:is>
      </ns0:c>
      <ns0:c r="B203" t="inlineStr">
        <ns0:is>
          <ns0:t>function_0032</ns0:t>
        </ns0:is>
      </ns0:c>
      <ns0:c r="C203" t="inlineStr">
        <ns0:is>
          <ns0:t>run_002</ns0:t>
        </ns0:is>
      </ns0:c>
      <ns0:c r="D203" t="inlineStr">
        <ns0:is>
          <ns0:t>humantime</ns0:t>
        </ns0:is>
      </ns0:c>
      <ns0:c r="E203" t="inlineStr">
        <ns0:is>
          <ns0:t>deepseek-v3</ns0:t>
        </ns0:is>
      </ns0:c>
      <ns0:c r="F203" t="inlineStr">
        <ns0:is>
          <ns0:t>E0277,E0433,E0658</ns0:t>
        </ns0:is>
      </ns0:c>
      <ns0:c r="G203" t="n">
        <ns0:v>0</ns0:v>
      </ns0:c>
      <ns0:c r="H203" t="n">
        <ns0:v>2440</ns0:v>
      </ns0:c>
      <ns0:c r="I203" t="n">
        <ns0:v>309</ns0:v>
      </ns0:c>
      <ns0:c r="J203" t="n">
        <ns0:v>2749</ns0:v>
      </ns0:c>
      <ns0:c r="K203" t="n">
        <ns0:v>3</ns0:v>
      </ns0:c>
      <ns0:c r="L203" t="n">
        <ns0:v>0</ns0:v>
      </ns0:c>
      <ns0:c r="M203" t="n">
        <ns0:v>330688</ns0:v>
      </ns0:c>
      <ns0:c r="N203" t="n">
        <ns0:v>9368</ns0:v>
      </ns0:c>
      <ns0:c r="O203" t="n">
        <ns0:v>340056</ns0:v>
      </ns0:c>
      <ns0:c r="P203" t="n">
        <ns0:v>20</ns0:v>
      </ns0:c>
      <ns0:c r="Q203">
        <ns0:f>IF(AND(L203=1,O203*Calculations!$B$2&lt;=Calculations!$B$10*Calculations!$B$4),1,0)</ns0:f>
        <ns0:v>0</ns0:v>
      </ns0:c>
      <ns0:c r="R203">
        <ns0:f>IF(AND(L203=1,O203*Calculations!$B$2&lt;=Calculations!$B$11*Calculations!$B$4),1,0)</ns0:f>
        <ns0:v>0</ns0:v>
      </ns0:c>
    </ns0:row>
    <ns0:row r="204">
      <ns0:c r="A204" t="inlineStr">
        <ns0:is>
          <ns0:t>case_0203</ns0:t>
        </ns0:is>
      </ns0:c>
      <ns0:c r="B204" t="inlineStr">
        <ns0:is>
          <ns0:t>function_0032</ns0:t>
        </ns0:is>
      </ns0:c>
      <ns0:c r="C204" t="inlineStr">
        <ns0:is>
          <ns0:t>run_002</ns0:t>
        </ns0:is>
      </ns0:c>
      <ns0:c r="D204" t="inlineStr">
        <ns0:is>
          <ns0:t>humantime</ns0:t>
        </ns0:is>
      </ns0:c>
      <ns0:c r="E204" t="inlineStr">
        <ns0:is>
          <ns0:t>deepseek-v3</ns0:t>
        </ns0:is>
      </ns0:c>
      <ns0:c r="F204" t="inlineStr">
        <ns0:is>
          <ns0:t>E0277,E0433,E0658</ns0:t>
        </ns0:is>
      </ns0:c>
      <ns0:c r="G204" t="n">
        <ns0:v>0</ns0:v>
      </ns0:c>
      <ns0:c r="H204" t="n">
        <ns0:v>2444</ns0:v>
      </ns0:c>
      <ns0:c r="I204" t="n">
        <ns0:v>275</ns0:v>
      </ns0:c>
      <ns0:c r="J204" t="n">
        <ns0:v>2719</ns0:v>
      </ns0:c>
      <ns0:c r="K204" t="n">
        <ns0:v>3</ns0:v>
      </ns0:c>
      <ns0:c r="L204" t="n">
        <ns0:v>0</ns0:v>
      </ns0:c>
      <ns0:c r="M204" t="n">
        <ns0:v>472700</ns0:v>
      </ns0:c>
      <ns0:c r="N204" t="n">
        <ns0:v>16864</ns0:v>
      </ns0:c>
      <ns0:c r="O204" t="n">
        <ns0:v>489564</ns0:v>
      </ns0:c>
      <ns0:c r="P204" t="n">
        <ns0:v>21</ns0:v>
      </ns0:c>
      <ns0:c r="Q204">
        <ns0:f>IF(AND(L204=1,O204*Calculations!$B$2&lt;=Calculations!$B$10*Calculations!$B$4),1,0)</ns0:f>
        <ns0:v>0</ns0:v>
      </ns0:c>
      <ns0:c r="R204">
        <ns0:f>IF(AND(L204=1,O204*Calculations!$B$2&lt;=Calculations!$B$11*Calculations!$B$4),1,0)</ns0:f>
        <ns0:v>0</ns0:v>
      </ns0:c>
    </ns0:row>
    <ns0:row r="205">
      <ns0:c r="A205" t="inlineStr">
        <ns0:is>
          <ns0:t>case_0204</ns0:t>
        </ns0:is>
      </ns0:c>
      <ns0:c r="B205" t="inlineStr">
        <ns0:is>
          <ns0:t>function_0033</ns0:t>
        </ns0:is>
      </ns0:c>
      <ns0:c r="C205" t="inlineStr">
        <ns0:is>
          <ns0:t>run_003</ns0:t>
        </ns0:is>
      </ns0:c>
      <ns0:c r="D205" t="inlineStr">
        <ns0:is>
          <ns0:t>humantime</ns0:t>
        </ns0:is>
      </ns0:c>
      <ns0:c r="E205" t="inlineStr">
        <ns0:is>
          <ns0:t>gemini-2.5-flash-nothinking</ns0:t>
        </ns0:is>
      </ns0:c>
      <ns0:c r="F205" t="inlineStr">
        <ns0:is>
          <ns0:t>E0433</ns0:t>
        </ns0:is>
      </ns0:c>
      <ns0:c r="G205" t="n">
        <ns0:v>1</ns0:v>
      </ns0:c>
      <ns0:c r="H205" t="n">
        <ns0:v>0</ns0:v>
      </ns0:c>
      <ns0:c r="I205" t="n">
        <ns0:v>0</ns0:v>
      </ns0:c>
      <ns0:c r="J205" t="n">
        <ns0:v>0</ns0:v>
      </ns0:c>
      <ns0:c r="K205" t="n">
        <ns0:v>0</ns0:v>
      </ns0:c>
      <ns0:c r="L205" t="n">
        <ns0:v>1</ns0:v>
      </ns0:c>
      <ns0:c r="M205" t="n">
        <ns0:v>27898</ns0:v>
      </ns0:c>
      <ns0:c r="N205" t="n">
        <ns0:v>538</ns0:v>
      </ns0:c>
      <ns0:c r="O205" t="n">
        <ns0:v>28436</ns0:v>
      </ns0:c>
      <ns0:c r="P205" t="n">
        <ns0:v>4</ns0:v>
      </ns0:c>
      <ns0:c r="Q205">
        <ns0:f>IF(AND(L205=1,O205*Calculations!$B$2&lt;=Calculations!$B$10*Calculations!$B$4),1,0)</ns0:f>
        <ns0:v>0</ns0:v>
      </ns0:c>
      <ns0:c r="R205">
        <ns0:f>IF(AND(L205=1,O205*Calculations!$B$2&lt;=Calculations!$B$11*Calculations!$B$4),1,0)</ns0:f>
        <ns0:v>1</ns0:v>
      </ns0:c>
    </ns0:row>
    <ns0:row r="206">
      <ns0:c r="A206" t="inlineStr">
        <ns0:is>
          <ns0:t>case_0205</ns0:t>
        </ns0:is>
      </ns0:c>
      <ns0:c r="B206" t="inlineStr">
        <ns0:is>
          <ns0:t>function_0033</ns0:t>
        </ns0:is>
      </ns0:c>
      <ns0:c r="C206" t="inlineStr">
        <ns0:is>
          <ns0:t>run_003</ns0:t>
        </ns0:is>
      </ns0:c>
      <ns0:c r="D206" t="inlineStr">
        <ns0:is>
          <ns0:t>humantime</ns0:t>
        </ns0:is>
      </ns0:c>
      <ns0:c r="E206" t="inlineStr">
        <ns0:is>
          <ns0:t>gemini-2.5-flash-nothinking</ns0:t>
        </ns0:is>
      </ns0:c>
      <ns0:c r="F206" t="inlineStr">
        <ns0:is>
          <ns0:t>E0433</ns0:t>
        </ns0:is>
      </ns0:c>
      <ns0:c r="G206" t="n">
        <ns0:v>1</ns0:v>
      </ns0:c>
      <ns0:c r="H206" t="n">
        <ns0:v>0</ns0:v>
      </ns0:c>
      <ns0:c r="I206" t="n">
        <ns0:v>0</ns0:v>
      </ns0:c>
      <ns0:c r="J206" t="n">
        <ns0:v>0</ns0:v>
      </ns0:c>
      <ns0:c r="K206" t="n">
        <ns0:v>0</ns0:v>
      </ns0:c>
      <ns0:c r="L206" t="n">
        <ns0:v>1</ns0:v>
      </ns0:c>
      <ns0:c r="M206" t="n">
        <ns0:v>35513</ns0:v>
      </ns0:c>
      <ns0:c r="N206" t="n">
        <ns0:v>653</ns0:v>
      </ns0:c>
      <ns0:c r="O206" t="n">
        <ns0:v>36166</ns0:v>
      </ns0:c>
      <ns0:c r="P206" t="n">
        <ns0:v>5</ns0:v>
      </ns0:c>
      <ns0:c r="Q206">
        <ns0:f>IF(AND(L206=1,O206*Calculations!$B$2&lt;=Calculations!$B$10*Calculations!$B$4),1,0)</ns0:f>
        <ns0:v>0</ns0:v>
      </ns0:c>
      <ns0:c r="R206">
        <ns0:f>IF(AND(L206=1,O206*Calculations!$B$2&lt;=Calculations!$B$11*Calculations!$B$4),1,0)</ns0:f>
        <ns0:v>1</ns0:v>
      </ns0:c>
    </ns0:row>
    <ns0:row r="207">
      <ns0:c r="A207" t="inlineStr">
        <ns0:is>
          <ns0:t>case_0206</ns0:t>
        </ns0:is>
      </ns0:c>
      <ns0:c r="B207" t="inlineStr">
        <ns0:is>
          <ns0:t>function_0034</ns0:t>
        </ns0:is>
      </ns0:c>
      <ns0:c r="C207" t="inlineStr">
        <ns0:is>
          <ns0:t>run_003</ns0:t>
        </ns0:is>
      </ns0:c>
      <ns0:c r="D207" t="inlineStr">
        <ns0:is>
          <ns0:t>humantime</ns0:t>
        </ns0:is>
      </ns0:c>
      <ns0:c r="E207" t="inlineStr">
        <ns0:is>
          <ns0:t>gemini-2.5-flash-nothinking</ns0:t>
        </ns0:is>
      </ns0:c>
      <ns0:c r="F207" t="inlineStr">
        <ns0:is>
          <ns0:t>E0433</ns0:t>
        </ns0:is>
      </ns0:c>
      <ns0:c r="G207" t="n">
        <ns0:v>1</ns0:v>
      </ns0:c>
      <ns0:c r="H207" t="n">
        <ns0:v>0</ns0:v>
      </ns0:c>
      <ns0:c r="I207" t="n">
        <ns0:v>0</ns0:v>
      </ns0:c>
      <ns0:c r="J207" t="n">
        <ns0:v>0</ns0:v>
      </ns0:c>
      <ns0:c r="K207" t="n">
        <ns0:v>0</ns0:v>
      </ns0:c>
      <ns0:c r="L207" t="n">
        <ns0:v>1</ns0:v>
      </ns0:c>
      <ns0:c r="M207" t="n">
        <ns0:v>20405</ns0:v>
      </ns0:c>
      <ns0:c r="N207" t="n">
        <ns0:v>251</ns0:v>
      </ns0:c>
      <ns0:c r="O207" t="n">
        <ns0:v>20656</ns0:v>
      </ns0:c>
      <ns0:c r="P207" t="n">
        <ns0:v>3</ns0:v>
      </ns0:c>
      <ns0:c r="Q207">
        <ns0:f>IF(AND(L207=1,O207*Calculations!$B$2&lt;=Calculations!$B$10*Calculations!$B$4),1,0)</ns0:f>
        <ns0:v>1</ns0:v>
      </ns0:c>
      <ns0:c r="R207">
        <ns0:f>IF(AND(L207=1,O207*Calculations!$B$2&lt;=Calculations!$B$11*Calculations!$B$4),1,0)</ns0:f>
        <ns0:v>1</ns0:v>
      </ns0:c>
    </ns0:row>
    <ns0:row r="208">
      <ns0:c r="A208" t="inlineStr">
        <ns0:is>
          <ns0:t>case_0207</ns0:t>
        </ns0:is>
      </ns0:c>
      <ns0:c r="B208" t="inlineStr">
        <ns0:is>
          <ns0:t>function_0035</ns0:t>
        </ns0:is>
      </ns0:c>
      <ns0:c r="C208" t="inlineStr">
        <ns0:is>
          <ns0:t>run_003</ns0:t>
        </ns0:is>
      </ns0:c>
      <ns0:c r="D208" t="inlineStr">
        <ns0:is>
          <ns0:t>humantime</ns0:t>
        </ns0:is>
      </ns0:c>
      <ns0:c r="E208" t="inlineStr">
        <ns0:is>
          <ns0:t>gemini-2.5-flash-nothinking</ns0:t>
        </ns0:is>
      </ns0:c>
      <ns0:c r="F208" t="inlineStr">
        <ns0:is>
          <ns0:t>E0433</ns0:t>
        </ns0:is>
      </ns0:c>
      <ns0:c r="G208" t="n">
        <ns0:v>1</ns0:v>
      </ns0:c>
      <ns0:c r="H208" t="n">
        <ns0:v>0</ns0:v>
      </ns0:c>
      <ns0:c r="I208" t="n">
        <ns0:v>0</ns0:v>
      </ns0:c>
      <ns0:c r="J208" t="n">
        <ns0:v>0</ns0:v>
      </ns0:c>
      <ns0:c r="K208" t="n">
        <ns0:v>0</ns0:v>
      </ns0:c>
      <ns0:c r="L208" t="n">
        <ns0:v>1</ns0:v>
      </ns0:c>
      <ns0:c r="M208" t="n">
        <ns0:v>27875</ns0:v>
      </ns0:c>
      <ns0:c r="N208" t="n">
        <ns0:v>408</ns0:v>
      </ns0:c>
      <ns0:c r="O208" t="n">
        <ns0:v>28283</ns0:v>
      </ns0:c>
      <ns0:c r="P208" t="n">
        <ns0:v>4</ns0:v>
      </ns0:c>
      <ns0:c r="Q208">
        <ns0:f>IF(AND(L208=1,O208*Calculations!$B$2&lt;=Calculations!$B$10*Calculations!$B$4),1,0)</ns0:f>
        <ns0:v>0</ns0:v>
      </ns0:c>
      <ns0:c r="R208">
        <ns0:f>IF(AND(L208=1,O208*Calculations!$B$2&lt;=Calculations!$B$11*Calculations!$B$4),1,0)</ns0:f>
        <ns0:v>1</ns0:v>
      </ns0:c>
    </ns0:row>
    <ns0:row r="209">
      <ns0:c r="A209" t="inlineStr">
        <ns0:is>
          <ns0:t>case_0208</ns0:t>
        </ns0:is>
      </ns0:c>
      <ns0:c r="B209" t="inlineStr">
        <ns0:is>
          <ns0:t>function_0035</ns0:t>
        </ns0:is>
      </ns0:c>
      <ns0:c r="C209" t="inlineStr">
        <ns0:is>
          <ns0:t>run_003</ns0:t>
        </ns0:is>
      </ns0:c>
      <ns0:c r="D209" t="inlineStr">
        <ns0:is>
          <ns0:t>humantime</ns0:t>
        </ns0:is>
      </ns0:c>
      <ns0:c r="E209" t="inlineStr">
        <ns0:is>
          <ns0:t>gemini-2.5-flash-nothinking</ns0:t>
        </ns0:is>
      </ns0:c>
      <ns0:c r="F209" t="inlineStr">
        <ns0:is>
          <ns0:t>E0433</ns0:t>
        </ns0:is>
      </ns0:c>
      <ns0:c r="G209" t="n">
        <ns0:v>1</ns0:v>
      </ns0:c>
      <ns0:c r="H209" t="n">
        <ns0:v>0</ns0:v>
      </ns0:c>
      <ns0:c r="I209" t="n">
        <ns0:v>0</ns0:v>
      </ns0:c>
      <ns0:c r="J209" t="n">
        <ns0:v>0</ns0:v>
      </ns0:c>
      <ns0:c r="K209" t="n">
        <ns0:v>0</ns0:v>
      </ns0:c>
      <ns0:c r="L209" t="n">
        <ns0:v>1</ns0:v>
      </ns0:c>
      <ns0:c r="M209" t="n">
        <ns0:v>20357</ns0:v>
      </ns0:c>
      <ns0:c r="N209" t="n">
        <ns0:v>545</ns0:v>
      </ns0:c>
      <ns0:c r="O209" t="n">
        <ns0:v>20902</ns0:v>
      </ns0:c>
      <ns0:c r="P209" t="n">
        <ns0:v>3</ns0:v>
      </ns0:c>
      <ns0:c r="Q209">
        <ns0:f>IF(AND(L209=1,O209*Calculations!$B$2&lt;=Calculations!$B$10*Calculations!$B$4),1,0)</ns0:f>
        <ns0:v>1</ns0:v>
      </ns0:c>
      <ns0:c r="R209">
        <ns0:f>IF(AND(L209=1,O209*Calculations!$B$2&lt;=Calculations!$B$11*Calculations!$B$4),1,0)</ns0:f>
        <ns0:v>1</ns0:v>
      </ns0:c>
    </ns0:row>
    <ns0:row r="210">
      <ns0:c r="A210" t="inlineStr">
        <ns0:is>
          <ns0:t>case_0209</ns0:t>
        </ns0:is>
      </ns0:c>
      <ns0:c r="B210" t="inlineStr">
        <ns0:is>
          <ns0:t>function_0035</ns0:t>
        </ns0:is>
      </ns0:c>
      <ns0:c r="C210" t="inlineStr">
        <ns0:is>
          <ns0:t>run_003</ns0:t>
        </ns0:is>
      </ns0:c>
      <ns0:c r="D210" t="inlineStr">
        <ns0:is>
          <ns0:t>humantime</ns0:t>
        </ns0:is>
      </ns0:c>
      <ns0:c r="E210" t="inlineStr">
        <ns0:is>
          <ns0:t>gemini-2.5-flash-nothinking</ns0:t>
        </ns0:is>
      </ns0:c>
      <ns0:c r="F210" t="inlineStr">
        <ns0:is>
          <ns0:t>E0433</ns0:t>
        </ns0:is>
      </ns0:c>
      <ns0:c r="G210" t="n">
        <ns0:v>1</ns0:v>
      </ns0:c>
      <ns0:c r="H210" t="n">
        <ns0:v>0</ns0:v>
      </ns0:c>
      <ns0:c r="I210" t="n">
        <ns0:v>0</ns0:v>
      </ns0:c>
      <ns0:c r="J210" t="n">
        <ns0:v>0</ns0:v>
      </ns0:c>
      <ns0:c r="K210" t="n">
        <ns0:v>0</ns0:v>
      </ns0:c>
      <ns0:c r="L210" t="n">
        <ns0:v>1</ns0:v>
      </ns0:c>
      <ns0:c r="M210" t="n">
        <ns0:v>20565</ns0:v>
      </ns0:c>
      <ns0:c r="N210" t="n">
        <ns0:v>328</ns0:v>
      </ns0:c>
      <ns0:c r="O210" t="n">
        <ns0:v>20893</ns0:v>
      </ns0:c>
      <ns0:c r="P210" t="n">
        <ns0:v>3</ns0:v>
      </ns0:c>
      <ns0:c r="Q210">
        <ns0:f>IF(AND(L210=1,O210*Calculations!$B$2&lt;=Calculations!$B$10*Calculations!$B$4),1,0)</ns0:f>
        <ns0:v>1</ns0:v>
      </ns0:c>
      <ns0:c r="R210">
        <ns0:f>IF(AND(L210=1,O210*Calculations!$B$2&lt;=Calculations!$B$11*Calculations!$B$4),1,0)</ns0:f>
        <ns0:v>1</ns0:v>
      </ns0:c>
    </ns0:row>
    <ns0:row r="211">
      <ns0:c r="A211" t="inlineStr">
        <ns0:is>
          <ns0:t>case_0210</ns0:t>
        </ns0:is>
      </ns0:c>
      <ns0:c r="B211" t="inlineStr">
        <ns0:is>
          <ns0:t>function_0036</ns0:t>
        </ns0:is>
      </ns0:c>
      <ns0:c r="C211" t="inlineStr">
        <ns0:is>
          <ns0:t>run_003</ns0:t>
        </ns0:is>
      </ns0:c>
      <ns0:c r="D211" t="inlineStr">
        <ns0:is>
          <ns0:t>humantime</ns0:t>
        </ns0:is>
      </ns0:c>
      <ns0:c r="E211" t="inlineStr">
        <ns0:is>
          <ns0:t>gemini-2.5-flash-nothinking</ns0:t>
        </ns0:is>
      </ns0:c>
      <ns0:c r="F211" t="inlineStr">
        <ns0:is>
          <ns0:t>E0433</ns0:t>
        </ns0:is>
      </ns0:c>
      <ns0:c r="G211" t="n">
        <ns0:v>1</ns0:v>
      </ns0:c>
      <ns0:c r="H211" t="n">
        <ns0:v>0</ns0:v>
      </ns0:c>
      <ns0:c r="I211" t="n">
        <ns0:v>0</ns0:v>
      </ns0:c>
      <ns0:c r="J211" t="n">
        <ns0:v>0</ns0:v>
      </ns0:c>
      <ns0:c r="K211" t="n">
        <ns0:v>0</ns0:v>
      </ns0:c>
      <ns0:c r="L211" t="n">
        <ns0:v>1</ns0:v>
      </ns0:c>
      <ns0:c r="M211" t="n">
        <ns0:v>20313</ns0:v>
      </ns0:c>
      <ns0:c r="N211" t="n">
        <ns0:v>255</ns0:v>
      </ns0:c>
      <ns0:c r="O211" t="n">
        <ns0:v>20568</ns0:v>
      </ns0:c>
      <ns0:c r="P211" t="n">
        <ns0:v>3</ns0:v>
      </ns0:c>
      <ns0:c r="Q211">
        <ns0:f>IF(AND(L211=1,O211*Calculations!$B$2&lt;=Calculations!$B$10*Calculations!$B$4),1,0)</ns0:f>
        <ns0:v>1</ns0:v>
      </ns0:c>
      <ns0:c r="R211">
        <ns0:f>IF(AND(L211=1,O211*Calculations!$B$2&lt;=Calculations!$B$11*Calculations!$B$4),1,0)</ns0:f>
        <ns0:v>1</ns0:v>
      </ns0:c>
    </ns0:row>
    <ns0:row r="212">
      <ns0:c r="A212" t="inlineStr">
        <ns0:is>
          <ns0:t>case_0211</ns0:t>
        </ns0:is>
      </ns0:c>
      <ns0:c r="B212" t="inlineStr">
        <ns0:is>
          <ns0:t>function_0036</ns0:t>
        </ns0:is>
      </ns0:c>
      <ns0:c r="C212" t="inlineStr">
        <ns0:is>
          <ns0:t>run_003</ns0:t>
        </ns0:is>
      </ns0:c>
      <ns0:c r="D212" t="inlineStr">
        <ns0:is>
          <ns0:t>humantime</ns0:t>
        </ns0:is>
      </ns0:c>
      <ns0:c r="E212" t="inlineStr">
        <ns0:is>
          <ns0:t>gemini-2.5-flash-nothinking</ns0:t>
        </ns0:is>
      </ns0:c>
      <ns0:c r="F212" t="inlineStr">
        <ns0:is>
          <ns0:t>E0433</ns0:t>
        </ns0:is>
      </ns0:c>
      <ns0:c r="G212" t="n">
        <ns0:v>1</ns0:v>
      </ns0:c>
      <ns0:c r="H212" t="n">
        <ns0:v>0</ns0:v>
      </ns0:c>
      <ns0:c r="I212" t="n">
        <ns0:v>0</ns0:v>
      </ns0:c>
      <ns0:c r="J212" t="n">
        <ns0:v>0</ns0:v>
      </ns0:c>
      <ns0:c r="K212" t="n">
        <ns0:v>0</ns0:v>
      </ns0:c>
      <ns0:c r="L212" t="n">
        <ns0:v>1</ns0:v>
      </ns0:c>
      <ns0:c r="M212" t="n">
        <ns0:v>20329</ns0:v>
      </ns0:c>
      <ns0:c r="N212" t="n">
        <ns0:v>352</ns0:v>
      </ns0:c>
      <ns0:c r="O212" t="n">
        <ns0:v>20681</ns0:v>
      </ns0:c>
      <ns0:c r="P212" t="n">
        <ns0:v>3</ns0:v>
      </ns0:c>
      <ns0:c r="Q212">
        <ns0:f>IF(AND(L212=1,O212*Calculations!$B$2&lt;=Calculations!$B$10*Calculations!$B$4),1,0)</ns0:f>
        <ns0:v>1</ns0:v>
      </ns0:c>
      <ns0:c r="R212">
        <ns0:f>IF(AND(L212=1,O212*Calculations!$B$2&lt;=Calculations!$B$11*Calculations!$B$4),1,0)</ns0:f>
        <ns0:v>1</ns0:v>
      </ns0:c>
    </ns0:row>
    <ns0:row r="213">
      <ns0:c r="A213" t="inlineStr">
        <ns0:is>
          <ns0:t>case_0212</ns0:t>
        </ns0:is>
      </ns0:c>
      <ns0:c r="B213" t="inlineStr">
        <ns0:is>
          <ns0:t>function_0037</ns0:t>
        </ns0:is>
      </ns0:c>
      <ns0:c r="C213" t="inlineStr">
        <ns0:is>
          <ns0:t>run_003</ns0:t>
        </ns0:is>
      </ns0:c>
      <ns0:c r="D213" t="inlineStr">
        <ns0:is>
          <ns0:t>humantime</ns0:t>
        </ns0:is>
      </ns0:c>
      <ns0:c r="E213" t="inlineStr">
        <ns0:is>
          <ns0:t>gemini-2.5-flash-nothinking</ns0:t>
        </ns0:is>
      </ns0:c>
      <ns0:c r="F213" t="inlineStr">
        <ns0:is>
          <ns0:t>E0433</ns0:t>
        </ns0:is>
      </ns0:c>
      <ns0:c r="G213" t="n">
        <ns0:v>1</ns0:v>
      </ns0:c>
      <ns0:c r="H213" t="n">
        <ns0:v>0</ns0:v>
      </ns0:c>
      <ns0:c r="I213" t="n">
        <ns0:v>0</ns0:v>
      </ns0:c>
      <ns0:c r="J213" t="n">
        <ns0:v>0</ns0:v>
      </ns0:c>
      <ns0:c r="K213" t="n">
        <ns0:v>0</ns0:v>
      </ns0:c>
      <ns0:c r="L213" t="n">
        <ns0:v>1</ns0:v>
      </ns0:c>
      <ns0:c r="M213" t="n">
        <ns0:v>20884</ns0:v>
      </ns0:c>
      <ns0:c r="N213" t="n">
        <ns0:v>340</ns0:v>
      </ns0:c>
      <ns0:c r="O213" t="n">
        <ns0:v>21224</ns0:v>
      </ns0:c>
      <ns0:c r="P213" t="n">
        <ns0:v>3</ns0:v>
      </ns0:c>
      <ns0:c r="Q213">
        <ns0:f>IF(AND(L213=1,O213*Calculations!$B$2&lt;=Calculations!$B$10*Calculations!$B$4),1,0)</ns0:f>
        <ns0:v>1</ns0:v>
      </ns0:c>
      <ns0:c r="R213">
        <ns0:f>IF(AND(L213=1,O213*Calculations!$B$2&lt;=Calculations!$B$11*Calculations!$B$4),1,0)</ns0:f>
        <ns0:v>1</ns0:v>
      </ns0:c>
    </ns0:row>
    <ns0:row r="214">
      <ns0:c r="A214" t="inlineStr">
        <ns0:is>
          <ns0:t>case_0213</ns0:t>
        </ns0:is>
      </ns0:c>
      <ns0:c r="B214" t="inlineStr">
        <ns0:is>
          <ns0:t>function_0037</ns0:t>
        </ns0:is>
      </ns0:c>
      <ns0:c r="C214" t="inlineStr">
        <ns0:is>
          <ns0:t>run_003</ns0:t>
        </ns0:is>
      </ns0:c>
      <ns0:c r="D214" t="inlineStr">
        <ns0:is>
          <ns0:t>humantime</ns0:t>
        </ns0:is>
      </ns0:c>
      <ns0:c r="E214" t="inlineStr">
        <ns0:is>
          <ns0:t>gemini-2.5-flash-nothinking</ns0:t>
        </ns0:is>
      </ns0:c>
      <ns0:c r="F214" t="inlineStr">
        <ns0:is>
          <ns0:t>E0433</ns0:t>
        </ns0:is>
      </ns0:c>
      <ns0:c r="G214" t="n">
        <ns0:v>1</ns0:v>
      </ns0:c>
      <ns0:c r="H214" t="n">
        <ns0:v>0</ns0:v>
      </ns0:c>
      <ns0:c r="I214" t="n">
        <ns0:v>0</ns0:v>
      </ns0:c>
      <ns0:c r="J214" t="n">
        <ns0:v>0</ns0:v>
      </ns0:c>
      <ns0:c r="K214" t="n">
        <ns0:v>0</ns0:v>
      </ns0:c>
      <ns0:c r="L214" t="n">
        <ns0:v>1</ns0:v>
      </ns0:c>
      <ns0:c r="M214" t="n">
        <ns0:v>43799</ns0:v>
      </ns0:c>
      <ns0:c r="N214" t="n">
        <ns0:v>712</ns0:v>
      </ns0:c>
      <ns0:c r="O214" t="n">
        <ns0:v>44511</ns0:v>
      </ns0:c>
      <ns0:c r="P214" t="n">
        <ns0:v>6</ns0:v>
      </ns0:c>
      <ns0:c r="Q214">
        <ns0:f>IF(AND(L214=1,O214*Calculations!$B$2&lt;=Calculations!$B$10*Calculations!$B$4),1,0)</ns0:f>
        <ns0:v>0</ns0:v>
      </ns0:c>
      <ns0:c r="R214">
        <ns0:f>IF(AND(L214=1,O214*Calculations!$B$2&lt;=Calculations!$B$11*Calculations!$B$4),1,0)</ns0:f>
        <ns0:v>1</ns0:v>
      </ns0:c>
    </ns0:row>
    <ns0:row r="215">
      <ns0:c r="A215" t="inlineStr">
        <ns0:is>
          <ns0:t>case_0214</ns0:t>
        </ns0:is>
      </ns0:c>
      <ns0:c r="B215" t="inlineStr">
        <ns0:is>
          <ns0:t>function_0038</ns0:t>
        </ns0:is>
      </ns0:c>
      <ns0:c r="C215" t="inlineStr">
        <ns0:is>
          <ns0:t>run_003</ns0:t>
        </ns0:is>
      </ns0:c>
      <ns0:c r="D215" t="inlineStr">
        <ns0:is>
          <ns0:t>humantime</ns0:t>
        </ns0:is>
      </ns0:c>
      <ns0:c r="E215" t="inlineStr">
        <ns0:is>
          <ns0:t>gemini-2.5-flash-nothinking</ns0:t>
        </ns0:is>
      </ns0:c>
      <ns0:c r="F215" t="inlineStr">
        <ns0:is>
          <ns0:t>E0433</ns0:t>
        </ns0:is>
      </ns0:c>
      <ns0:c r="G215" t="n">
        <ns0:v>1</ns0:v>
      </ns0:c>
      <ns0:c r="H215" t="n">
        <ns0:v>0</ns0:v>
      </ns0:c>
      <ns0:c r="I215" t="n">
        <ns0:v>0</ns0:v>
      </ns0:c>
      <ns0:c r="J215" t="n">
        <ns0:v>0</ns0:v>
      </ns0:c>
      <ns0:c r="K215" t="n">
        <ns0:v>0</ns0:v>
      </ns0:c>
      <ns0:c r="L215" t="n">
        <ns0:v>1</ns0:v>
      </ns0:c>
      <ns0:c r="M215" t="n">
        <ns0:v>52150</ns0:v>
      </ns0:c>
      <ns0:c r="N215" t="n">
        <ns0:v>707</ns0:v>
      </ns0:c>
      <ns0:c r="O215" t="n">
        <ns0:v>52857</ns0:v>
      </ns0:c>
      <ns0:c r="P215" t="n">
        <ns0:v>6</ns0:v>
      </ns0:c>
      <ns0:c r="Q215">
        <ns0:f>IF(AND(L215=1,O215*Calculations!$B$2&lt;=Calculations!$B$10*Calculations!$B$4),1,0)</ns0:f>
        <ns0:v>0</ns0:v>
      </ns0:c>
      <ns0:c r="R215">
        <ns0:f>IF(AND(L215=1,O215*Calculations!$B$2&lt;=Calculations!$B$11*Calculations!$B$4),1,0)</ns0:f>
        <ns0:v>0</ns0:v>
      </ns0:c>
    </ns0:row>
    <ns0:row r="216">
      <ns0:c r="A216" t="inlineStr">
        <ns0:is>
          <ns0:t>case_0215</ns0:t>
        </ns0:is>
      </ns0:c>
      <ns0:c r="B216" t="inlineStr">
        <ns0:is>
          <ns0:t>function_0038</ns0:t>
        </ns0:is>
      </ns0:c>
      <ns0:c r="C216" t="inlineStr">
        <ns0:is>
          <ns0:t>run_003</ns0:t>
        </ns0:is>
      </ns0:c>
      <ns0:c r="D216" t="inlineStr">
        <ns0:is>
          <ns0:t>humantime</ns0:t>
        </ns0:is>
      </ns0:c>
      <ns0:c r="E216" t="inlineStr">
        <ns0:is>
          <ns0:t>gemini-2.5-flash-nothinking</ns0:t>
        </ns0:is>
      </ns0:c>
      <ns0:c r="F216" t="inlineStr">
        <ns0:is>
          <ns0:t>E0433</ns0:t>
        </ns0:is>
      </ns0:c>
      <ns0:c r="G216" t="n">
        <ns0:v>1</ns0:v>
      </ns0:c>
      <ns0:c r="H216" t="n">
        <ns0:v>0</ns0:v>
      </ns0:c>
      <ns0:c r="I216" t="n">
        <ns0:v>0</ns0:v>
      </ns0:c>
      <ns0:c r="J216" t="n">
        <ns0:v>0</ns0:v>
      </ns0:c>
      <ns0:c r="K216" t="n">
        <ns0:v>0</ns0:v>
      </ns0:c>
      <ns0:c r="L216" t="n">
        <ns0:v>1</ns0:v>
      </ns0:c>
      <ns0:c r="M216" t="n">
        <ns0:v>20867</ns0:v>
      </ns0:c>
      <ns0:c r="N216" t="n">
        <ns0:v>370</ns0:v>
      </ns0:c>
      <ns0:c r="O216" t="n">
        <ns0:v>21237</ns0:v>
      </ns0:c>
      <ns0:c r="P216" t="n">
        <ns0:v>3</ns0:v>
      </ns0:c>
      <ns0:c r="Q216">
        <ns0:f>IF(AND(L216=1,O216*Calculations!$B$2&lt;=Calculations!$B$10*Calculations!$B$4),1,0)</ns0:f>
        <ns0:v>1</ns0:v>
      </ns0:c>
      <ns0:c r="R216">
        <ns0:f>IF(AND(L216=1,O216*Calculations!$B$2&lt;=Calculations!$B$11*Calculations!$B$4),1,0)</ns0:f>
        <ns0:v>1</ns0:v>
      </ns0:c>
    </ns0:row>
    <ns0:row r="217">
      <ns0:c r="A217" t="inlineStr">
        <ns0:is>
          <ns0:t>case_0216</ns0:t>
        </ns0:is>
      </ns0:c>
      <ns0:c r="B217" t="inlineStr">
        <ns0:is>
          <ns0:t>function_0038</ns0:t>
        </ns0:is>
      </ns0:c>
      <ns0:c r="C217" t="inlineStr">
        <ns0:is>
          <ns0:t>run_003</ns0:t>
        </ns0:is>
      </ns0:c>
      <ns0:c r="D217" t="inlineStr">
        <ns0:is>
          <ns0:t>humantime</ns0:t>
        </ns0:is>
      </ns0:c>
      <ns0:c r="E217" t="inlineStr">
        <ns0:is>
          <ns0:t>gemini-2.5-flash-nothinking</ns0:t>
        </ns0:is>
      </ns0:c>
      <ns0:c r="F217" t="inlineStr">
        <ns0:is>
          <ns0:t>E0433</ns0:t>
        </ns0:is>
      </ns0:c>
      <ns0:c r="G217" t="n">
        <ns0:v>1</ns0:v>
      </ns0:c>
      <ns0:c r="H217" t="n">
        <ns0:v>0</ns0:v>
      </ns0:c>
      <ns0:c r="I217" t="n">
        <ns0:v>0</ns0:v>
      </ns0:c>
      <ns0:c r="J217" t="n">
        <ns0:v>0</ns0:v>
      </ns0:c>
      <ns0:c r="K217" t="n">
        <ns0:v>0</ns0:v>
      </ns0:c>
      <ns0:c r="L217" t="n">
        <ns0:v>1</ns0:v>
      </ns0:c>
      <ns0:c r="M217" t="n">
        <ns0:v>13706</ns0:v>
      </ns0:c>
      <ns0:c r="N217" t="n">
        <ns0:v>414</ns0:v>
      </ns0:c>
      <ns0:c r="O217" t="n">
        <ns0:v>14120</ns0:v>
      </ns0:c>
      <ns0:c r="P217" t="n">
        <ns0:v>2</ns0:v>
      </ns0:c>
      <ns0:c r="Q217">
        <ns0:f>IF(AND(L217=1,O217*Calculations!$B$2&lt;=Calculations!$B$10*Calculations!$B$4),1,0)</ns0:f>
        <ns0:v>1</ns0:v>
      </ns0:c>
      <ns0:c r="R217">
        <ns0:f>IF(AND(L217=1,O217*Calculations!$B$2&lt;=Calculations!$B$11*Calculations!$B$4),1,0)</ns0:f>
        <ns0:v>1</ns0:v>
      </ns0:c>
    </ns0:row>
    <ns0:row r="218">
      <ns0:c r="A218" t="inlineStr">
        <ns0:is>
          <ns0:t>case_0217</ns0:t>
        </ns0:is>
      </ns0:c>
      <ns0:c r="B218" t="inlineStr">
        <ns0:is>
          <ns0:t>function_0039</ns0:t>
        </ns0:is>
      </ns0:c>
      <ns0:c r="C218" t="inlineStr">
        <ns0:is>
          <ns0:t>run_003</ns0:t>
        </ns0:is>
      </ns0:c>
      <ns0:c r="D218" t="inlineStr">
        <ns0:is>
          <ns0:t>humantime</ns0:t>
        </ns0:is>
      </ns0:c>
      <ns0:c r="E218" t="inlineStr">
        <ns0:is>
          <ns0:t>gemini-2.5-flash-nothinking</ns0:t>
        </ns0:is>
      </ns0:c>
      <ns0:c r="F218" t="inlineStr">
        <ns0:is>
          <ns0:t>E0433</ns0:t>
        </ns0:is>
      </ns0:c>
      <ns0:c r="G218" t="n">
        <ns0:v>1</ns0:v>
      </ns0:c>
      <ns0:c r="H218" t="n">
        <ns0:v>0</ns0:v>
      </ns0:c>
      <ns0:c r="I218" t="n">
        <ns0:v>0</ns0:v>
      </ns0:c>
      <ns0:c r="J218" t="n">
        <ns0:v>0</ns0:v>
      </ns0:c>
      <ns0:c r="K218" t="n">
        <ns0:v>0</ns0:v>
      </ns0:c>
      <ns0:c r="L218" t="n">
        <ns0:v>1</ns0:v>
      </ns0:c>
      <ns0:c r="M218" t="n">
        <ns0:v>33012</ns0:v>
      </ns0:c>
      <ns0:c r="N218" t="n">
        <ns0:v>276</ns0:v>
      </ns0:c>
      <ns0:c r="O218" t="n">
        <ns0:v>33288</ns0:v>
      </ns0:c>
      <ns0:c r="P218" t="n">
        <ns0:v>4</ns0:v>
      </ns0:c>
      <ns0:c r="Q218">
        <ns0:f>IF(AND(L218=1,O218*Calculations!$B$2&lt;=Calculations!$B$10*Calculations!$B$4),1,0)</ns0:f>
        <ns0:v>0</ns0:v>
      </ns0:c>
      <ns0:c r="R218">
        <ns0:f>IF(AND(L218=1,O218*Calculations!$B$2&lt;=Calculations!$B$11*Calculations!$B$4),1,0)</ns0:f>
        <ns0:v>1</ns0:v>
      </ns0:c>
    </ns0:row>
    <ns0:row r="219">
      <ns0:c r="A219" t="inlineStr">
        <ns0:is>
          <ns0:t>case_0218</ns0:t>
        </ns0:is>
      </ns0:c>
      <ns0:c r="B219" t="inlineStr">
        <ns0:is>
          <ns0:t>function_0039</ns0:t>
        </ns0:is>
      </ns0:c>
      <ns0:c r="C219" t="inlineStr">
        <ns0:is>
          <ns0:t>run_003</ns0:t>
        </ns0:is>
      </ns0:c>
      <ns0:c r="D219" t="inlineStr">
        <ns0:is>
          <ns0:t>humantime</ns0:t>
        </ns0:is>
      </ns0:c>
      <ns0:c r="E219" t="inlineStr">
        <ns0:is>
          <ns0:t>gemini-2.5-flash-nothinking</ns0:t>
        </ns0:is>
      </ns0:c>
      <ns0:c r="F219" t="inlineStr">
        <ns0:is>
          <ns0:t>E0433</ns0:t>
        </ns0:is>
      </ns0:c>
      <ns0:c r="G219" t="n">
        <ns0:v>1</ns0:v>
      </ns0:c>
      <ns0:c r="H219" t="n">
        <ns0:v>0</ns0:v>
      </ns0:c>
      <ns0:c r="I219" t="n">
        <ns0:v>0</ns0:v>
      </ns0:c>
      <ns0:c r="J219" t="n">
        <ns0:v>0</ns0:v>
      </ns0:c>
      <ns0:c r="K219" t="n">
        <ns0:v>0</ns0:v>
      </ns0:c>
      <ns0:c r="L219" t="n">
        <ns0:v>1</ns0:v>
      </ns0:c>
      <ns0:c r="M219" t="n">
        <ns0:v>35618</ns0:v>
      </ns0:c>
      <ns0:c r="N219" t="n">
        <ns0:v>327</ns0:v>
      </ns0:c>
      <ns0:c r="O219" t="n">
        <ns0:v>35945</ns0:v>
      </ns0:c>
      <ns0:c r="P219" t="n">
        <ns0:v>4</ns0:v>
      </ns0:c>
      <ns0:c r="Q219">
        <ns0:f>IF(AND(L219=1,O219*Calculations!$B$2&lt;=Calculations!$B$10*Calculations!$B$4),1,0)</ns0:f>
        <ns0:v>0</ns0:v>
      </ns0:c>
      <ns0:c r="R219">
        <ns0:f>IF(AND(L219=1,O219*Calculations!$B$2&lt;=Calculations!$B$11*Calculations!$B$4),1,0)</ns0:f>
        <ns0:v>1</ns0:v>
      </ns0:c>
    </ns0:row>
    <ns0:row r="220">
      <ns0:c r="A220" t="inlineStr">
        <ns0:is>
          <ns0:t>case_0219</ns0:t>
        </ns0:is>
      </ns0:c>
      <ns0:c r="B220" t="inlineStr">
        <ns0:is>
          <ns0:t>function_0040</ns0:t>
        </ns0:is>
      </ns0:c>
      <ns0:c r="C220" t="inlineStr">
        <ns0:is>
          <ns0:t>run_003</ns0:t>
        </ns0:is>
      </ns0:c>
      <ns0:c r="D220" t="inlineStr">
        <ns0:is>
          <ns0:t>humantime</ns0:t>
        </ns0:is>
      </ns0:c>
      <ns0:c r="E220" t="inlineStr">
        <ns0:is>
          <ns0:t>gemini-2.5-flash-nothinking</ns0:t>
        </ns0:is>
      </ns0:c>
      <ns0:c r="F220" t="inlineStr">
        <ns0:is>
          <ns0:t>E0433</ns0:t>
        </ns0:is>
      </ns0:c>
      <ns0:c r="G220" t="n">
        <ns0:v>1</ns0:v>
      </ns0:c>
      <ns0:c r="H220" t="n">
        <ns0:v>0</ns0:v>
      </ns0:c>
      <ns0:c r="I220" t="n">
        <ns0:v>0</ns0:v>
      </ns0:c>
      <ns0:c r="J220" t="n">
        <ns0:v>0</ns0:v>
      </ns0:c>
      <ns0:c r="K220" t="n">
        <ns0:v>0</ns0:v>
      </ns0:c>
      <ns0:c r="L220" t="n">
        <ns0:v>1</ns0:v>
      </ns0:c>
      <ns0:c r="M220" t="n">
        <ns0:v>20451</ns0:v>
      </ns0:c>
      <ns0:c r="N220" t="n">
        <ns0:v>438</ns0:v>
      </ns0:c>
      <ns0:c r="O220" t="n">
        <ns0:v>20889</ns0:v>
      </ns0:c>
      <ns0:c r="P220" t="n">
        <ns0:v>3</ns0:v>
      </ns0:c>
      <ns0:c r="Q220">
        <ns0:f>IF(AND(L220=1,O220*Calculations!$B$2&lt;=Calculations!$B$10*Calculations!$B$4),1,0)</ns0:f>
        <ns0:v>1</ns0:v>
      </ns0:c>
      <ns0:c r="R220">
        <ns0:f>IF(AND(L220=1,O220*Calculations!$B$2&lt;=Calculations!$B$11*Calculations!$B$4),1,0)</ns0:f>
        <ns0:v>1</ns0:v>
      </ns0:c>
    </ns0:row>
    <ns0:row r="221">
      <ns0:c r="A221" t="inlineStr">
        <ns0:is>
          <ns0:t>case_0220</ns0:t>
        </ns0:is>
      </ns0:c>
      <ns0:c r="B221" t="inlineStr">
        <ns0:is>
          <ns0:t>function_0040</ns0:t>
        </ns0:is>
      </ns0:c>
      <ns0:c r="C221" t="inlineStr">
        <ns0:is>
          <ns0:t>run_003</ns0:t>
        </ns0:is>
      </ns0:c>
      <ns0:c r="D221" t="inlineStr">
        <ns0:is>
          <ns0:t>humantime</ns0:t>
        </ns0:is>
      </ns0:c>
      <ns0:c r="E221" t="inlineStr">
        <ns0:is>
          <ns0:t>gemini-2.5-flash-nothinking</ns0:t>
        </ns0:is>
      </ns0:c>
      <ns0:c r="F221" t="inlineStr">
        <ns0:is>
          <ns0:t>E0433</ns0:t>
        </ns0:is>
      </ns0:c>
      <ns0:c r="G221" t="n">
        <ns0:v>1</ns0:v>
      </ns0:c>
      <ns0:c r="H221" t="n">
        <ns0:v>0</ns0:v>
      </ns0:c>
      <ns0:c r="I221" t="n">
        <ns0:v>0</ns0:v>
      </ns0:c>
      <ns0:c r="J221" t="n">
        <ns0:v>0</ns0:v>
      </ns0:c>
      <ns0:c r="K221" t="n">
        <ns0:v>0</ns0:v>
      </ns0:c>
      <ns0:c r="L221" t="n">
        <ns0:v>1</ns0:v>
      </ns0:c>
      <ns0:c r="M221" t="n">
        <ns0:v>20445</ns0:v>
      </ns0:c>
      <ns0:c r="N221" t="n">
        <ns0:v>251</ns0:v>
      </ns0:c>
      <ns0:c r="O221" t="n">
        <ns0:v>20696</ns0:v>
      </ns0:c>
      <ns0:c r="P221" t="n">
        <ns0:v>3</ns0:v>
      </ns0:c>
      <ns0:c r="Q221">
        <ns0:f>IF(AND(L221=1,O221*Calculations!$B$2&lt;=Calculations!$B$10*Calculations!$B$4),1,0)</ns0:f>
        <ns0:v>1</ns0:v>
      </ns0:c>
      <ns0:c r="R221">
        <ns0:f>IF(AND(L221=1,O221*Calculations!$B$2&lt;=Calculations!$B$11*Calculations!$B$4),1,0)</ns0:f>
        <ns0:v>1</ns0:v>
      </ns0:c>
    </ns0:row>
    <ns0:row r="222">
      <ns0:c r="A222" t="inlineStr">
        <ns0:is>
          <ns0:t>case_0221</ns0:t>
        </ns0:is>
      </ns0:c>
      <ns0:c r="B222" t="inlineStr">
        <ns0:is>
          <ns0:t>function_0041</ns0:t>
        </ns0:is>
      </ns0:c>
      <ns0:c r="C222" t="inlineStr">
        <ns0:is>
          <ns0:t>run_003</ns0:t>
        </ns0:is>
      </ns0:c>
      <ns0:c r="D222" t="inlineStr">
        <ns0:is>
          <ns0:t>humantime</ns0:t>
        </ns0:is>
      </ns0:c>
      <ns0:c r="E222" t="inlineStr">
        <ns0:is>
          <ns0:t>gemini-2.5-flash-nothinking</ns0:t>
        </ns0:is>
      </ns0:c>
      <ns0:c r="F222" t="inlineStr">
        <ns0:is>
          <ns0:t>E0433</ns0:t>
        </ns0:is>
      </ns0:c>
      <ns0:c r="G222" t="n">
        <ns0:v>1</ns0:v>
      </ns0:c>
      <ns0:c r="H222" t="n">
        <ns0:v>659</ns0:v>
      </ns0:c>
      <ns0:c r="I222" t="n">
        <ns0:v>66</ns0:v>
      </ns0:c>
      <ns0:c r="J222" t="n">
        <ns0:v>725</ns0:v>
      </ns0:c>
      <ns0:c r="K222" t="n">
        <ns0:v>1</ns0:v>
      </ns0:c>
      <ns0:c r="L222" t="n">
        <ns0:v>1</ns0:v>
      </ns0:c>
      <ns0:c r="M222" t="n">
        <ns0:v>60968</ns0:v>
      </ns0:c>
      <ns0:c r="N222" t="n">
        <ns0:v>508</ns0:v>
      </ns0:c>
      <ns0:c r="O222" t="n">
        <ns0:v>61476</ns0:v>
      </ns0:c>
      <ns0:c r="P222" t="n">
        <ns0:v>4</ns0:v>
      </ns0:c>
      <ns0:c r="Q222">
        <ns0:f>IF(AND(L222=1,O222*Calculations!$B$2&lt;=Calculations!$B$10*Calculations!$B$4),1,0)</ns0:f>
        <ns0:v>0</ns0:v>
      </ns0:c>
      <ns0:c r="R222">
        <ns0:f>IF(AND(L222=1,O222*Calculations!$B$2&lt;=Calculations!$B$11*Calculations!$B$4),1,0)</ns0:f>
        <ns0:v>0</ns0:v>
      </ns0:c>
    </ns0:row>
    <ns0:row r="223">
      <ns0:c r="A223" t="inlineStr">
        <ns0:is>
          <ns0:t>case_0222</ns0:t>
        </ns0:is>
      </ns0:c>
      <ns0:c r="B223" t="inlineStr">
        <ns0:is>
          <ns0:t>function_0041</ns0:t>
        </ns0:is>
      </ns0:c>
      <ns0:c r="C223" t="inlineStr">
        <ns0:is>
          <ns0:t>run_003</ns0:t>
        </ns0:is>
      </ns0:c>
      <ns0:c r="D223" t="inlineStr">
        <ns0:is>
          <ns0:t>humantime</ns0:t>
        </ns0:is>
      </ns0:c>
      <ns0:c r="E223" t="inlineStr">
        <ns0:is>
          <ns0:t>gemini-2.5-flash-nothinking</ns0:t>
        </ns0:is>
      </ns0:c>
      <ns0:c r="F223" t="inlineStr">
        <ns0:is>
          <ns0:t>E0433</ns0:t>
        </ns0:is>
      </ns0:c>
      <ns0:c r="G223" t="n">
        <ns0:v>1</ns0:v>
      </ns0:c>
      <ns0:c r="H223" t="n">
        <ns0:v>659</ns0:v>
      </ns0:c>
      <ns0:c r="I223" t="n">
        <ns0:v>66</ns0:v>
      </ns0:c>
      <ns0:c r="J223" t="n">
        <ns0:v>725</ns0:v>
      </ns0:c>
      <ns0:c r="K223" t="n">
        <ns0:v>1</ns0:v>
      </ns0:c>
      <ns0:c r="L223" t="n">
        <ns0:v>1</ns0:v>
      </ns0:c>
      <ns0:c r="M223" t="n">
        <ns0:v>60065</ns0:v>
      </ns0:c>
      <ns0:c r="N223" t="n">
        <ns0:v>994</ns0:v>
      </ns0:c>
      <ns0:c r="O223" t="n">
        <ns0:v>61059</ns0:v>
      </ns0:c>
      <ns0:c r="P223" t="n">
        <ns0:v>8</ns0:v>
      </ns0:c>
      <ns0:c r="Q223">
        <ns0:f>IF(AND(L223=1,O223*Calculations!$B$2&lt;=Calculations!$B$10*Calculations!$B$4),1,0)</ns0:f>
        <ns0:v>0</ns0:v>
      </ns0:c>
      <ns0:c r="R223">
        <ns0:f>IF(AND(L223=1,O223*Calculations!$B$2&lt;=Calculations!$B$11*Calculations!$B$4),1,0)</ns0:f>
        <ns0:v>0</ns0:v>
      </ns0:c>
    </ns0:row>
    <ns0:row r="224">
      <ns0:c r="A224" t="inlineStr">
        <ns0:is>
          <ns0:t>case_0223</ns0:t>
        </ns0:is>
      </ns0:c>
      <ns0:c r="B224" t="inlineStr">
        <ns0:is>
          <ns0:t>function_0041</ns0:t>
        </ns0:is>
      </ns0:c>
      <ns0:c r="C224" t="inlineStr">
        <ns0:is>
          <ns0:t>run_003</ns0:t>
        </ns0:is>
      </ns0:c>
      <ns0:c r="D224" t="inlineStr">
        <ns0:is>
          <ns0:t>humantime</ns0:t>
        </ns0:is>
      </ns0:c>
      <ns0:c r="E224" t="inlineStr">
        <ns0:is>
          <ns0:t>gemini-2.5-flash-nothinking</ns0:t>
        </ns0:is>
      </ns0:c>
      <ns0:c r="F224" t="inlineStr">
        <ns0:is>
          <ns0:t>E0433</ns0:t>
        </ns0:is>
      </ns0:c>
      <ns0:c r="G224" t="n">
        <ns0:v>1</ns0:v>
      </ns0:c>
      <ns0:c r="H224" t="n">
        <ns0:v>660</ns0:v>
      </ns0:c>
      <ns0:c r="I224" t="n">
        <ns0:v>120</ns0:v>
      </ns0:c>
      <ns0:c r="J224" t="n">
        <ns0:v>780</ns0:v>
      </ns0:c>
      <ns0:c r="K224" t="n">
        <ns0:v>1</ns0:v>
      </ns0:c>
      <ns0:c r="L224" t="n">
        <ns0:v>1</ns0:v>
      </ns0:c>
      <ns0:c r="M224" t="n">
        <ns0:v>146487</ns0:v>
      </ns0:c>
      <ns0:c r="N224" t="n">
        <ns0:v>2733</ns0:v>
      </ns0:c>
      <ns0:c r="O224" t="n">
        <ns0:v>149220</ns0:v>
      </ns0:c>
      <ns0:c r="P224" t="n">
        <ns0:v>17</ns0:v>
      </ns0:c>
      <ns0:c r="Q224">
        <ns0:f>IF(AND(L224=1,O224*Calculations!$B$2&lt;=Calculations!$B$10*Calculations!$B$4),1,0)</ns0:f>
        <ns0:v>0</ns0:v>
      </ns0:c>
      <ns0:c r="R224">
        <ns0:f>IF(AND(L224=1,O224*Calculations!$B$2&lt;=Calculations!$B$11*Calculations!$B$4),1,0)</ns0:f>
        <ns0:v>0</ns0:v>
      </ns0:c>
    </ns0:row>
    <ns0:row r="225">
      <ns0:c r="A225" t="inlineStr">
        <ns0:is>
          <ns0:t>case_0224</ns0:t>
        </ns0:is>
      </ns0:c>
      <ns0:c r="B225" t="inlineStr">
        <ns0:is>
          <ns0:t>function_0041</ns0:t>
        </ns0:is>
      </ns0:c>
      <ns0:c r="C225" t="inlineStr">
        <ns0:is>
          <ns0:t>run_003</ns0:t>
        </ns0:is>
      </ns0:c>
      <ns0:c r="D225" t="inlineStr">
        <ns0:is>
          <ns0:t>humantime</ns0:t>
        </ns0:is>
      </ns0:c>
      <ns0:c r="E225" t="inlineStr">
        <ns0:is>
          <ns0:t>gemini-2.5-flash-nothinking</ns0:t>
        </ns0:is>
      </ns0:c>
      <ns0:c r="F225" t="inlineStr">
        <ns0:is>
          <ns0:t>E0433</ns0:t>
        </ns0:is>
      </ns0:c>
      <ns0:c r="G225" t="n">
        <ns0:v>1</ns0:v>
      </ns0:c>
      <ns0:c r="H225" t="n">
        <ns0:v>681</ns0:v>
      </ns0:c>
      <ns0:c r="I225" t="n">
        <ns0:v>64</ns0:v>
      </ns0:c>
      <ns0:c r="J225" t="n">
        <ns0:v>745</ns0:v>
      </ns0:c>
      <ns0:c r="K225" t="n">
        <ns0:v>1</ns0:v>
      </ns0:c>
      <ns0:c r="L225" t="n">
        <ns0:v>0</ns0:v>
      </ns0:c>
      <ns0:c r="M225" t="n">
        <ns0:v>185679</ns0:v>
      </ns0:c>
      <ns0:c r="N225" t="n">
        <ns0:v>1751</ns0:v>
      </ns0:c>
      <ns0:c r="O225" t="n">
        <ns0:v>187430</ns0:v>
      </ns0:c>
      <ns0:c r="P225" t="n">
        <ns0:v>20</ns0:v>
      </ns0:c>
      <ns0:c r="Q225">
        <ns0:f>IF(AND(L225=1,O225*Calculations!$B$2&lt;=Calculations!$B$10*Calculations!$B$4),1,0)</ns0:f>
        <ns0:v>0</ns0:v>
      </ns0:c>
      <ns0:c r="R225">
        <ns0:f>IF(AND(L225=1,O225*Calculations!$B$2&lt;=Calculations!$B$11*Calculations!$B$4),1,0)</ns0:f>
        <ns0:v>0</ns0:v>
      </ns0:c>
    </ns0:row>
    <ns0:row r="226">
      <ns0:c r="A226" t="inlineStr">
        <ns0:is>
          <ns0:t>case_0225</ns0:t>
        </ns0:is>
      </ns0:c>
      <ns0:c r="B226" t="inlineStr">
        <ns0:is>
          <ns0:t>function_0041</ns0:t>
        </ns0:is>
      </ns0:c>
      <ns0:c r="C226" t="inlineStr">
        <ns0:is>
          <ns0:t>run_003</ns0:t>
        </ns0:is>
      </ns0:c>
      <ns0:c r="D226" t="inlineStr">
        <ns0:is>
          <ns0:t>humantime</ns0:t>
        </ns0:is>
      </ns0:c>
      <ns0:c r="E226" t="inlineStr">
        <ns0:is>
          <ns0:t>gemini-2.5-flash-nothinking</ns0:t>
        </ns0:is>
      </ns0:c>
      <ns0:c r="F226" t="inlineStr">
        <ns0:is>
          <ns0:t>E0433</ns0:t>
        </ns0:is>
      </ns0:c>
      <ns0:c r="G226" t="n">
        <ns0:v>1</ns0:v>
      </ns0:c>
      <ns0:c r="H226" t="n">
        <ns0:v>681</ns0:v>
      </ns0:c>
      <ns0:c r="I226" t="n">
        <ns0:v>64</ns0:v>
      </ns0:c>
      <ns0:c r="J226" t="n">
        <ns0:v>745</ns0:v>
      </ns0:c>
      <ns0:c r="K226" t="n">
        <ns0:v>1</ns0:v>
      </ns0:c>
      <ns0:c r="L226" t="n">
        <ns0:v>1</ns0:v>
      </ns0:c>
      <ns0:c r="M226" t="n">
        <ns0:v>61134</ns0:v>
      </ns0:c>
      <ns0:c r="N226" t="n">
        <ns0:v>873</ns0:v>
      </ns0:c>
      <ns0:c r="O226" t="n">
        <ns0:v>62007</ns0:v>
      </ns0:c>
      <ns0:c r="P226" t="n">
        <ns0:v>4</ns0:v>
      </ns0:c>
      <ns0:c r="Q226">
        <ns0:f>IF(AND(L226=1,O226*Calculations!$B$2&lt;=Calculations!$B$10*Calculations!$B$4),1,0)</ns0:f>
        <ns0:v>0</ns0:v>
      </ns0:c>
      <ns0:c r="R226">
        <ns0:f>IF(AND(L226=1,O226*Calculations!$B$2&lt;=Calculations!$B$11*Calculations!$B$4),1,0)</ns0:f>
        <ns0:v>0</ns0:v>
      </ns0:c>
    </ns0:row>
    <ns0:row r="227">
      <ns0:c r="A227" t="inlineStr">
        <ns0:is>
          <ns0:t>case_0226</ns0:t>
        </ns0:is>
      </ns0:c>
      <ns0:c r="B227" t="inlineStr">
        <ns0:is>
          <ns0:t>function_0041</ns0:t>
        </ns0:is>
      </ns0:c>
      <ns0:c r="C227" t="inlineStr">
        <ns0:is>
          <ns0:t>run_003</ns0:t>
        </ns0:is>
      </ns0:c>
      <ns0:c r="D227" t="inlineStr">
        <ns0:is>
          <ns0:t>humantime</ns0:t>
        </ns0:is>
      </ns0:c>
      <ns0:c r="E227" t="inlineStr">
        <ns0:is>
          <ns0:t>gemini-2.5-flash-nothinking</ns0:t>
        </ns0:is>
      </ns0:c>
      <ns0:c r="F227" t="inlineStr">
        <ns0:is>
          <ns0:t>E0433</ns0:t>
        </ns0:is>
      </ns0:c>
      <ns0:c r="G227" t="n">
        <ns0:v>1</ns0:v>
      </ns0:c>
      <ns0:c r="H227" t="n">
        <ns0:v>681</ns0:v>
      </ns0:c>
      <ns0:c r="I227" t="n">
        <ns0:v>64</ns0:v>
      </ns0:c>
      <ns0:c r="J227" t="n">
        <ns0:v>745</ns0:v>
      </ns0:c>
      <ns0:c r="K227" t="n">
        <ns0:v>1</ns0:v>
      </ns0:c>
      <ns0:c r="L227" t="n">
        <ns0:v>1</ns0:v>
      </ns0:c>
      <ns0:c r="M227" t="n">
        <ns0:v>61130</ns0:v>
      </ns0:c>
      <ns0:c r="N227" t="n">
        <ns0:v>404</ns0:v>
      </ns0:c>
      <ns0:c r="O227" t="n">
        <ns0:v>61534</ns0:v>
      </ns0:c>
      <ns0:c r="P227" t="n">
        <ns0:v>4</ns0:v>
      </ns0:c>
      <ns0:c r="Q227">
        <ns0:f>IF(AND(L227=1,O227*Calculations!$B$2&lt;=Calculations!$B$10*Calculations!$B$4),1,0)</ns0:f>
        <ns0:v>0</ns0:v>
      </ns0:c>
      <ns0:c r="R227">
        <ns0:f>IF(AND(L227=1,O227*Calculations!$B$2&lt;=Calculations!$B$11*Calculations!$B$4),1,0)</ns0:f>
        <ns0:v>0</ns0:v>
      </ns0:c>
    </ns0:row>
    <ns0:row r="228">
      <ns0:c r="A228" t="inlineStr">
        <ns0:is>
          <ns0:t>case_0227</ns0:t>
        </ns0:is>
      </ns0:c>
      <ns0:c r="B228" t="inlineStr">
        <ns0:is>
          <ns0:t>function_0042</ns0:t>
        </ns0:is>
      </ns0:c>
      <ns0:c r="C228" t="inlineStr">
        <ns0:is>
          <ns0:t>run_003</ns0:t>
        </ns0:is>
      </ns0:c>
      <ns0:c r="D228" t="inlineStr">
        <ns0:is>
          <ns0:t>humantime</ns0:t>
        </ns0:is>
      </ns0:c>
      <ns0:c r="E228" t="inlineStr">
        <ns0:is>
          <ns0:t>gemini-2.5-flash-nothinking</ns0:t>
        </ns0:is>
      </ns0:c>
      <ns0:c r="F228" t="inlineStr">
        <ns0:is>
          <ns0:t>E0433</ns0:t>
        </ns0:is>
      </ns0:c>
      <ns0:c r="G228" t="n">
        <ns0:v>1</ns0:v>
      </ns0:c>
      <ns0:c r="H228" t="n">
        <ns0:v>0</ns0:v>
      </ns0:c>
      <ns0:c r="I228" t="n">
        <ns0:v>0</ns0:v>
      </ns0:c>
      <ns0:c r="J228" t="n">
        <ns0:v>0</ns0:v>
      </ns0:c>
      <ns0:c r="K228" t="n">
        <ns0:v>0</ns0:v>
      </ns0:c>
      <ns0:c r="L228" t="n">
        <ns0:v>1</ns0:v>
      </ns0:c>
      <ns0:c r="M228" t="n">
        <ns0:v>20536</ns0:v>
      </ns0:c>
      <ns0:c r="N228" t="n">
        <ns0:v>179</ns0:v>
      </ns0:c>
      <ns0:c r="O228" t="n">
        <ns0:v>20715</ns0:v>
      </ns0:c>
      <ns0:c r="P228" t="n">
        <ns0:v>3</ns0:v>
      </ns0:c>
      <ns0:c r="Q228">
        <ns0:f>IF(AND(L228=1,O228*Calculations!$B$2&lt;=Calculations!$B$10*Calculations!$B$4),1,0)</ns0:f>
        <ns0:v>1</ns0:v>
      </ns0:c>
      <ns0:c r="R228">
        <ns0:f>IF(AND(L228=1,O228*Calculations!$B$2&lt;=Calculations!$B$11*Calculations!$B$4),1,0)</ns0:f>
        <ns0:v>1</ns0:v>
      </ns0:c>
    </ns0:row>
    <ns0:row r="229">
      <ns0:c r="A229" t="inlineStr">
        <ns0:is>
          <ns0:t>case_0228</ns0:t>
        </ns0:is>
      </ns0:c>
      <ns0:c r="B229" t="inlineStr">
        <ns0:is>
          <ns0:t>function_0042</ns0:t>
        </ns0:is>
      </ns0:c>
      <ns0:c r="C229" t="inlineStr">
        <ns0:is>
          <ns0:t>run_003</ns0:t>
        </ns0:is>
      </ns0:c>
      <ns0:c r="D229" t="inlineStr">
        <ns0:is>
          <ns0:t>humantime</ns0:t>
        </ns0:is>
      </ns0:c>
      <ns0:c r="E229" t="inlineStr">
        <ns0:is>
          <ns0:t>gemini-2.5-flash-nothinking</ns0:t>
        </ns0:is>
      </ns0:c>
      <ns0:c r="F229" t="inlineStr">
        <ns0:is>
          <ns0:t>E0433</ns0:t>
        </ns0:is>
      </ns0:c>
      <ns0:c r="G229" t="n">
        <ns0:v>1</ns0:v>
      </ns0:c>
      <ns0:c r="H229" t="n">
        <ns0:v>0</ns0:v>
      </ns0:c>
      <ns0:c r="I229" t="n">
        <ns0:v>0</ns0:v>
      </ns0:c>
      <ns0:c r="J229" t="n">
        <ns0:v>0</ns0:v>
      </ns0:c>
      <ns0:c r="K229" t="n">
        <ns0:v>0</ns0:v>
      </ns0:c>
      <ns0:c r="L229" t="n">
        <ns0:v>1</ns0:v>
      </ns0:c>
      <ns0:c r="M229" t="n">
        <ns0:v>20568</ns0:v>
      </ns0:c>
      <ns0:c r="N229" t="n">
        <ns0:v>331</ns0:v>
      </ns0:c>
      <ns0:c r="O229" t="n">
        <ns0:v>20899</ns0:v>
      </ns0:c>
      <ns0:c r="P229" t="n">
        <ns0:v>3</ns0:v>
      </ns0:c>
      <ns0:c r="Q229">
        <ns0:f>IF(AND(L229=1,O229*Calculations!$B$2&lt;=Calculations!$B$10*Calculations!$B$4),1,0)</ns0:f>
        <ns0:v>1</ns0:v>
      </ns0:c>
      <ns0:c r="R229">
        <ns0:f>IF(AND(L229=1,O229*Calculations!$B$2&lt;=Calculations!$B$11*Calculations!$B$4),1,0)</ns0:f>
        <ns0:v>1</ns0:v>
      </ns0:c>
    </ns0:row>
    <ns0:row r="230">
      <ns0:c r="A230" t="inlineStr">
        <ns0:is>
          <ns0:t>case_0229</ns0:t>
        </ns0:is>
      </ns0:c>
      <ns0:c r="B230" t="inlineStr">
        <ns0:is>
          <ns0:t>function_0043</ns0:t>
        </ns0:is>
      </ns0:c>
      <ns0:c r="C230" t="inlineStr">
        <ns0:is>
          <ns0:t>run_003</ns0:t>
        </ns0:is>
      </ns0:c>
      <ns0:c r="D230" t="inlineStr">
        <ns0:is>
          <ns0:t>humantime</ns0:t>
        </ns0:is>
      </ns0:c>
      <ns0:c r="E230" t="inlineStr">
        <ns0:is>
          <ns0:t>gemini-2.5-flash-nothinking</ns0:t>
        </ns0:is>
      </ns0:c>
      <ns0:c r="F230" t="inlineStr">
        <ns0:is>
          <ns0:t>E0433</ns0:t>
        </ns0:is>
      </ns0:c>
      <ns0:c r="G230" t="n">
        <ns0:v>0</ns0:v>
      </ns0:c>
      <ns0:c r="H230" t="n">
        <ns0:v>3695</ns0:v>
      </ns0:c>
      <ns0:c r="I230" t="n">
        <ns0:v>174</ns0:v>
      </ns0:c>
      <ns0:c r="J230" t="n">
        <ns0:v>3869</ns0:v>
      </ns0:c>
      <ns0:c r="K230" t="n">
        <ns0:v>3</ns0:v>
      </ns0:c>
      <ns0:c r="L230" t="n">
        <ns0:v>1</ns0:v>
      </ns0:c>
      <ns0:c r="M230" t="n">
        <ns0:v>79808</ns0:v>
      </ns0:c>
      <ns0:c r="N230" t="n">
        <ns0:v>937</ns0:v>
      </ns0:c>
      <ns0:c r="O230" t="n">
        <ns0:v>80745</ns0:v>
      </ns0:c>
      <ns0:c r="P230" t="n">
        <ns0:v>6</ns0:v>
      </ns0:c>
      <ns0:c r="Q230">
        <ns0:f>IF(AND(L230=1,O230*Calculations!$B$2&lt;=Calculations!$B$10*Calculations!$B$4),1,0)</ns0:f>
        <ns0:v>0</ns0:v>
      </ns0:c>
      <ns0:c r="R230">
        <ns0:f>IF(AND(L230=1,O230*Calculations!$B$2&lt;=Calculations!$B$11*Calculations!$B$4),1,0)</ns0:f>
        <ns0:v>0</ns0:v>
      </ns0:c>
    </ns0:row>
    <ns0:row r="231">
      <ns0:c r="A231" t="inlineStr">
        <ns0:is>
          <ns0:t>case_0230</ns0:t>
        </ns0:is>
      </ns0:c>
      <ns0:c r="B231" t="inlineStr">
        <ns0:is>
          <ns0:t>function_0043</ns0:t>
        </ns0:is>
      </ns0:c>
      <ns0:c r="C231" t="inlineStr">
        <ns0:is>
          <ns0:t>run_003</ns0:t>
        </ns0:is>
      </ns0:c>
      <ns0:c r="D231" t="inlineStr">
        <ns0:is>
          <ns0:t>humantime</ns0:t>
        </ns0:is>
      </ns0:c>
      <ns0:c r="E231" t="inlineStr">
        <ns0:is>
          <ns0:t>gemini-2.5-flash-nothinking</ns0:t>
        </ns0:is>
      </ns0:c>
      <ns0:c r="F231" t="inlineStr">
        <ns0:is>
          <ns0:t>E0433</ns0:t>
        </ns0:is>
      </ns0:c>
      <ns0:c r="G231" t="n">
        <ns0:v>1</ns0:v>
      </ns0:c>
      <ns0:c r="H231" t="n">
        <ns0:v>2203</ns0:v>
      </ns0:c>
      <ns0:c r="I231" t="n">
        <ns0:v>90</ns0:v>
      </ns0:c>
      <ns0:c r="J231" t="n">
        <ns0:v>2293</ns0:v>
      </ns0:c>
      <ns0:c r="K231" t="n">
        <ns0:v>1</ns0:v>
      </ns0:c>
      <ns0:c r="L231" t="n">
        <ns0:v>0</ns0:v>
      </ns0:c>
      <ns0:c r="M231" t="n">
        <ns0:v>165489</ns0:v>
      </ns0:c>
      <ns0:c r="N231" t="n">
        <ns0:v>1652</ns0:v>
      </ns0:c>
      <ns0:c r="O231" t="n">
        <ns0:v>167141</ns0:v>
      </ns0:c>
      <ns0:c r="P231" t="n">
        <ns0:v>20</ns0:v>
      </ns0:c>
      <ns0:c r="Q231">
        <ns0:f>IF(AND(L231=1,O231*Calculations!$B$2&lt;=Calculations!$B$10*Calculations!$B$4),1,0)</ns0:f>
        <ns0:v>0</ns0:v>
      </ns0:c>
      <ns0:c r="R231">
        <ns0:f>IF(AND(L231=1,O231*Calculations!$B$2&lt;=Calculations!$B$11*Calculations!$B$4),1,0)</ns0:f>
        <ns0:v>0</ns0:v>
      </ns0:c>
    </ns0:row>
    <ns0:row r="232">
      <ns0:c r="A232" t="inlineStr">
        <ns0:is>
          <ns0:t>case_0231</ns0:t>
        </ns0:is>
      </ns0:c>
      <ns0:c r="B232" t="inlineStr">
        <ns0:is>
          <ns0:t>function_0043</ns0:t>
        </ns0:is>
      </ns0:c>
      <ns0:c r="C232" t="inlineStr">
        <ns0:is>
          <ns0:t>run_003</ns0:t>
        </ns0:is>
      </ns0:c>
      <ns0:c r="D232" t="inlineStr">
        <ns0:is>
          <ns0:t>humantime</ns0:t>
        </ns0:is>
      </ns0:c>
      <ns0:c r="E232" t="inlineStr">
        <ns0:is>
          <ns0:t>gemini-2.5-flash-nothinking</ns0:t>
        </ns0:is>
      </ns0:c>
      <ns0:c r="F232" t="inlineStr">
        <ns0:is>
          <ns0:t>E0433</ns0:t>
        </ns0:is>
      </ns0:c>
      <ns0:c r="G232" t="n">
        <ns0:v>0</ns0:v>
      </ns0:c>
      <ns0:c r="H232" t="n">
        <ns0:v>3671</ns0:v>
      </ns0:c>
      <ns0:c r="I232" t="n">
        <ns0:v>174</ns0:v>
      </ns0:c>
      <ns0:c r="J232" t="n">
        <ns0:v>3845</ns0:v>
      </ns0:c>
      <ns0:c r="K232" t="n">
        <ns0:v>3</ns0:v>
      </ns0:c>
      <ns0:c r="L232" t="n">
        <ns0:v>1</ns0:v>
      </ns0:c>
      <ns0:c r="M232" t="n">
        <ns0:v>79519</ns0:v>
      </ns0:c>
      <ns0:c r="N232" t="n">
        <ns0:v>614</ns0:v>
      </ns0:c>
      <ns0:c r="O232" t="n">
        <ns0:v>80133</ns0:v>
      </ns0:c>
      <ns0:c r="P232" t="n">
        <ns0:v>6</ns0:v>
      </ns0:c>
      <ns0:c r="Q232">
        <ns0:f>IF(AND(L232=1,O232*Calculations!$B$2&lt;=Calculations!$B$10*Calculations!$B$4),1,0)</ns0:f>
        <ns0:v>0</ns0:v>
      </ns0:c>
      <ns0:c r="R232">
        <ns0:f>IF(AND(L232=1,O232*Calculations!$B$2&lt;=Calculations!$B$11*Calculations!$B$4),1,0)</ns0:f>
        <ns0:v>0</ns0:v>
      </ns0:c>
    </ns0:row>
    <ns0:row r="233">
      <ns0:c r="A233" t="inlineStr">
        <ns0:is>
          <ns0:t>case_0232</ns0:t>
        </ns0:is>
      </ns0:c>
      <ns0:c r="B233" t="inlineStr">
        <ns0:is>
          <ns0:t>function_0043</ns0:t>
        </ns0:is>
      </ns0:c>
      <ns0:c r="C233" t="inlineStr">
        <ns0:is>
          <ns0:t>run_003</ns0:t>
        </ns0:is>
      </ns0:c>
      <ns0:c r="D233" t="inlineStr">
        <ns0:is>
          <ns0:t>humantime</ns0:t>
        </ns0:is>
      </ns0:c>
      <ns0:c r="E233" t="inlineStr">
        <ns0:is>
          <ns0:t>gemini-2.5-flash-nothinking</ns0:t>
        </ns0:is>
      </ns0:c>
      <ns0:c r="F233" t="inlineStr">
        <ns0:is>
          <ns0:t>E0063,E0308</ns0:t>
        </ns0:is>
      </ns0:c>
      <ns0:c r="G233" t="n">
        <ns0:v>0</ns0:v>
      </ns0:c>
      <ns0:c r="H233" t="n">
        <ns0:v>19920</ns0:v>
      </ns0:c>
      <ns0:c r="I233" t="n">
        <ns0:v>1459</ns0:v>
      </ns0:c>
      <ns0:c r="J233" t="n">
        <ns0:v>21379</ns0:v>
      </ns0:c>
      <ns0:c r="K233" t="n">
        <ns0:v>10</ns0:v>
      </ns0:c>
      <ns0:c r="L233" t="n">
        <ns0:v>1</ns0:v>
      </ns0:c>
      <ns0:c r="M233" t="n">
        <ns0:v>108919</ns0:v>
      </ns0:c>
      <ns0:c r="N233" t="n">
        <ns0:v>4207</ns0:v>
      </ns0:c>
      <ns0:c r="O233" t="n">
        <ns0:v>113126</ns0:v>
      </ns0:c>
      <ns0:c r="P233" t="n">
        <ns0:v>9</ns0:v>
      </ns0:c>
      <ns0:c r="Q233">
        <ns0:f>IF(AND(L233=1,O233*Calculations!$B$2&lt;=Calculations!$B$10*Calculations!$B$4),1,0)</ns0:f>
        <ns0:v>0</ns0:v>
      </ns0:c>
      <ns0:c r="R233">
        <ns0:f>IF(AND(L233=1,O233*Calculations!$B$2&lt;=Calculations!$B$11*Calculations!$B$4),1,0)</ns0:f>
        <ns0:v>0</ns0:v>
      </ns0:c>
    </ns0:row>
    <ns0:row r="234">
      <ns0:c r="A234" t="inlineStr">
        <ns0:is>
          <ns0:t>case_0233</ns0:t>
        </ns0:is>
      </ns0:c>
      <ns0:c r="B234" t="inlineStr">
        <ns0:is>
          <ns0:t>function_0043</ns0:t>
        </ns0:is>
      </ns0:c>
      <ns0:c r="C234" t="inlineStr">
        <ns0:is>
          <ns0:t>run_003</ns0:t>
        </ns0:is>
      </ns0:c>
      <ns0:c r="D234" t="inlineStr">
        <ns0:is>
          <ns0:t>humantime</ns0:t>
        </ns0:is>
      </ns0:c>
      <ns0:c r="E234" t="inlineStr">
        <ns0:is>
          <ns0:t>gemini-2.5-flash-nothinking</ns0:t>
        </ns0:is>
      </ns0:c>
      <ns0:c r="F234" t="inlineStr">
        <ns0:is>
          <ns0:t>E0063</ns0:t>
        </ns0:is>
      </ns0:c>
      <ns0:c r="G234" t="n">
        <ns0:v>1</ns0:v>
      </ns0:c>
      <ns0:c r="H234" t="n">
        <ns0:v>1644</ns0:v>
      </ns0:c>
      <ns0:c r="I234" t="n">
        <ns0:v>119</ns0:v>
      </ns0:c>
      <ns0:c r="J234" t="n">
        <ns0:v>1763</ns0:v>
      </ns0:c>
      <ns0:c r="K234" t="n">
        <ns0:v>1</ns0:v>
      </ns0:c>
      <ns0:c r="L234" t="n">
        <ns0:v>1</ns0:v>
      </ns0:c>
      <ns0:c r="M234" t="n">
        <ns0:v>49700</ns0:v>
      </ns0:c>
      <ns0:c r="N234" t="n">
        <ns0:v>419</ns0:v>
      </ns0:c>
      <ns0:c r="O234" t="n">
        <ns0:v>50119</ns0:v>
      </ns0:c>
      <ns0:c r="P234" t="n">
        <ns0:v>4</ns0:v>
      </ns0:c>
      <ns0:c r="Q234">
        <ns0:f>IF(AND(L234=1,O234*Calculations!$B$2&lt;=Calculations!$B$10*Calculations!$B$4),1,0)</ns0:f>
        <ns0:v>0</ns0:v>
      </ns0:c>
      <ns0:c r="R234">
        <ns0:f>IF(AND(L234=1,O234*Calculations!$B$2&lt;=Calculations!$B$11*Calculations!$B$4),1,0)</ns0:f>
        <ns0:v>0</ns0:v>
      </ns0:c>
    </ns0:row>
    <ns0:row r="235">
      <ns0:c r="A235" t="inlineStr">
        <ns0:is>
          <ns0:t>case_0234</ns0:t>
        </ns0:is>
      </ns0:c>
      <ns0:c r="B235" t="inlineStr">
        <ns0:is>
          <ns0:t>function_0043</ns0:t>
        </ns0:is>
      </ns0:c>
      <ns0:c r="C235" t="inlineStr">
        <ns0:is>
          <ns0:t>run_003</ns0:t>
        </ns0:is>
      </ns0:c>
      <ns0:c r="D235" t="inlineStr">
        <ns0:is>
          <ns0:t>humantime</ns0:t>
        </ns0:is>
      </ns0:c>
      <ns0:c r="E235" t="inlineStr">
        <ns0:is>
          <ns0:t>gemini-2.5-flash-nothinking</ns0:t>
        </ns0:is>
      </ns0:c>
      <ns0:c r="F235" t="inlineStr">
        <ns0:is>
          <ns0:t>E0599</ns0:t>
        </ns0:is>
      </ns0:c>
      <ns0:c r="G235" t="n">
        <ns0:v>1</ns0:v>
      </ns0:c>
      <ns0:c r="H235" t="n">
        <ns0:v>1707</ns0:v>
      </ns0:c>
      <ns0:c r="I235" t="n">
        <ns0:v>69</ns0:v>
      </ns0:c>
      <ns0:c r="J235" t="n">
        <ns0:v>1776</ns0:v>
      </ns0:c>
      <ns0:c r="K235" t="n">
        <ns0:v>1</ns0:v>
      </ns0:c>
      <ns0:c r="L235" t="n">
        <ns0:v>1</ns0:v>
      </ns0:c>
      <ns0:c r="M235" t="n">
        <ns0:v>46240</ns0:v>
      </ns0:c>
      <ns0:c r="N235" t="n">
        <ns0:v>612</ns0:v>
      </ns0:c>
      <ns0:c r="O235" t="n">
        <ns0:v>46852</ns0:v>
      </ns0:c>
      <ns0:c r="P235" t="n">
        <ns0:v>4</ns0:v>
      </ns0:c>
      <ns0:c r="Q235">
        <ns0:f>IF(AND(L235=1,O235*Calculations!$B$2&lt;=Calculations!$B$10*Calculations!$B$4),1,0)</ns0:f>
        <ns0:v>0</ns0:v>
      </ns0:c>
      <ns0:c r="R235">
        <ns0:f>IF(AND(L235=1,O235*Calculations!$B$2&lt;=Calculations!$B$11*Calculations!$B$4),1,0)</ns0:f>
        <ns0:v>0</ns0:v>
      </ns0:c>
    </ns0:row>
    <ns0:row r="236">
      <ns0:c r="A236" t="inlineStr">
        <ns0:is>
          <ns0:t>case_0235</ns0:t>
        </ns0:is>
      </ns0:c>
      <ns0:c r="B236" t="inlineStr">
        <ns0:is>
          <ns0:t>function_0043</ns0:t>
        </ns0:is>
      </ns0:c>
      <ns0:c r="C236" t="inlineStr">
        <ns0:is>
          <ns0:t>run_003</ns0:t>
        </ns0:is>
      </ns0:c>
      <ns0:c r="D236" t="inlineStr">
        <ns0:is>
          <ns0:t>humantime</ns0:t>
        </ns0:is>
      </ns0:c>
      <ns0:c r="E236" t="inlineStr">
        <ns0:is>
          <ns0:t>gemini-2.5-flash-nothinking</ns0:t>
        </ns0:is>
      </ns0:c>
      <ns0:c r="F236" t="inlineStr">
        <ns0:is>
          <ns0:t>E0433</ns0:t>
        </ns0:is>
      </ns0:c>
      <ns0:c r="G236" t="n">
        <ns0:v>0</ns0:v>
      </ns0:c>
      <ns0:c r="H236" t="n">
        <ns0:v>4419</ns0:v>
      </ns0:c>
      <ns0:c r="I236" t="n">
        <ns0:v>190</ns0:v>
      </ns0:c>
      <ns0:c r="J236" t="n">
        <ns0:v>4609</ns0:v>
      </ns0:c>
      <ns0:c r="K236" t="n">
        <ns0:v>3</ns0:v>
      </ns0:c>
      <ns0:c r="L236" t="n">
        <ns0:v>0</ns0:v>
      </ns0:c>
      <ns0:c r="M236" t="n">
        <ns0:v>92508</ns0:v>
      </ns0:c>
      <ns0:c r="N236" t="n">
        <ns0:v>504</ns0:v>
      </ns0:c>
      <ns0:c r="O236" t="n">
        <ns0:v>93012</ns0:v>
      </ns0:c>
      <ns0:c r="P236" t="n">
        <ns0:v>9</ns0:v>
      </ns0:c>
      <ns0:c r="Q236">
        <ns0:f>IF(AND(L236=1,O236*Calculations!$B$2&lt;=Calculations!$B$10*Calculations!$B$4),1,0)</ns0:f>
        <ns0:v>0</ns0:v>
      </ns0:c>
      <ns0:c r="R236">
        <ns0:f>IF(AND(L236=1,O236*Calculations!$B$2&lt;=Calculations!$B$11*Calculations!$B$4),1,0)</ns0:f>
        <ns0:v>0</ns0:v>
      </ns0:c>
    </ns0:row>
    <ns0:row r="237">
      <ns0:c r="A237" t="inlineStr">
        <ns0:is>
          <ns0:t>case_0236</ns0:t>
        </ns0:is>
      </ns0:c>
      <ns0:c r="B237" t="inlineStr">
        <ns0:is>
          <ns0:t>function_0043</ns0:t>
        </ns0:is>
      </ns0:c>
      <ns0:c r="C237" t="inlineStr">
        <ns0:is>
          <ns0:t>run_003</ns0:t>
        </ns0:is>
      </ns0:c>
      <ns0:c r="D237" t="inlineStr">
        <ns0:is>
          <ns0:t>humantime</ns0:t>
        </ns0:is>
      </ns0:c>
      <ns0:c r="E237" t="inlineStr">
        <ns0:is>
          <ns0:t>gemini-2.5-flash-nothinking</ns0:t>
        </ns0:is>
      </ns0:c>
      <ns0:c r="F237" t="inlineStr">
        <ns0:is>
          <ns0:t>E0433</ns0:t>
        </ns0:is>
      </ns0:c>
      <ns0:c r="G237" t="n">
        <ns0:v>1</ns0:v>
      </ns0:c>
      <ns0:c r="H237" t="n">
        <ns0:v>0</ns0:v>
      </ns0:c>
      <ns0:c r="I237" t="n">
        <ns0:v>0</ns0:v>
      </ns0:c>
      <ns0:c r="J237" t="n">
        <ns0:v>0</ns0:v>
      </ns0:c>
      <ns0:c r="K237" t="n">
        <ns0:v>0</ns0:v>
      </ns0:c>
      <ns0:c r="L237" t="n">
        <ns0:v>0</ns0:v>
      </ns0:c>
      <ns0:c r="M237" t="n">
        <ns0:v>170940</ns0:v>
      </ns0:c>
      <ns0:c r="N237" t="n">
        <ns0:v>1816</ns0:v>
      </ns0:c>
      <ns0:c r="O237" t="n">
        <ns0:v>172756</ns0:v>
      </ns0:c>
      <ns0:c r="P237" t="n">
        <ns0:v>20</ns0:v>
      </ns0:c>
      <ns0:c r="Q237">
        <ns0:f>IF(AND(L237=1,O237*Calculations!$B$2&lt;=Calculations!$B$10*Calculations!$B$4),1,0)</ns0:f>
        <ns0:v>0</ns0:v>
      </ns0:c>
      <ns0:c r="R237">
        <ns0:f>IF(AND(L237=1,O237*Calculations!$B$2&lt;=Calculations!$B$11*Calculations!$B$4),1,0)</ns0:f>
        <ns0:v>0</ns0:v>
      </ns0:c>
    </ns0:row>
    <ns0:row r="238">
      <ns0:c r="A238" t="inlineStr">
        <ns0:is>
          <ns0:t>case_0237</ns0:t>
        </ns0:is>
      </ns0:c>
      <ns0:c r="B238" t="inlineStr">
        <ns0:is>
          <ns0:t>function_0043</ns0:t>
        </ns0:is>
      </ns0:c>
      <ns0:c r="C238" t="inlineStr">
        <ns0:is>
          <ns0:t>run_003</ns0:t>
        </ns0:is>
      </ns0:c>
      <ns0:c r="D238" t="inlineStr">
        <ns0:is>
          <ns0:t>humantime</ns0:t>
        </ns0:is>
      </ns0:c>
      <ns0:c r="E238" t="inlineStr">
        <ns0:is>
          <ns0:t>gemini-2.5-flash-nothinking</ns0:t>
        </ns0:is>
      </ns0:c>
      <ns0:c r="F238" t="inlineStr">
        <ns0:is>
          <ns0:t>E0433</ns0:t>
        </ns0:is>
      </ns0:c>
      <ns0:c r="G238" t="n">
        <ns0:v>0</ns0:v>
      </ns0:c>
      <ns0:c r="H238" t="n">
        <ns0:v>7548</ns0:v>
      </ns0:c>
      <ns0:c r="I238" t="n">
        <ns0:v>936</ns0:v>
      </ns0:c>
      <ns0:c r="J238" t="n">
        <ns0:v>8484</ns0:v>
      </ns0:c>
      <ns0:c r="K238" t="n">
        <ns0:v>3</ns0:v>
      </ns0:c>
      <ns0:c r="L238" t="n">
        <ns0:v>0</ns0:v>
      </ns0:c>
      <ns0:c r="M238" t="n">
        <ns0:v>102436</ns0:v>
      </ns0:c>
      <ns0:c r="N238" t="n">
        <ns0:v>1075</ns0:v>
      </ns0:c>
      <ns0:c r="O238" t="n">
        <ns0:v>103511</ns0:v>
      </ns0:c>
      <ns0:c r="P238" t="n">
        <ns0:v>11</ns0:v>
      </ns0:c>
      <ns0:c r="Q238">
        <ns0:f>IF(AND(L238=1,O238*Calculations!$B$2&lt;=Calculations!$B$10*Calculations!$B$4),1,0)</ns0:f>
        <ns0:v>0</ns0:v>
      </ns0:c>
      <ns0:c r="R238">
        <ns0:f>IF(AND(L238=1,O238*Calculations!$B$2&lt;=Calculations!$B$11*Calculations!$B$4),1,0)</ns0:f>
        <ns0:v>0</ns0:v>
      </ns0:c>
    </ns0:row>
    <ns0:row r="239">
      <ns0:c r="A239" t="inlineStr">
        <ns0:is>
          <ns0:t>case_0238</ns0:t>
        </ns0:is>
      </ns0:c>
      <ns0:c r="B239" t="inlineStr">
        <ns0:is>
          <ns0:t>function_0043</ns0:t>
        </ns0:is>
      </ns0:c>
      <ns0:c r="C239" t="inlineStr">
        <ns0:is>
          <ns0:t>run_003</ns0:t>
        </ns0:is>
      </ns0:c>
      <ns0:c r="D239" t="inlineStr">
        <ns0:is>
          <ns0:t>humantime</ns0:t>
        </ns0:is>
      </ns0:c>
      <ns0:c r="E239" t="inlineStr">
        <ns0:is>
          <ns0:t>gemini-2.5-flash-nothinking</ns0:t>
        </ns0:is>
      </ns0:c>
      <ns0:c r="F239" t="inlineStr">
        <ns0:is>
          <ns0:t>E0063,E0308</ns0:t>
        </ns0:is>
      </ns0:c>
      <ns0:c r="G239" t="n">
        <ns0:v>1</ns0:v>
      </ns0:c>
      <ns0:c r="H239" t="n">
        <ns0:v>0</ns0:v>
      </ns0:c>
      <ns0:c r="I239" t="n">
        <ns0:v>0</ns0:v>
      </ns0:c>
      <ns0:c r="J239" t="n">
        <ns0:v>0</ns0:v>
      </ns0:c>
      <ns0:c r="K239" t="n">
        <ns0:v>0</ns0:v>
      </ns0:c>
      <ns0:c r="L239" t="n">
        <ns0:v>1</ns0:v>
      </ns0:c>
      <ns0:c r="M239" t="n">
        <ns0:v>49573</ns0:v>
      </ns0:c>
      <ns0:c r="N239" t="n">
        <ns0:v>546</ns0:v>
      </ns0:c>
      <ns0:c r="O239" t="n">
        <ns0:v>50119</ns0:v>
      </ns0:c>
      <ns0:c r="P239" t="n">
        <ns0:v>4</ns0:v>
      </ns0:c>
      <ns0:c r="Q239">
        <ns0:f>IF(AND(L239=1,O239*Calculations!$B$2&lt;=Calculations!$B$10*Calculations!$B$4),1,0)</ns0:f>
        <ns0:v>0</ns0:v>
      </ns0:c>
      <ns0:c r="R239">
        <ns0:f>IF(AND(L239=1,O239*Calculations!$B$2&lt;=Calculations!$B$11*Calculations!$B$4),1,0)</ns0:f>
        <ns0:v>0</ns0:v>
      </ns0:c>
    </ns0:row>
    <ns0:row r="240">
      <ns0:c r="A240" t="inlineStr">
        <ns0:is>
          <ns0:t>case_0239</ns0:t>
        </ns0:is>
      </ns0:c>
      <ns0:c r="B240" t="inlineStr">
        <ns0:is>
          <ns0:t>function_0043</ns0:t>
        </ns0:is>
      </ns0:c>
      <ns0:c r="C240" t="inlineStr">
        <ns0:is>
          <ns0:t>run_003</ns0:t>
        </ns0:is>
      </ns0:c>
      <ns0:c r="D240" t="inlineStr">
        <ns0:is>
          <ns0:t>humantime</ns0:t>
        </ns0:is>
      </ns0:c>
      <ns0:c r="E240" t="inlineStr">
        <ns0:is>
          <ns0:t>gemini-2.5-flash-nothinking</ns0:t>
        </ns0:is>
      </ns0:c>
      <ns0:c r="F240" t="inlineStr">
        <ns0:is>
          <ns0:t>E0063</ns0:t>
        </ns0:is>
      </ns0:c>
      <ns0:c r="G240" t="n">
        <ns0:v>1</ns0:v>
      </ns0:c>
      <ns0:c r="H240" t="n">
        <ns0:v>2182</ns0:v>
      </ns0:c>
      <ns0:c r="I240" t="n">
        <ns0:v>424</ns0:v>
      </ns0:c>
      <ns0:c r="J240" t="n">
        <ns0:v>2606</ns0:v>
      </ns0:c>
      <ns0:c r="K240" t="n">
        <ns0:v>1</ns0:v>
      </ns0:c>
      <ns0:c r="L240" t="n">
        <ns0:v>1</ns0:v>
      </ns0:c>
      <ns0:c r="M240" t="n">
        <ns0:v>52862</ns0:v>
      </ns0:c>
      <ns0:c r="N240" t="n">
        <ns0:v>520</ns0:v>
      </ns0:c>
      <ns0:c r="O240" t="n">
        <ns0:v>53382</ns0:v>
      </ns0:c>
      <ns0:c r="P240" t="n">
        <ns0:v>4</ns0:v>
      </ns0:c>
      <ns0:c r="Q240">
        <ns0:f>IF(AND(L240=1,O240*Calculations!$B$2&lt;=Calculations!$B$10*Calculations!$B$4),1,0)</ns0:f>
        <ns0:v>0</ns0:v>
      </ns0:c>
      <ns0:c r="R240">
        <ns0:f>IF(AND(L240=1,O240*Calculations!$B$2&lt;=Calculations!$B$11*Calculations!$B$4),1,0)</ns0:f>
        <ns0:v>0</ns0:v>
      </ns0:c>
    </ns0:row>
    <ns0:row r="241">
      <ns0:c r="A241" t="inlineStr">
        <ns0:is>
          <ns0:t>case_0240</ns0:t>
        </ns0:is>
      </ns0:c>
      <ns0:c r="B241" t="inlineStr">
        <ns0:is>
          <ns0:t>function_0043</ns0:t>
        </ns0:is>
      </ns0:c>
      <ns0:c r="C241" t="inlineStr">
        <ns0:is>
          <ns0:t>run_003</ns0:t>
        </ns0:is>
      </ns0:c>
      <ns0:c r="D241" t="inlineStr">
        <ns0:is>
          <ns0:t>humantime</ns0:t>
        </ns0:is>
      </ns0:c>
      <ns0:c r="E241" t="inlineStr">
        <ns0:is>
          <ns0:t>gemini-2.5-flash-nothinking</ns0:t>
        </ns0:is>
      </ns0:c>
      <ns0:c r="F241" t="inlineStr">
        <ns0:is>
          <ns0:t>E0599</ns0:t>
        </ns0:is>
      </ns0:c>
      <ns0:c r="G241" t="n">
        <ns0:v>1</ns0:v>
      </ns0:c>
      <ns0:c r="H241" t="n">
        <ns0:v>1707</ns0:v>
      </ns0:c>
      <ns0:c r="I241" t="n">
        <ns0:v>69</ns0:v>
      </ns0:c>
      <ns0:c r="J241" t="n">
        <ns0:v>1776</ns0:v>
      </ns0:c>
      <ns0:c r="K241" t="n">
        <ns0:v>1</ns0:v>
      </ns0:c>
      <ns0:c r="L241" t="n">
        <ns0:v>1</ns0:v>
      </ns0:c>
      <ns0:c r="M241" t="n">
        <ns0:v>49454</ns0:v>
      </ns0:c>
      <ns0:c r="N241" t="n">
        <ns0:v>531</ns0:v>
      </ns0:c>
      <ns0:c r="O241" t="n">
        <ns0:v>49985</ns0:v>
      </ns0:c>
      <ns0:c r="P241" t="n">
        <ns0:v>4</ns0:v>
      </ns0:c>
      <ns0:c r="Q241">
        <ns0:f>IF(AND(L241=1,O241*Calculations!$B$2&lt;=Calculations!$B$10*Calculations!$B$4),1,0)</ns0:f>
        <ns0:v>0</ns0:v>
      </ns0:c>
      <ns0:c r="R241">
        <ns0:f>IF(AND(L241=1,O241*Calculations!$B$2&lt;=Calculations!$B$11*Calculations!$B$4),1,0)</ns0:f>
        <ns0:v>0</ns0:v>
      </ns0:c>
    </ns0:row>
    <ns0:row r="242">
      <ns0:c r="A242" t="inlineStr">
        <ns0:is>
          <ns0:t>case_0241</ns0:t>
        </ns0:is>
      </ns0:c>
      <ns0:c r="B242" t="inlineStr">
        <ns0:is>
          <ns0:t>function_0044</ns0:t>
        </ns0:is>
      </ns0:c>
      <ns0:c r="C242" t="inlineStr">
        <ns0:is>
          <ns0:t>run_003</ns0:t>
        </ns0:is>
      </ns0:c>
      <ns0:c r="D242" t="inlineStr">
        <ns0:is>
          <ns0:t>humantime</ns0:t>
        </ns0:is>
      </ns0:c>
      <ns0:c r="E242" t="inlineStr">
        <ns0:is>
          <ns0:t>gemini-2.5-flash-nothinking</ns0:t>
        </ns0:is>
      </ns0:c>
      <ns0:c r="F242" t="inlineStr">
        <ns0:is>
          <ns0:t>E0599</ns0:t>
        </ns0:is>
      </ns0:c>
      <ns0:c r="G242" t="n">
        <ns0:v>1</ns0:v>
      </ns0:c>
      <ns0:c r="H242" t="n">
        <ns0:v>2661</ns0:v>
      </ns0:c>
      <ns0:c r="I242" t="n">
        <ns0:v>743</ns0:v>
      </ns0:c>
      <ns0:c r="J242" t="n">
        <ns0:v>3404</ns0:v>
      </ns0:c>
      <ns0:c r="K242" t="n">
        <ns0:v>1</ns0:v>
      </ns0:c>
      <ns0:c r="L242" t="n">
        <ns0:v>1</ns0:v>
      </ns0:c>
      <ns0:c r="M242" t="n">
        <ns0:v>58448</ns0:v>
      </ns0:c>
      <ns0:c r="N242" t="n">
        <ns0:v>861</ns0:v>
      </ns0:c>
      <ns0:c r="O242" t="n">
        <ns0:v>59309</ns0:v>
      </ns0:c>
      <ns0:c r="P242" t="n">
        <ns0:v>4</ns0:v>
      </ns0:c>
      <ns0:c r="Q242">
        <ns0:f>IF(AND(L242=1,O242*Calculations!$B$2&lt;=Calculations!$B$10*Calculations!$B$4),1,0)</ns0:f>
        <ns0:v>0</ns0:v>
      </ns0:c>
      <ns0:c r="R242">
        <ns0:f>IF(AND(L242=1,O242*Calculations!$B$2&lt;=Calculations!$B$11*Calculations!$B$4),1,0)</ns0:f>
        <ns0:v>0</ns0:v>
      </ns0:c>
    </ns0:row>
    <ns0:row r="243">
      <ns0:c r="A243" t="inlineStr">
        <ns0:is>
          <ns0:t>case_0242</ns0:t>
        </ns0:is>
      </ns0:c>
      <ns0:c r="B243" t="inlineStr">
        <ns0:is>
          <ns0:t>function_0044</ns0:t>
        </ns0:is>
      </ns0:c>
      <ns0:c r="C243" t="inlineStr">
        <ns0:is>
          <ns0:t>run_003</ns0:t>
        </ns0:is>
      </ns0:c>
      <ns0:c r="D243" t="inlineStr">
        <ns0:is>
          <ns0:t>humantime</ns0:t>
        </ns0:is>
      </ns0:c>
      <ns0:c r="E243" t="inlineStr">
        <ns0:is>
          <ns0:t>gemini-2.5-flash-nothinking</ns0:t>
        </ns0:is>
      </ns0:c>
      <ns0:c r="F243" t="inlineStr">
        <ns0:is>
          <ns0:t>E0433</ns0:t>
        </ns0:is>
      </ns0:c>
      <ns0:c r="G243" t="n">
        <ns0:v>0</ns0:v>
      </ns0:c>
      <ns0:c r="H243" t="n">
        <ns0:v>46043</ns0:v>
      </ns0:c>
      <ns0:c r="I243" t="n">
        <ns0:v>2804</ns0:v>
      </ns0:c>
      <ns0:c r="J243" t="n">
        <ns0:v>48847</ns0:v>
      </ns0:c>
      <ns0:c r="K243" t="n">
        <ns0:v>30</ns0:v>
      </ns0:c>
      <ns0:c r="L243" t="n">
        <ns0:v>1</ns0:v>
      </ns0:c>
      <ns0:c r="M243" t="n">
        <ns0:v>135590</ns0:v>
      </ns0:c>
      <ns0:c r="N243" t="n">
        <ns0:v>767</ns0:v>
      </ns0:c>
      <ns0:c r="O243" t="n">
        <ns0:v>136357</ns0:v>
      </ns0:c>
      <ns0:c r="P243" t="n">
        <ns0:v>8</ns0:v>
      </ns0:c>
      <ns0:c r="Q243">
        <ns0:f>IF(AND(L243=1,O243*Calculations!$B$2&lt;=Calculations!$B$10*Calculations!$B$4),1,0)</ns0:f>
        <ns0:v>0</ns0:v>
      </ns0:c>
      <ns0:c r="R243">
        <ns0:f>IF(AND(L243=1,O243*Calculations!$B$2&lt;=Calculations!$B$11*Calculations!$B$4),1,0)</ns0:f>
        <ns0:v>0</ns0:v>
      </ns0:c>
    </ns0:row>
    <ns0:row r="244">
      <ns0:c r="A244" t="inlineStr">
        <ns0:is>
          <ns0:t>case_0243</ns0:t>
        </ns0:is>
      </ns0:c>
      <ns0:c r="B244" t="inlineStr">
        <ns0:is>
          <ns0:t>function_0044</ns0:t>
        </ns0:is>
      </ns0:c>
      <ns0:c r="C244" t="inlineStr">
        <ns0:is>
          <ns0:t>run_003</ns0:t>
        </ns0:is>
      </ns0:c>
      <ns0:c r="D244" t="inlineStr">
        <ns0:is>
          <ns0:t>humantime</ns0:t>
        </ns0:is>
      </ns0:c>
      <ns0:c r="E244" t="inlineStr">
        <ns0:is>
          <ns0:t>gemini-2.5-flash-nothinking</ns0:t>
        </ns0:is>
      </ns0:c>
      <ns0:c r="F244" t="inlineStr">
        <ns0:is>
          <ns0:t>E0599</ns0:t>
        </ns0:is>
      </ns0:c>
      <ns0:c r="G244" t="n">
        <ns0:v>1</ns0:v>
      </ns0:c>
      <ns0:c r="H244" t="n">
        <ns0:v>2928</ns0:v>
      </ns0:c>
      <ns0:c r="I244" t="n">
        <ns0:v>989</ns0:v>
      </ns0:c>
      <ns0:c r="J244" t="n">
        <ns0:v>3917</ns0:v>
      </ns0:c>
      <ns0:c r="K244" t="n">
        <ns0:v>1</ns0:v>
      </ns0:c>
      <ns0:c r="L244" t="n">
        <ns0:v>0</ns0:v>
      </ns0:c>
      <ns0:c r="M244" t="n">
        <ns0:v>60431</ns0:v>
      </ns0:c>
      <ns0:c r="N244" t="n">
        <ns0:v>336</ns0:v>
      </ns0:c>
      <ns0:c r="O244" t="n">
        <ns0:v>60767</ns0:v>
      </ns0:c>
      <ns0:c r="P244" t="n">
        <ns0:v>4</ns0:v>
      </ns0:c>
      <ns0:c r="Q244">
        <ns0:f>IF(AND(L244=1,O244*Calculations!$B$2&lt;=Calculations!$B$10*Calculations!$B$4),1,0)</ns0:f>
        <ns0:v>0</ns0:v>
      </ns0:c>
      <ns0:c r="R244">
        <ns0:f>IF(AND(L244=1,O244*Calculations!$B$2&lt;=Calculations!$B$11*Calculations!$B$4),1,0)</ns0:f>
        <ns0:v>0</ns0:v>
      </ns0:c>
    </ns0:row>
    <ns0:row r="245">
      <ns0:c r="A245" t="inlineStr">
        <ns0:is>
          <ns0:t>case_0244</ns0:t>
        </ns0:is>
      </ns0:c>
      <ns0:c r="B245" t="inlineStr">
        <ns0:is>
          <ns0:t>function_0044</ns0:t>
        </ns0:is>
      </ns0:c>
      <ns0:c r="C245" t="inlineStr">
        <ns0:is>
          <ns0:t>run_003</ns0:t>
        </ns0:is>
      </ns0:c>
      <ns0:c r="D245" t="inlineStr">
        <ns0:is>
          <ns0:t>humantime</ns0:t>
        </ns0:is>
      </ns0:c>
      <ns0:c r="E245" t="inlineStr">
        <ns0:is>
          <ns0:t>gemini-2.5-flash-nothinking</ns0:t>
        </ns0:is>
      </ns0:c>
      <ns0:c r="F245" t="inlineStr">
        <ns0:is>
          <ns0:t>E0164,E0599</ns0:t>
        </ns0:is>
      </ns0:c>
      <ns0:c r="G245" t="n">
        <ns0:v>0</ns0:v>
      </ns0:c>
      <ns0:c r="H245" t="n">
        <ns0:v>11602</ns0:v>
      </ns0:c>
      <ns0:c r="I245" t="n">
        <ns0:v>4243</ns0:v>
      </ns0:c>
      <ns0:c r="J245" t="n">
        <ns0:v>15845</ns0:v>
      </ns0:c>
      <ns0:c r="K245" t="n">
        <ns0:v>3</ns0:v>
      </ns0:c>
      <ns0:c r="L245" t="n">
        <ns0:v>1</ns0:v>
      </ns0:c>
      <ns0:c r="M245" t="n">
        <ns0:v>76300</ns0:v>
      </ns0:c>
      <ns0:c r="N245" t="n">
        <ns0:v>1918</ns0:v>
      </ns0:c>
      <ns0:c r="O245" t="n">
        <ns0:v>78218</ns0:v>
      </ns0:c>
      <ns0:c r="P245" t="n">
        <ns0:v>4</ns0:v>
      </ns0:c>
      <ns0:c r="Q245">
        <ns0:f>IF(AND(L245=1,O245*Calculations!$B$2&lt;=Calculations!$B$10*Calculations!$B$4),1,0)</ns0:f>
        <ns0:v>0</ns0:v>
      </ns0:c>
      <ns0:c r="R245">
        <ns0:f>IF(AND(L245=1,O245*Calculations!$B$2&lt;=Calculations!$B$11*Calculations!$B$4),1,0)</ns0:f>
        <ns0:v>0</ns0:v>
      </ns0:c>
    </ns0:row>
    <ns0:row r="246">
      <ns0:c r="A246" t="inlineStr">
        <ns0:is>
          <ns0:t>case_0245</ns0:t>
        </ns0:is>
      </ns0:c>
      <ns0:c r="B246" t="inlineStr">
        <ns0:is>
          <ns0:t>function_0044</ns0:t>
        </ns0:is>
      </ns0:c>
      <ns0:c r="C246" t="inlineStr">
        <ns0:is>
          <ns0:t>run_003</ns0:t>
        </ns0:is>
      </ns0:c>
      <ns0:c r="D246" t="inlineStr">
        <ns0:is>
          <ns0:t>humantime</ns0:t>
        </ns0:is>
      </ns0:c>
      <ns0:c r="E246" t="inlineStr">
        <ns0:is>
          <ns0:t>gemini-2.5-flash-nothinking</ns0:t>
        </ns0:is>
      </ns0:c>
      <ns0:c r="F246" t="inlineStr">
        <ns0:is>
          <ns0:t>E0599</ns0:t>
        </ns0:is>
      </ns0:c>
      <ns0:c r="G246" t="n">
        <ns0:v>1</ns0:v>
      </ns0:c>
      <ns0:c r="H246" t="n">
        <ns0:v>3459</ns0:v>
      </ns0:c>
      <ns0:c r="I246" t="n">
        <ns0:v>1467</ns0:v>
      </ns0:c>
      <ns0:c r="J246" t="n">
        <ns0:v>4926</ns0:v>
      </ns0:c>
      <ns0:c r="K246" t="n">
        <ns0:v>1</ns0:v>
      </ns0:c>
      <ns0:c r="L246" t="n">
        <ns0:v>1</ns0:v>
      </ns0:c>
      <ns0:c r="M246" t="n">
        <ns0:v>67699</ns0:v>
      </ns0:c>
      <ns0:c r="N246" t="n">
        <ns0:v>1304</ns0:v>
      </ns0:c>
      <ns0:c r="O246" t="n">
        <ns0:v>69003</ns0:v>
      </ns0:c>
      <ns0:c r="P246" t="n">
        <ns0:v>4</ns0:v>
      </ns0:c>
      <ns0:c r="Q246">
        <ns0:f>IF(AND(L246=1,O246*Calculations!$B$2&lt;=Calculations!$B$10*Calculations!$B$4),1,0)</ns0:f>
        <ns0:v>0</ns0:v>
      </ns0:c>
      <ns0:c r="R246">
        <ns0:f>IF(AND(L246=1,O246*Calculations!$B$2&lt;=Calculations!$B$11*Calculations!$B$4),1,0)</ns0:f>
        <ns0:v>0</ns0:v>
      </ns0:c>
    </ns0:row>
    <ns0:row r="247">
      <ns0:c r="A247" t="inlineStr">
        <ns0:is>
          <ns0:t>case_0246</ns0:t>
        </ns0:is>
      </ns0:c>
      <ns0:c r="B247" t="inlineStr">
        <ns0:is>
          <ns0:t>function_0044</ns0:t>
        </ns0:is>
      </ns0:c>
      <ns0:c r="C247" t="inlineStr">
        <ns0:is>
          <ns0:t>run_003</ns0:t>
        </ns0:is>
      </ns0:c>
      <ns0:c r="D247" t="inlineStr">
        <ns0:is>
          <ns0:t>humantime</ns0:t>
        </ns0:is>
      </ns0:c>
      <ns0:c r="E247" t="inlineStr">
        <ns0:is>
          <ns0:t>gemini-2.5-flash-nothinking</ns0:t>
        </ns0:is>
      </ns0:c>
      <ns0:c r="F247" t="inlineStr">
        <ns0:is>
          <ns0:t>E0107,E0599</ns0:t>
        </ns0:is>
      </ns0:c>
      <ns0:c r="G247" t="n">
        <ns0:v>1</ns0:v>
      </ns0:c>
      <ns0:c r="H247" t="n">
        <ns0:v>8191</ns0:v>
      </ns0:c>
      <ns0:c r="I247" t="n">
        <ns0:v>3631</ns0:v>
      </ns0:c>
      <ns0:c r="J247" t="n">
        <ns0:v>11822</ns0:v>
      </ns0:c>
      <ns0:c r="K247" t="n">
        <ns0:v>2</ns0:v>
      </ns0:c>
      <ns0:c r="L247" t="n">
        <ns0:v>0</ns0:v>
      </ns0:c>
      <ns0:c r="M247" t="n">
        <ns0:v>103032</ns0:v>
      </ns0:c>
      <ns0:c r="N247" t="n">
        <ns0:v>1918</ns0:v>
      </ns0:c>
      <ns0:c r="O247" t="n">
        <ns0:v>104950</ns0:v>
      </ns0:c>
      <ns0:c r="P247" t="n">
        <ns0:v>7</ns0:v>
      </ns0:c>
      <ns0:c r="Q247">
        <ns0:f>IF(AND(L247=1,O247*Calculations!$B$2&lt;=Calculations!$B$10*Calculations!$B$4),1,0)</ns0:f>
        <ns0:v>0</ns0:v>
      </ns0:c>
      <ns0:c r="R247">
        <ns0:f>IF(AND(L247=1,O247*Calculations!$B$2&lt;=Calculations!$B$11*Calculations!$B$4),1,0)</ns0:f>
        <ns0:v>0</ns0:v>
      </ns0:c>
    </ns0:row>
    <ns0:row r="248">
      <ns0:c r="A248" t="inlineStr">
        <ns0:is>
          <ns0:t>case_0247</ns0:t>
        </ns0:is>
      </ns0:c>
      <ns0:c r="B248" t="inlineStr">
        <ns0:is>
          <ns0:t>function_0044</ns0:t>
        </ns0:is>
      </ns0:c>
      <ns0:c r="C248" t="inlineStr">
        <ns0:is>
          <ns0:t>run_003</ns0:t>
        </ns0:is>
      </ns0:c>
      <ns0:c r="D248" t="inlineStr">
        <ns0:is>
          <ns0:t>humantime</ns0:t>
        </ns0:is>
      </ns0:c>
      <ns0:c r="E248" t="inlineStr">
        <ns0:is>
          <ns0:t>gemini-2.5-flash-nothinking</ns0:t>
        </ns0:is>
      </ns0:c>
      <ns0:c r="F248" t="inlineStr">
        <ns0:is>
          <ns0:t>E0433</ns0:t>
        </ns0:is>
      </ns0:c>
      <ns0:c r="G248" t="n">
        <ns0:v>0</ns0:v>
      </ns0:c>
      <ns0:c r="H248" t="n">
        <ns0:v>4312</ns0:v>
      </ns0:c>
      <ns0:c r="I248" t="n">
        <ns0:v>172</ns0:v>
      </ns0:c>
      <ns0:c r="J248" t="n">
        <ns0:v>4484</ns0:v>
      </ns0:c>
      <ns0:c r="K248" t="n">
        <ns0:v>3</ns0:v>
      </ns0:c>
      <ns0:c r="L248" t="n">
        <ns0:v>1</ns0:v>
      </ns0:c>
      <ns0:c r="M248" t="n">
        <ns0:v>89348</ns0:v>
      </ns0:c>
      <ns0:c r="N248" t="n">
        <ns0:v>927</ns0:v>
      </ns0:c>
      <ns0:c r="O248" t="n">
        <ns0:v>90275</ns0:v>
      </ns0:c>
      <ns0:c r="P248" t="n">
        <ns0:v>9</ns0:v>
      </ns0:c>
      <ns0:c r="Q248">
        <ns0:f>IF(AND(L248=1,O248*Calculations!$B$2&lt;=Calculations!$B$10*Calculations!$B$4),1,0)</ns0:f>
        <ns0:v>0</ns0:v>
      </ns0:c>
      <ns0:c r="R248">
        <ns0:f>IF(AND(L248=1,O248*Calculations!$B$2&lt;=Calculations!$B$11*Calculations!$B$4),1,0)</ns0:f>
        <ns0:v>0</ns0:v>
      </ns0:c>
    </ns0:row>
    <ns0:row r="249">
      <ns0:c r="A249" t="inlineStr">
        <ns0:is>
          <ns0:t>case_0248</ns0:t>
        </ns0:is>
      </ns0:c>
      <ns0:c r="B249" t="inlineStr">
        <ns0:is>
          <ns0:t>function_0044</ns0:t>
        </ns0:is>
      </ns0:c>
      <ns0:c r="C249" t="inlineStr">
        <ns0:is>
          <ns0:t>run_003</ns0:t>
        </ns0:is>
      </ns0:c>
      <ns0:c r="D249" t="inlineStr">
        <ns0:is>
          <ns0:t>humantime</ns0:t>
        </ns0:is>
      </ns0:c>
      <ns0:c r="E249" t="inlineStr">
        <ns0:is>
          <ns0:t>gemini-2.5-flash-nothinking</ns0:t>
        </ns0:is>
      </ns0:c>
      <ns0:c r="F249" t="inlineStr">
        <ns0:is>
          <ns0:t>E0765</ns0:t>
        </ns0:is>
      </ns0:c>
      <ns0:c r="G249" t="n">
        <ns0:v>0</ns0:v>
      </ns0:c>
      <ns0:c r="H249" t="n">
        <ns0:v>0</ns0:v>
      </ns0:c>
      <ns0:c r="I249" t="n">
        <ns0:v>0</ns0:v>
      </ns0:c>
      <ns0:c r="J249" t="n">
        <ns0:v>0</ns0:v>
      </ns0:c>
      <ns0:c r="K249" t="n">
        <ns0:v>0</ns0:v>
      </ns0:c>
      <ns0:c r="L249" t="n">
        <ns0:v>0</ns0:v>
      </ns0:c>
      <ns0:c r="M249" t="n">
        <ns0:v>35365</ns0:v>
      </ns0:c>
      <ns0:c r="N249" t="n">
        <ns0:v>165</ns0:v>
      </ns0:c>
      <ns0:c r="O249" t="n">
        <ns0:v>35530</ns0:v>
      </ns0:c>
      <ns0:c r="P249" t="n">
        <ns0:v>3</ns0:v>
      </ns0:c>
      <ns0:c r="Q249">
        <ns0:f>IF(AND(L249=1,O249*Calculations!$B$2&lt;=Calculations!$B$10*Calculations!$B$4),1,0)</ns0:f>
        <ns0:v>0</ns0:v>
      </ns0:c>
      <ns0:c r="R249">
        <ns0:f>IF(AND(L249=1,O249*Calculations!$B$2&lt;=Calculations!$B$11*Calculations!$B$4),1,0)</ns0:f>
        <ns0:v>0</ns0:v>
      </ns0:c>
    </ns0:row>
    <ns0:row r="250">
      <ns0:c r="A250" t="inlineStr">
        <ns0:is>
          <ns0:t>case_0249</ns0:t>
        </ns0:is>
      </ns0:c>
      <ns0:c r="B250" t="inlineStr">
        <ns0:is>
          <ns0:t>function_0044</ns0:t>
        </ns0:is>
      </ns0:c>
      <ns0:c r="C250" t="inlineStr">
        <ns0:is>
          <ns0:t>run_003</ns0:t>
        </ns0:is>
      </ns0:c>
      <ns0:c r="D250" t="inlineStr">
        <ns0:is>
          <ns0:t>humantime</ns0:t>
        </ns0:is>
      </ns0:c>
      <ns0:c r="E250" t="inlineStr">
        <ns0:is>
          <ns0:t>gemini-2.5-flash-nothinking</ns0:t>
        </ns0:is>
      </ns0:c>
      <ns0:c r="F250" t="inlineStr">
        <ns0:is>
          <ns0:t>E0433,E0599</ns0:t>
        </ns0:is>
      </ns0:c>
      <ns0:c r="G250" t="n">
        <ns0:v>0</ns0:v>
      </ns0:c>
      <ns0:c r="H250" t="n">
        <ns0:v>55912</ns0:v>
      </ns0:c>
      <ns0:c r="I250" t="n">
        <ns0:v>3492</ns0:v>
      </ns0:c>
      <ns0:c r="J250" t="n">
        <ns0:v>59404</ns0:v>
      </ns0:c>
      <ns0:c r="K250" t="n">
        <ns0:v>45</ns0:v>
      </ns0:c>
      <ns0:c r="L250" t="n">
        <ns0:v>1</ns0:v>
      </ns0:c>
      <ns0:c r="M250" t="n">
        <ns0:v>202430</ns0:v>
      </ns0:c>
      <ns0:c r="N250" t="n">
        <ns0:v>2780</ns0:v>
      </ns0:c>
      <ns0:c r="O250" t="n">
        <ns0:v>205210</ns0:v>
      </ns0:c>
      <ns0:c r="P250" t="n">
        <ns0:v>8</ns0:v>
      </ns0:c>
      <ns0:c r="Q250">
        <ns0:f>IF(AND(L250=1,O250*Calculations!$B$2&lt;=Calculations!$B$10*Calculations!$B$4),1,0)</ns0:f>
        <ns0:v>0</ns0:v>
      </ns0:c>
      <ns0:c r="R250">
        <ns0:f>IF(AND(L250=1,O250*Calculations!$B$2&lt;=Calculations!$B$11*Calculations!$B$4),1,0)</ns0:f>
        <ns0:v>0</ns0:v>
      </ns0:c>
    </ns0:row>
    <ns0:row r="251">
      <ns0:c r="A251" t="inlineStr">
        <ns0:is>
          <ns0:t>case_0250</ns0:t>
        </ns0:is>
      </ns0:c>
      <ns0:c r="B251" t="inlineStr">
        <ns0:is>
          <ns0:t>function_0044</ns0:t>
        </ns0:is>
      </ns0:c>
      <ns0:c r="C251" t="inlineStr">
        <ns0:is>
          <ns0:t>run_003</ns0:t>
        </ns0:is>
      </ns0:c>
      <ns0:c r="D251" t="inlineStr">
        <ns0:is>
          <ns0:t>humantime</ns0:t>
        </ns0:is>
      </ns0:c>
      <ns0:c r="E251" t="inlineStr">
        <ns0:is>
          <ns0:t>gemini-2.5-flash-nothinking</ns0:t>
        </ns0:is>
      </ns0:c>
      <ns0:c r="F251" t="inlineStr">
        <ns0:is>
          <ns0:t>E0599</ns0:t>
        </ns0:is>
      </ns0:c>
      <ns0:c r="G251" t="n">
        <ns0:v>1</ns0:v>
      </ns0:c>
      <ns0:c r="H251" t="n">
        <ns0:v>2521</ns0:v>
      </ns0:c>
      <ns0:c r="I251" t="n">
        <ns0:v>719</ns0:v>
      </ns0:c>
      <ns0:c r="J251" t="n">
        <ns0:v>3240</ns0:v>
      </ns0:c>
      <ns0:c r="K251" t="n">
        <ns0:v>1</ns0:v>
      </ns0:c>
      <ns0:c r="L251" t="n">
        <ns0:v>1</ns0:v>
      </ns0:c>
      <ns0:c r="M251" t="n">
        <ns0:v>59976</ns0:v>
      </ns0:c>
      <ns0:c r="N251" t="n">
        <ns0:v>1054</ns0:v>
      </ns0:c>
      <ns0:c r="O251" t="n">
        <ns0:v>61030</ns0:v>
      </ns0:c>
      <ns0:c r="P251" t="n">
        <ns0:v>4</ns0:v>
      </ns0:c>
      <ns0:c r="Q251">
        <ns0:f>IF(AND(L251=1,O251*Calculations!$B$2&lt;=Calculations!$B$10*Calculations!$B$4),1,0)</ns0:f>
        <ns0:v>0</ns0:v>
      </ns0:c>
      <ns0:c r="R251">
        <ns0:f>IF(AND(L251=1,O251*Calculations!$B$2&lt;=Calculations!$B$11*Calculations!$B$4),1,0)</ns0:f>
        <ns0:v>0</ns0:v>
      </ns0:c>
    </ns0:row>
    <ns0:row r="252">
      <ns0:c r="A252" t="inlineStr">
        <ns0:is>
          <ns0:t>case_0251</ns0:t>
        </ns0:is>
      </ns0:c>
      <ns0:c r="B252" t="inlineStr">
        <ns0:is>
          <ns0:t>function_0044</ns0:t>
        </ns0:is>
      </ns0:c>
      <ns0:c r="C252" t="inlineStr">
        <ns0:is>
          <ns0:t>run_003</ns0:t>
        </ns0:is>
      </ns0:c>
      <ns0:c r="D252" t="inlineStr">
        <ns0:is>
          <ns0:t>humantime</ns0:t>
        </ns0:is>
      </ns0:c>
      <ns0:c r="E252" t="inlineStr">
        <ns0:is>
          <ns0:t>gemini-2.5-flash-nothinking</ns0:t>
        </ns0:is>
      </ns0:c>
      <ns0:c r="F252" t="inlineStr">
        <ns0:is>
          <ns0:t>E0599</ns0:t>
        </ns0:is>
      </ns0:c>
      <ns0:c r="G252" t="n">
        <ns0:v>0</ns0:v>
      </ns0:c>
      <ns0:c r="H252" t="n">
        <ns0:v>19005</ns0:v>
      </ns0:c>
      <ns0:c r="I252" t="n">
        <ns0:v>2447</ns0:v>
      </ns0:c>
      <ns0:c r="J252" t="n">
        <ns0:v>21452</ns0:v>
      </ns0:c>
      <ns0:c r="K252" t="n">
        <ns0:v>9</ns0:v>
      </ns0:c>
      <ns0:c r="L252" t="n">
        <ns0:v>1</ns0:v>
      </ns0:c>
      <ns0:c r="M252" t="n">
        <ns0:v>66530</ns0:v>
      </ns0:c>
      <ns0:c r="N252" t="n">
        <ns0:v>1401</ns0:v>
      </ns0:c>
      <ns0:c r="O252" t="n">
        <ns0:v>67931</ns0:v>
      </ns0:c>
      <ns0:c r="P252" t="n">
        <ns0:v>4</ns0:v>
      </ns0:c>
      <ns0:c r="Q252">
        <ns0:f>IF(AND(L252=1,O252*Calculations!$B$2&lt;=Calculations!$B$10*Calculations!$B$4),1,0)</ns0:f>
        <ns0:v>0</ns0:v>
      </ns0:c>
      <ns0:c r="R252">
        <ns0:f>IF(AND(L252=1,O252*Calculations!$B$2&lt;=Calculations!$B$11*Calculations!$B$4),1,0)</ns0:f>
        <ns0:v>0</ns0:v>
      </ns0:c>
    </ns0:row>
    <ns0:row r="253">
      <ns0:c r="A253" t="inlineStr">
        <ns0:is>
          <ns0:t>case_0252</ns0:t>
        </ns0:is>
      </ns0:c>
      <ns0:c r="B253" t="inlineStr">
        <ns0:is>
          <ns0:t>function_0044</ns0:t>
        </ns0:is>
      </ns0:c>
      <ns0:c r="C253" t="inlineStr">
        <ns0:is>
          <ns0:t>run_003</ns0:t>
        </ns0:is>
      </ns0:c>
      <ns0:c r="D253" t="inlineStr">
        <ns0:is>
          <ns0:t>humantime</ns0:t>
        </ns0:is>
      </ns0:c>
      <ns0:c r="E253" t="inlineStr">
        <ns0:is>
          <ns0:t>gemini-2.5-flash-nothinking</ns0:t>
        </ns0:is>
      </ns0:c>
      <ns0:c r="F253" t="inlineStr">
        <ns0:is>
          <ns0:t>E0533,E0599</ns0:t>
        </ns0:is>
      </ns0:c>
      <ns0:c r="G253" t="n">
        <ns0:v>0</ns0:v>
      </ns0:c>
      <ns0:c r="H253" t="n">
        <ns0:v>73504</ns0:v>
      </ns0:c>
      <ns0:c r="I253" t="n">
        <ns0:v>3435</ns0:v>
      </ns0:c>
      <ns0:c r="J253" t="n">
        <ns0:v>76939</ns0:v>
      </ns0:c>
      <ns0:c r="K253" t="n">
        <ns0:v>39</ns0:v>
      </ns0:c>
      <ns0:c r="L253" t="n">
        <ns0:v>0</ns0:v>
      </ns0:c>
      <ns0:c r="M253" t="n">
        <ns0:v>97276</ns0:v>
      </ns0:c>
      <ns0:c r="N253" t="n">
        <ns0:v>1240</ns0:v>
      </ns0:c>
      <ns0:c r="O253" t="n">
        <ns0:v>98516</ns0:v>
      </ns0:c>
      <ns0:c r="P253" t="n">
        <ns0:v>8</ns0:v>
      </ns0:c>
      <ns0:c r="Q253">
        <ns0:f>IF(AND(L253=1,O253*Calculations!$B$2&lt;=Calculations!$B$10*Calculations!$B$4),1,0)</ns0:f>
        <ns0:v>0</ns0:v>
      </ns0:c>
      <ns0:c r="R253">
        <ns0:f>IF(AND(L253=1,O253*Calculations!$B$2&lt;=Calculations!$B$11*Calculations!$B$4),1,0)</ns0:f>
        <ns0:v>0</ns0:v>
      </ns0:c>
    </ns0:row>
    <ns0:row r="254">
      <ns0:c r="A254" t="inlineStr">
        <ns0:is>
          <ns0:t>case_0253</ns0:t>
        </ns0:is>
      </ns0:c>
      <ns0:c r="B254" t="inlineStr">
        <ns0:is>
          <ns0:t>function_0045</ns0:t>
        </ns0:is>
      </ns0:c>
      <ns0:c r="C254" t="inlineStr">
        <ns0:is>
          <ns0:t>run_003</ns0:t>
        </ns0:is>
      </ns0:c>
      <ns0:c r="D254" t="inlineStr">
        <ns0:is>
          <ns0:t>humantime</ns0:t>
        </ns0:is>
      </ns0:c>
      <ns0:c r="E254" t="inlineStr">
        <ns0:is>
          <ns0:t>gemini-2.5-flash-nothinking</ns0:t>
        </ns0:is>
      </ns0:c>
      <ns0:c r="F254" t="inlineStr">
        <ns0:is>
          <ns0:t>E0560</ns0:t>
        </ns0:is>
      </ns0:c>
      <ns0:c r="G254" t="n">
        <ns0:v>1</ns0:v>
      </ns0:c>
      <ns0:c r="H254" t="n">
        <ns0:v>2175</ns0:v>
      </ns0:c>
      <ns0:c r="I254" t="n">
        <ns0:v>362</ns0:v>
      </ns0:c>
      <ns0:c r="J254" t="n">
        <ns0:v>2537</ns0:v>
      </ns0:c>
      <ns0:c r="K254" t="n">
        <ns0:v>1</ns0:v>
      </ns0:c>
      <ns0:c r="L254" t="n">
        <ns0:v>0</ns0:v>
      </ns0:c>
      <ns0:c r="M254" t="n">
        <ns0:v>22649</ns0:v>
      </ns0:c>
      <ns0:c r="N254" t="n">
        <ns0:v>238</ns0:v>
      </ns0:c>
      <ns0:c r="O254" t="n">
        <ns0:v>22887</ns0:v>
      </ns0:c>
      <ns0:c r="P254" t="n">
        <ns0:v>3</ns0:v>
      </ns0:c>
      <ns0:c r="Q254">
        <ns0:f>IF(AND(L254=1,O254*Calculations!$B$2&lt;=Calculations!$B$10*Calculations!$B$4),1,0)</ns0:f>
        <ns0:v>0</ns0:v>
      </ns0:c>
      <ns0:c r="R254">
        <ns0:f>IF(AND(L254=1,O254*Calculations!$B$2&lt;=Calculations!$B$11*Calculations!$B$4),1,0)</ns0:f>
        <ns0:v>0</ns0:v>
      </ns0:c>
    </ns0:row>
    <ns0:row r="255">
      <ns0:c r="A255" t="inlineStr">
        <ns0:is>
          <ns0:t>case_0254</ns0:t>
        </ns0:is>
      </ns0:c>
      <ns0:c r="B255" t="inlineStr">
        <ns0:is>
          <ns0:t>function_0045</ns0:t>
        </ns0:is>
      </ns0:c>
      <ns0:c r="C255" t="inlineStr">
        <ns0:is>
          <ns0:t>run_003</ns0:t>
        </ns0:is>
      </ns0:c>
      <ns0:c r="D255" t="inlineStr">
        <ns0:is>
          <ns0:t>humantime</ns0:t>
        </ns0:is>
      </ns0:c>
      <ns0:c r="E255" t="inlineStr">
        <ns0:is>
          <ns0:t>gemini-2.5-flash-nothinking</ns0:t>
        </ns0:is>
      </ns0:c>
      <ns0:c r="F255" t="inlineStr">
        <ns0:is>
          <ns0:t>E0107,E0432,E0599</ns0:t>
        </ns0:is>
      </ns0:c>
      <ns0:c r="G255" t="n">
        <ns0:v>0</ns0:v>
      </ns0:c>
      <ns0:c r="H255" t="n">
        <ns0:v>7769</ns0:v>
      </ns0:c>
      <ns0:c r="I255" t="n">
        <ns0:v>1140</ns0:v>
      </ns0:c>
      <ns0:c r="J255" t="n">
        <ns0:v>8909</ns0:v>
      </ns0:c>
      <ns0:c r="K255" t="n">
        <ns0:v>3</ns0:v>
      </ns0:c>
      <ns0:c r="L255" t="n">
        <ns0:v>0</ns0:v>
      </ns0:c>
      <ns0:c r="M255" t="n">
        <ns0:v>248312</ns0:v>
      </ns0:c>
      <ns0:c r="N255" t="n">
        <ns0:v>1547</ns0:v>
      </ns0:c>
      <ns0:c r="O255" t="n">
        <ns0:v>249859</ns0:v>
      </ns0:c>
      <ns0:c r="P255" t="n">
        <ns0:v>17</ns0:v>
      </ns0:c>
      <ns0:c r="Q255">
        <ns0:f>IF(AND(L255=1,O255*Calculations!$B$2&lt;=Calculations!$B$10*Calculations!$B$4),1,0)</ns0:f>
        <ns0:v>0</ns0:v>
      </ns0:c>
      <ns0:c r="R255">
        <ns0:f>IF(AND(L255=1,O255*Calculations!$B$2&lt;=Calculations!$B$11*Calculations!$B$4),1,0)</ns0:f>
        <ns0:v>0</ns0:v>
      </ns0:c>
    </ns0:row>
    <ns0:row r="256">
      <ns0:c r="A256" t="inlineStr">
        <ns0:is>
          <ns0:t>case_0255</ns0:t>
        </ns0:is>
      </ns0:c>
      <ns0:c r="B256" t="inlineStr">
        <ns0:is>
          <ns0:t>function_0045</ns0:t>
        </ns0:is>
      </ns0:c>
      <ns0:c r="C256" t="inlineStr">
        <ns0:is>
          <ns0:t>run_003</ns0:t>
        </ns0:is>
      </ns0:c>
      <ns0:c r="D256" t="inlineStr">
        <ns0:is>
          <ns0:t>humantime</ns0:t>
        </ns0:is>
      </ns0:c>
      <ns0:c r="E256" t="inlineStr">
        <ns0:is>
          <ns0:t>gemini-2.5-flash-nothinking</ns0:t>
        </ns0:is>
      </ns0:c>
      <ns0:c r="F256" t="inlineStr">
        <ns0:is>
          <ns0:t>E0107,E0599</ns0:t>
        </ns0:is>
      </ns0:c>
      <ns0:c r="G256" t="n">
        <ns0:v>1</ns0:v>
      </ns0:c>
      <ns0:c r="H256" t="n">
        <ns0:v>2675</ns0:v>
      </ns0:c>
      <ns0:c r="I256" t="n">
        <ns0:v>742</ns0:v>
      </ns0:c>
      <ns0:c r="J256" t="n">
        <ns0:v>3417</ns0:v>
      </ns0:c>
      <ns0:c r="K256" t="n">
        <ns0:v>1</ns0:v>
      </ns0:c>
      <ns0:c r="L256" t="n">
        <ns0:v>0</ns0:v>
      </ns0:c>
      <ns0:c r="M256" t="n">
        <ns0:v>226696</ns0:v>
      </ns0:c>
      <ns0:c r="N256" t="n">
        <ns0:v>1813</ns0:v>
      </ns0:c>
      <ns0:c r="O256" t="n">
        <ns0:v>228509</ns0:v>
      </ns0:c>
      <ns0:c r="P256" t="n">
        <ns0:v>13</ns0:v>
      </ns0:c>
      <ns0:c r="Q256">
        <ns0:f>IF(AND(L256=1,O256*Calculations!$B$2&lt;=Calculations!$B$10*Calculations!$B$4),1,0)</ns0:f>
        <ns0:v>0</ns0:v>
      </ns0:c>
      <ns0:c r="R256">
        <ns0:f>IF(AND(L256=1,O256*Calculations!$B$2&lt;=Calculations!$B$11*Calculations!$B$4),1,0)</ns0:f>
        <ns0:v>0</ns0:v>
      </ns0:c>
    </ns0:row>
    <ns0:row r="257">
      <ns0:c r="A257" t="inlineStr">
        <ns0:is>
          <ns0:t>case_0256</ns0:t>
        </ns0:is>
      </ns0:c>
      <ns0:c r="B257" t="inlineStr">
        <ns0:is>
          <ns0:t>function_0045</ns0:t>
        </ns0:is>
      </ns0:c>
      <ns0:c r="C257" t="inlineStr">
        <ns0:is>
          <ns0:t>run_003</ns0:t>
        </ns0:is>
      </ns0:c>
      <ns0:c r="D257" t="inlineStr">
        <ns0:is>
          <ns0:t>humantime</ns0:t>
        </ns0:is>
      </ns0:c>
      <ns0:c r="E257" t="inlineStr">
        <ns0:is>
          <ns0:t>gemini-2.5-flash-nothinking</ns0:t>
        </ns0:is>
      </ns0:c>
      <ns0:c r="F257" t="inlineStr">
        <ns0:is>
          <ns0:t>E0107,E0599</ns0:t>
        </ns0:is>
      </ns0:c>
      <ns0:c r="G257" t="n">
        <ns0:v>0</ns0:v>
      </ns0:c>
      <ns0:c r="H257" t="n">
        <ns0:v>15332</ns0:v>
      </ns0:c>
      <ns0:c r="I257" t="n">
        <ns0:v>1461</ns0:v>
      </ns0:c>
      <ns0:c r="J257" t="n">
        <ns0:v>16793</ns0:v>
      </ns0:c>
      <ns0:c r="K257" t="n">
        <ns0:v>18</ns0:v>
      </ns0:c>
      <ns0:c r="L257" t="n">
        <ns0:v>0</ns0:v>
      </ns0:c>
      <ns0:c r="M257" t="n">
        <ns0:v>54857</ns0:v>
      </ns0:c>
      <ns0:c r="N257" t="n">
        <ns0:v>757</ns0:v>
      </ns0:c>
      <ns0:c r="O257" t="n">
        <ns0:v>55614</ns0:v>
      </ns0:c>
      <ns0:c r="P257" t="n">
        <ns0:v>6</ns0:v>
      </ns0:c>
      <ns0:c r="Q257">
        <ns0:f>IF(AND(L257=1,O257*Calculations!$B$2&lt;=Calculations!$B$10*Calculations!$B$4),1,0)</ns0:f>
        <ns0:v>0</ns0:v>
      </ns0:c>
      <ns0:c r="R257">
        <ns0:f>IF(AND(L257=1,O257*Calculations!$B$2&lt;=Calculations!$B$11*Calculations!$B$4),1,0)</ns0:f>
        <ns0:v>0</ns0:v>
      </ns0:c>
    </ns0:row>
    <ns0:row r="258">
      <ns0:c r="A258" t="inlineStr">
        <ns0:is>
          <ns0:t>case_0257</ns0:t>
        </ns0:is>
      </ns0:c>
      <ns0:c r="B258" t="inlineStr">
        <ns0:is>
          <ns0:t>function_0045</ns0:t>
        </ns0:is>
      </ns0:c>
      <ns0:c r="C258" t="inlineStr">
        <ns0:is>
          <ns0:t>run_003</ns0:t>
        </ns0:is>
      </ns0:c>
      <ns0:c r="D258" t="inlineStr">
        <ns0:is>
          <ns0:t>humantime</ns0:t>
        </ns0:is>
      </ns0:c>
      <ns0:c r="E258" t="inlineStr">
        <ns0:is>
          <ns0:t>gemini-2.5-flash-nothinking</ns0:t>
        </ns0:is>
      </ns0:c>
      <ns0:c r="F258" t="inlineStr">
        <ns0:is>
          <ns0:t>E0599</ns0:t>
        </ns0:is>
      </ns0:c>
      <ns0:c r="G258" t="n">
        <ns0:v>1</ns0:v>
      </ns0:c>
      <ns0:c r="H258" t="n">
        <ns0:v>2583</ns0:v>
      </ns0:c>
      <ns0:c r="I258" t="n">
        <ns0:v>613</ns0:v>
      </ns0:c>
      <ns0:c r="J258" t="n">
        <ns0:v>3196</ns0:v>
      </ns0:c>
      <ns0:c r="K258" t="n">
        <ns0:v>1</ns0:v>
      </ns0:c>
      <ns0:c r="L258" t="n">
        <ns0:v>1</ns0:v>
      </ns0:c>
      <ns0:c r="M258" t="n">
        <ns0:v>59110</ns0:v>
      </ns0:c>
      <ns0:c r="N258" t="n">
        <ns0:v>912</ns0:v>
      </ns0:c>
      <ns0:c r="O258" t="n">
        <ns0:v>60022</ns0:v>
      </ns0:c>
      <ns0:c r="P258" t="n">
        <ns0:v>4</ns0:v>
      </ns0:c>
      <ns0:c r="Q258">
        <ns0:f>IF(AND(L258=1,O258*Calculations!$B$2&lt;=Calculations!$B$10*Calculations!$B$4),1,0)</ns0:f>
        <ns0:v>0</ns0:v>
      </ns0:c>
      <ns0:c r="R258">
        <ns0:f>IF(AND(L258=1,O258*Calculations!$B$2&lt;=Calculations!$B$11*Calculations!$B$4),1,0)</ns0:f>
        <ns0:v>0</ns0:v>
      </ns0:c>
    </ns0:row>
    <ns0:row r="259">
      <ns0:c r="A259" t="inlineStr">
        <ns0:is>
          <ns0:t>case_0258</ns0:t>
        </ns0:is>
      </ns0:c>
      <ns0:c r="B259" t="inlineStr">
        <ns0:is>
          <ns0:t>function_0045</ns0:t>
        </ns0:is>
      </ns0:c>
      <ns0:c r="C259" t="inlineStr">
        <ns0:is>
          <ns0:t>run_003</ns0:t>
        </ns0:is>
      </ns0:c>
      <ns0:c r="D259" t="inlineStr">
        <ns0:is>
          <ns0:t>humantime</ns0:t>
        </ns0:is>
      </ns0:c>
      <ns0:c r="E259" t="inlineStr">
        <ns0:is>
          <ns0:t>gemini-2.5-flash-nothinking</ns0:t>
        </ns0:is>
      </ns0:c>
      <ns0:c r="F259" t="inlineStr">
        <ns0:is>
          <ns0:t>E0599</ns0:t>
        </ns0:is>
      </ns0:c>
      <ns0:c r="G259" t="n">
        <ns0:v>1</ns0:v>
      </ns0:c>
      <ns0:c r="H259" t="n">
        <ns0:v>2517</ns0:v>
      </ns0:c>
      <ns0:c r="I259" t="n">
        <ns0:v>617</ns0:v>
      </ns0:c>
      <ns0:c r="J259" t="n">
        <ns0:v>3134</ns0:v>
      </ns0:c>
      <ns0:c r="K259" t="n">
        <ns0:v>1</ns0:v>
      </ns0:c>
      <ns0:c r="L259" t="n">
        <ns0:v>0</ns0:v>
      </ns0:c>
      <ns0:c r="M259" t="n">
        <ns0:v>35503</ns0:v>
      </ns0:c>
      <ns0:c r="N259" t="n">
        <ns0:v>594</ns0:v>
      </ns0:c>
      <ns0:c r="O259" t="n">
        <ns0:v>36097</ns0:v>
      </ns0:c>
      <ns0:c r="P259" t="n">
        <ns0:v>4</ns0:v>
      </ns0:c>
      <ns0:c r="Q259">
        <ns0:f>IF(AND(L259=1,O259*Calculations!$B$2&lt;=Calculations!$B$10*Calculations!$B$4),1,0)</ns0:f>
        <ns0:v>0</ns0:v>
      </ns0:c>
      <ns0:c r="R259">
        <ns0:f>IF(AND(L259=1,O259*Calculations!$B$2&lt;=Calculations!$B$11*Calculations!$B$4),1,0)</ns0:f>
        <ns0:v>0</ns0:v>
      </ns0:c>
    </ns0:row>
    <ns0:row r="260">
      <ns0:c r="A260" t="inlineStr">
        <ns0:is>
          <ns0:t>case_0259</ns0:t>
        </ns0:is>
      </ns0:c>
      <ns0:c r="B260" t="inlineStr">
        <ns0:is>
          <ns0:t>function_0045</ns0:t>
        </ns0:is>
      </ns0:c>
      <ns0:c r="C260" t="inlineStr">
        <ns0:is>
          <ns0:t>run_003</ns0:t>
        </ns0:is>
      </ns0:c>
      <ns0:c r="D260" t="inlineStr">
        <ns0:is>
          <ns0:t>humantime</ns0:t>
        </ns0:is>
      </ns0:c>
      <ns0:c r="E260" t="inlineStr">
        <ns0:is>
          <ns0:t>gemini-2.5-flash-nothinking</ns0:t>
        </ns0:is>
      </ns0:c>
      <ns0:c r="F260" t="inlineStr">
        <ns0:is>
          <ns0:t>E0432,E0599</ns0:t>
        </ns0:is>
      </ns0:c>
      <ns0:c r="G260" t="n">
        <ns0:v>0</ns0:v>
      </ns0:c>
      <ns0:c r="H260" t="n">
        <ns0:v>14164</ns0:v>
      </ns0:c>
      <ns0:c r="I260" t="n">
        <ns0:v>1606</ns0:v>
      </ns0:c>
      <ns0:c r="J260" t="n">
        <ns0:v>15770</ns0:v>
      </ns0:c>
      <ns0:c r="K260" t="n">
        <ns0:v>15</ns0:v>
      </ns0:c>
      <ns0:c r="L260" t="n">
        <ns0:v>1</ns0:v>
      </ns0:c>
      <ns0:c r="M260" t="n">
        <ns0:v>272311</ns0:v>
      </ns0:c>
      <ns0:c r="N260" t="n">
        <ns0:v>1338</ns0:v>
      </ns0:c>
      <ns0:c r="O260" t="n">
        <ns0:v>273649</ns0:v>
      </ns0:c>
      <ns0:c r="P260" t="n">
        <ns0:v>16</ns0:v>
      </ns0:c>
      <ns0:c r="Q260">
        <ns0:f>IF(AND(L260=1,O260*Calculations!$B$2&lt;=Calculations!$B$10*Calculations!$B$4),1,0)</ns0:f>
        <ns0:v>0</ns0:v>
      </ns0:c>
      <ns0:c r="R260">
        <ns0:f>IF(AND(L260=1,O260*Calculations!$B$2&lt;=Calculations!$B$11*Calculations!$B$4),1,0)</ns0:f>
        <ns0:v>0</ns0:v>
      </ns0:c>
    </ns0:row>
    <ns0:row r="261">
      <ns0:c r="A261" t="inlineStr">
        <ns0:is>
          <ns0:t>case_0260</ns0:t>
        </ns0:is>
      </ns0:c>
      <ns0:c r="B261" t="inlineStr">
        <ns0:is>
          <ns0:t>function_0045</ns0:t>
        </ns0:is>
      </ns0:c>
      <ns0:c r="C261" t="inlineStr">
        <ns0:is>
          <ns0:t>run_003</ns0:t>
        </ns0:is>
      </ns0:c>
      <ns0:c r="D261" t="inlineStr">
        <ns0:is>
          <ns0:t>humantime</ns0:t>
        </ns0:is>
      </ns0:c>
      <ns0:c r="E261" t="inlineStr">
        <ns0:is>
          <ns0:t>gemini-2.5-flash-nothinking</ns0:t>
        </ns0:is>
      </ns0:c>
      <ns0:c r="F261" t="inlineStr">
        <ns0:is>
          <ns0:t>E0432,E0599</ns0:t>
        </ns0:is>
      </ns0:c>
      <ns0:c r="G261" t="n">
        <ns0:v>0</ns0:v>
      </ns0:c>
      <ns0:c r="H261" t="n">
        <ns0:v>4474</ns0:v>
      </ns0:c>
      <ns0:c r="I261" t="n">
        <ns0:v>1080</ns0:v>
      </ns0:c>
      <ns0:c r="J261" t="n">
        <ns0:v>5554</ns0:v>
      </ns0:c>
      <ns0:c r="K261" t="n">
        <ns0:v>3</ns0:v>
      </ns0:c>
      <ns0:c r="L261" t="n">
        <ns0:v>1</ns0:v>
      </ns0:c>
      <ns0:c r="M261" t="n">
        <ns0:v>86463</ns0:v>
      </ns0:c>
      <ns0:c r="N261" t="n">
        <ns0:v>763</ns0:v>
      </ns0:c>
      <ns0:c r="O261" t="n">
        <ns0:v>87226</ns0:v>
      </ns0:c>
      <ns0:c r="P261" t="n">
        <ns0:v>10</ns0:v>
      </ns0:c>
      <ns0:c r="Q261">
        <ns0:f>IF(AND(L261=1,O261*Calculations!$B$2&lt;=Calculations!$B$10*Calculations!$B$4),1,0)</ns0:f>
        <ns0:v>0</ns0:v>
      </ns0:c>
      <ns0:c r="R261">
        <ns0:f>IF(AND(L261=1,O261*Calculations!$B$2&lt;=Calculations!$B$11*Calculations!$B$4),1,0)</ns0:f>
        <ns0:v>0</ns0:v>
      </ns0:c>
    </ns0:row>
    <ns0:row r="262">
      <ns0:c r="A262" t="inlineStr">
        <ns0:is>
          <ns0:t>case_0261</ns0:t>
        </ns0:is>
      </ns0:c>
      <ns0:c r="B262" t="inlineStr">
        <ns0:is>
          <ns0:t>function_0045</ns0:t>
        </ns0:is>
      </ns0:c>
      <ns0:c r="C262" t="inlineStr">
        <ns0:is>
          <ns0:t>run_003</ns0:t>
        </ns0:is>
      </ns0:c>
      <ns0:c r="D262" t="inlineStr">
        <ns0:is>
          <ns0:t>humantime</ns0:t>
        </ns0:is>
      </ns0:c>
      <ns0:c r="E262" t="inlineStr">
        <ns0:is>
          <ns0:t>gemini-2.5-flash-nothinking</ns0:t>
        </ns0:is>
      </ns0:c>
      <ns0:c r="F262" t="inlineStr">
        <ns0:is>
          <ns0:t>E0599</ns0:t>
        </ns0:is>
      </ns0:c>
      <ns0:c r="G262" t="n">
        <ns0:v>0</ns0:v>
      </ns0:c>
      <ns0:c r="H262" t="n">
        <ns0:v>4674</ns0:v>
      </ns0:c>
      <ns0:c r="I262" t="n">
        <ns0:v>1344</ns0:v>
      </ns0:c>
      <ns0:c r="J262" t="n">
        <ns0:v>6018</ns0:v>
      </ns0:c>
      <ns0:c r="K262" t="n">
        <ns0:v>3</ns0:v>
      </ns0:c>
      <ns0:c r="L262" t="n">
        <ns0:v>1</ns0:v>
      </ns0:c>
      <ns0:c r="M262" t="n">
        <ns0:v>121593</ns0:v>
      </ns0:c>
      <ns0:c r="N262" t="n">
        <ns0:v>980</ns0:v>
      </ns0:c>
      <ns0:c r="O262" t="n">
        <ns0:v>122573</ns0:v>
      </ns0:c>
      <ns0:c r="P262" t="n">
        <ns0:v>8</ns0:v>
      </ns0:c>
      <ns0:c r="Q262">
        <ns0:f>IF(AND(L262=1,O262*Calculations!$B$2&lt;=Calculations!$B$10*Calculations!$B$4),1,0)</ns0:f>
        <ns0:v>0</ns0:v>
      </ns0:c>
      <ns0:c r="R262">
        <ns0:f>IF(AND(L262=1,O262*Calculations!$B$2&lt;=Calculations!$B$11*Calculations!$B$4),1,0)</ns0:f>
        <ns0:v>0</ns0:v>
      </ns0:c>
    </ns0:row>
    <ns0:row r="263">
      <ns0:c r="A263" t="inlineStr">
        <ns0:is>
          <ns0:t>case_0262</ns0:t>
        </ns0:is>
      </ns0:c>
      <ns0:c r="B263" t="inlineStr">
        <ns0:is>
          <ns0:t>function_0045</ns0:t>
        </ns0:is>
      </ns0:c>
      <ns0:c r="C263" t="inlineStr">
        <ns0:is>
          <ns0:t>run_003</ns0:t>
        </ns0:is>
      </ns0:c>
      <ns0:c r="D263" t="inlineStr">
        <ns0:is>
          <ns0:t>humantime</ns0:t>
        </ns0:is>
      </ns0:c>
      <ns0:c r="E263" t="inlineStr">
        <ns0:is>
          <ns0:t>gemini-2.5-flash-nothinking</ns0:t>
        </ns0:is>
      </ns0:c>
      <ns0:c r="F263" t="inlineStr">
        <ns0:is>
          <ns0:t>E0599</ns0:t>
        </ns0:is>
      </ns0:c>
      <ns0:c r="G263" t="n">
        <ns0:v>1</ns0:v>
      </ns0:c>
      <ns0:c r="H263" t="n">
        <ns0:v>2306</ns0:v>
      </ns0:c>
      <ns0:c r="I263" t="n">
        <ns0:v>449</ns0:v>
      </ns0:c>
      <ns0:c r="J263" t="n">
        <ns0:v>2755</ns0:v>
      </ns0:c>
      <ns0:c r="K263" t="n">
        <ns0:v>1</ns0:v>
      </ns0:c>
      <ns0:c r="L263" t="n">
        <ns0:v>1</ns0:v>
      </ns0:c>
      <ns0:c r="M263" t="n">
        <ns0:v>135607</ns0:v>
      </ns0:c>
      <ns0:c r="N263" t="n">
        <ns0:v>817</ns0:v>
      </ns0:c>
      <ns0:c r="O263" t="n">
        <ns0:v>136424</ns0:v>
      </ns0:c>
      <ns0:c r="P263" t="n">
        <ns0:v>9</ns0:v>
      </ns0:c>
      <ns0:c r="Q263">
        <ns0:f>IF(AND(L263=1,O263*Calculations!$B$2&lt;=Calculations!$B$10*Calculations!$B$4),1,0)</ns0:f>
        <ns0:v>0</ns0:v>
      </ns0:c>
      <ns0:c r="R263">
        <ns0:f>IF(AND(L263=1,O263*Calculations!$B$2&lt;=Calculations!$B$11*Calculations!$B$4),1,0)</ns0:f>
        <ns0:v>0</ns0:v>
      </ns0:c>
    </ns0:row>
    <ns0:row r="264">
      <ns0:c r="A264" t="inlineStr">
        <ns0:is>
          <ns0:t>case_0263</ns0:t>
        </ns0:is>
      </ns0:c>
      <ns0:c r="B264" t="inlineStr">
        <ns0:is>
          <ns0:t>function_0045</ns0:t>
        </ns0:is>
      </ns0:c>
      <ns0:c r="C264" t="inlineStr">
        <ns0:is>
          <ns0:t>run_003</ns0:t>
        </ns0:is>
      </ns0:c>
      <ns0:c r="D264" t="inlineStr">
        <ns0:is>
          <ns0:t>humantime</ns0:t>
        </ns0:is>
      </ns0:c>
      <ns0:c r="E264" t="inlineStr">
        <ns0:is>
          <ns0:t>gemini-2.5-flash-nothinking</ns0:t>
        </ns0:is>
      </ns0:c>
      <ns0:c r="F264" t="inlineStr">
        <ns0:is>
          <ns0:t>E0599</ns0:t>
        </ns0:is>
      </ns0:c>
      <ns0:c r="G264" t="n">
        <ns0:v>1</ns0:v>
      </ns0:c>
      <ns0:c r="H264" t="n">
        <ns0:v>2463</ns0:v>
      </ns0:c>
      <ns0:c r="I264" t="n">
        <ns0:v>579</ns0:v>
      </ns0:c>
      <ns0:c r="J264" t="n">
        <ns0:v>3042</ns0:v>
      </ns0:c>
      <ns0:c r="K264" t="n">
        <ns0:v>1</ns0:v>
      </ns0:c>
      <ns0:c r="L264" t="n">
        <ns0:v>0</ns0:v>
      </ns0:c>
      <ns0:c r="M264" t="n">
        <ns0:v>35263</ns0:v>
      </ns0:c>
      <ns0:c r="N264" t="n">
        <ns0:v>365</ns0:v>
      </ns0:c>
      <ns0:c r="O264" t="n">
        <ns0:v>35628</ns0:v>
      </ns0:c>
      <ns0:c r="P264" t="n">
        <ns0:v>4</ns0:v>
      </ns0:c>
      <ns0:c r="Q264">
        <ns0:f>IF(AND(L264=1,O264*Calculations!$B$2&lt;=Calculations!$B$10*Calculations!$B$4),1,0)</ns0:f>
        <ns0:v>0</ns0:v>
      </ns0:c>
      <ns0:c r="R264">
        <ns0:f>IF(AND(L264=1,O264*Calculations!$B$2&lt;=Calculations!$B$11*Calculations!$B$4),1,0)</ns0:f>
        <ns0:v>0</ns0:v>
      </ns0:c>
    </ns0:row>
    <ns0:row r="265">
      <ns0:c r="A265" t="inlineStr">
        <ns0:is>
          <ns0:t>case_0264</ns0:t>
        </ns0:is>
      </ns0:c>
      <ns0:c r="B265" t="inlineStr">
        <ns0:is>
          <ns0:t>function_0045</ns0:t>
        </ns0:is>
      </ns0:c>
      <ns0:c r="C265" t="inlineStr">
        <ns0:is>
          <ns0:t>run_003</ns0:t>
        </ns0:is>
      </ns0:c>
      <ns0:c r="D265" t="inlineStr">
        <ns0:is>
          <ns0:t>humantime</ns0:t>
        </ns0:is>
      </ns0:c>
      <ns0:c r="E265" t="inlineStr">
        <ns0:is>
          <ns0:t>gemini-2.5-flash-nothinking</ns0:t>
        </ns0:is>
      </ns0:c>
      <ns0:c r="F265" t="inlineStr">
        <ns0:is>
          <ns0:t>E0432,E0599</ns0:t>
        </ns0:is>
      </ns0:c>
      <ns0:c r="G265" t="n">
        <ns0:v>0</ns0:v>
      </ns0:c>
      <ns0:c r="H265" t="n">
        <ns0:v>31691</ns0:v>
      </ns0:c>
      <ns0:c r="I265" t="n">
        <ns0:v>1415</ns0:v>
      </ns0:c>
      <ns0:c r="J265" t="n">
        <ns0:v>33106</ns0:v>
      </ns0:c>
      <ns0:c r="K265" t="n">
        <ns0:v>17</ns0:v>
      </ns0:c>
      <ns0:c r="L265" t="n">
        <ns0:v>0</ns0:v>
      </ns0:c>
      <ns0:c r="M265" t="n">
        <ns0:v>216235</ns0:v>
      </ns0:c>
      <ns0:c r="N265" t="n">
        <ns0:v>2695</ns0:v>
      </ns0:c>
      <ns0:c r="O265" t="n">
        <ns0:v>218930</ns0:v>
      </ns0:c>
      <ns0:c r="P265" t="n">
        <ns0:v>20</ns0:v>
      </ns0:c>
      <ns0:c r="Q265">
        <ns0:f>IF(AND(L265=1,O265*Calculations!$B$2&lt;=Calculations!$B$10*Calculations!$B$4),1,0)</ns0:f>
        <ns0:v>0</ns0:v>
      </ns0:c>
      <ns0:c r="R265">
        <ns0:f>IF(AND(L265=1,O265*Calculations!$B$2&lt;=Calculations!$B$11*Calculations!$B$4),1,0)</ns0:f>
        <ns0:v>0</ns0:v>
      </ns0:c>
    </ns0:row>
    <ns0:row r="266">
      <ns0:c r="A266" t="inlineStr">
        <ns0:is>
          <ns0:t>case_0265</ns0:t>
        </ns0:is>
      </ns0:c>
      <ns0:c r="B266" t="inlineStr">
        <ns0:is>
          <ns0:t>function_0046</ns0:t>
        </ns0:is>
      </ns0:c>
      <ns0:c r="C266" t="inlineStr">
        <ns0:is>
          <ns0:t>run_003</ns0:t>
        </ns0:is>
      </ns0:c>
      <ns0:c r="D266" t="inlineStr">
        <ns0:is>
          <ns0:t>humantime</ns0:t>
        </ns0:is>
      </ns0:c>
      <ns0:c r="E266" t="inlineStr">
        <ns0:is>
          <ns0:t>gemini-2.5-flash-nothinking</ns0:t>
        </ns0:is>
      </ns0:c>
      <ns0:c r="F266" t="inlineStr">
        <ns0:is>
          <ns0:t>E0560</ns0:t>
        </ns0:is>
      </ns0:c>
      <ns0:c r="G266" t="n">
        <ns0:v>1</ns0:v>
      </ns0:c>
      <ns0:c r="H266" t="n">
        <ns0:v>1780</ns0:v>
      </ns0:c>
      <ns0:c r="I266" t="n">
        <ns0:v>118</ns0:v>
      </ns0:c>
      <ns0:c r="J266" t="n">
        <ns0:v>1898</ns0:v>
      </ns0:c>
      <ns0:c r="K266" t="n">
        <ns0:v>1</ns0:v>
      </ns0:c>
      <ns0:c r="L266" t="n">
        <ns0:v>1</ns0:v>
      </ns0:c>
      <ns0:c r="M266" t="n">
        <ns0:v>50069</ns0:v>
      </ns0:c>
      <ns0:c r="N266" t="n">
        <ns0:v>440</ns0:v>
      </ns0:c>
      <ns0:c r="O266" t="n">
        <ns0:v>50509</ns0:v>
      </ns0:c>
      <ns0:c r="P266" t="n">
        <ns0:v>4</ns0:v>
      </ns0:c>
      <ns0:c r="Q266">
        <ns0:f>IF(AND(L266=1,O266*Calculations!$B$2&lt;=Calculations!$B$10*Calculations!$B$4),1,0)</ns0:f>
        <ns0:v>0</ns0:v>
      </ns0:c>
      <ns0:c r="R266">
        <ns0:f>IF(AND(L266=1,O266*Calculations!$B$2&lt;=Calculations!$B$11*Calculations!$B$4),1,0)</ns0:f>
        <ns0:v>0</ns0:v>
      </ns0:c>
    </ns0:row>
    <ns0:row r="267">
      <ns0:c r="A267" t="inlineStr">
        <ns0:is>
          <ns0:t>case_0266</ns0:t>
        </ns0:is>
      </ns0:c>
      <ns0:c r="B267" t="inlineStr">
        <ns0:is>
          <ns0:t>function_0046</ns0:t>
        </ns0:is>
      </ns0:c>
      <ns0:c r="C267" t="inlineStr">
        <ns0:is>
          <ns0:t>run_003</ns0:t>
        </ns0:is>
      </ns0:c>
      <ns0:c r="D267" t="inlineStr">
        <ns0:is>
          <ns0:t>humantime</ns0:t>
        </ns0:is>
      </ns0:c>
      <ns0:c r="E267" t="inlineStr">
        <ns0:is>
          <ns0:t>gemini-2.5-flash-nothinking</ns0:t>
        </ns0:is>
      </ns0:c>
      <ns0:c r="F267" t="inlineStr">
        <ns0:is>
          <ns0:t>E0560</ns0:t>
        </ns0:is>
      </ns0:c>
      <ns0:c r="G267" t="n">
        <ns0:v>1</ns0:v>
      </ns0:c>
      <ns0:c r="H267" t="n">
        <ns0:v>1774</ns0:v>
      </ns0:c>
      <ns0:c r="I267" t="n">
        <ns0:v>113</ns0:v>
      </ns0:c>
      <ns0:c r="J267" t="n">
        <ns0:v>1887</ns0:v>
      </ns0:c>
      <ns0:c r="K267" t="n">
        <ns0:v>1</ns0:v>
      </ns0:c>
      <ns0:c r="L267" t="n">
        <ns0:v>1</ns0:v>
      </ns0:c>
      <ns0:c r="M267" t="n">
        <ns0:v>49887</ns0:v>
      </ns0:c>
      <ns0:c r="N267" t="n">
        <ns0:v>513</ns0:v>
      </ns0:c>
      <ns0:c r="O267" t="n">
        <ns0:v>50400</ns0:v>
      </ns0:c>
      <ns0:c r="P267" t="n">
        <ns0:v>4</ns0:v>
      </ns0:c>
      <ns0:c r="Q267">
        <ns0:f>IF(AND(L267=1,O267*Calculations!$B$2&lt;=Calculations!$B$10*Calculations!$B$4),1,0)</ns0:f>
        <ns0:v>0</ns0:v>
      </ns0:c>
      <ns0:c r="R267">
        <ns0:f>IF(AND(L267=1,O267*Calculations!$B$2&lt;=Calculations!$B$11*Calculations!$B$4),1,0)</ns0:f>
        <ns0:v>0</ns0:v>
      </ns0:c>
    </ns0:row>
    <ns0:row r="268">
      <ns0:c r="A268" t="inlineStr">
        <ns0:is>
          <ns0:t>case_0267</ns0:t>
        </ns0:is>
      </ns0:c>
      <ns0:c r="B268" t="inlineStr">
        <ns0:is>
          <ns0:t>function_0046</ns0:t>
        </ns0:is>
      </ns0:c>
      <ns0:c r="C268" t="inlineStr">
        <ns0:is>
          <ns0:t>run_003</ns0:t>
        </ns0:is>
      </ns0:c>
      <ns0:c r="D268" t="inlineStr">
        <ns0:is>
          <ns0:t>humantime</ns0:t>
        </ns0:is>
      </ns0:c>
      <ns0:c r="E268" t="inlineStr">
        <ns0:is>
          <ns0:t>gemini-2.5-flash-nothinking</ns0:t>
        </ns0:is>
      </ns0:c>
      <ns0:c r="F268" t="inlineStr">
        <ns0:is>
          <ns0:t>E0560</ns0:t>
        </ns0:is>
      </ns0:c>
      <ns0:c r="G268" t="n">
        <ns0:v>1</ns0:v>
      </ns0:c>
      <ns0:c r="H268" t="n">
        <ns0:v>1774</ns0:v>
      </ns0:c>
      <ns0:c r="I268" t="n">
        <ns0:v>113</ns0:v>
      </ns0:c>
      <ns0:c r="J268" t="n">
        <ns0:v>1887</ns0:v>
      </ns0:c>
      <ns0:c r="K268" t="n">
        <ns0:v>1</ns0:v>
      </ns0:c>
      <ns0:c r="L268" t="n">
        <ns0:v>1</ns0:v>
      </ns0:c>
      <ns0:c r="M268" t="n">
        <ns0:v>49873</ns0:v>
      </ns0:c>
      <ns0:c r="N268" t="n">
        <ns0:v>684</ns0:v>
      </ns0:c>
      <ns0:c r="O268" t="n">
        <ns0:v>50557</ns0:v>
      </ns0:c>
      <ns0:c r="P268" t="n">
        <ns0:v>4</ns0:v>
      </ns0:c>
      <ns0:c r="Q268">
        <ns0:f>IF(AND(L268=1,O268*Calculations!$B$2&lt;=Calculations!$B$10*Calculations!$B$4),1,0)</ns0:f>
        <ns0:v>0</ns0:v>
      </ns0:c>
      <ns0:c r="R268">
        <ns0:f>IF(AND(L268=1,O268*Calculations!$B$2&lt;=Calculations!$B$11*Calculations!$B$4),1,0)</ns0:f>
        <ns0:v>0</ns0:v>
      </ns0:c>
    </ns0:row>
    <ns0:row r="269">
      <ns0:c r="A269" t="inlineStr">
        <ns0:is>
          <ns0:t>case_0268</ns0:t>
        </ns0:is>
      </ns0:c>
      <ns0:c r="B269" t="inlineStr">
        <ns0:is>
          <ns0:t>function_0046</ns0:t>
        </ns0:is>
      </ns0:c>
      <ns0:c r="C269" t="inlineStr">
        <ns0:is>
          <ns0:t>run_003</ns0:t>
        </ns0:is>
      </ns0:c>
      <ns0:c r="D269" t="inlineStr">
        <ns0:is>
          <ns0:t>humantime</ns0:t>
        </ns0:is>
      </ns0:c>
      <ns0:c r="E269" t="inlineStr">
        <ns0:is>
          <ns0:t>gemini-2.5-flash-nothinking</ns0:t>
        </ns0:is>
      </ns0:c>
      <ns0:c r="F269" t="inlineStr">
        <ns0:is>
          <ns0:t>E0560</ns0:t>
        </ns0:is>
      </ns0:c>
      <ns0:c r="G269" t="n">
        <ns0:v>1</ns0:v>
      </ns0:c>
      <ns0:c r="H269" t="n">
        <ns0:v>3777</ns0:v>
      </ns0:c>
      <ns0:c r="I269" t="n">
        <ns0:v>1531</ns0:v>
      </ns0:c>
      <ns0:c r="J269" t="n">
        <ns0:v>5308</ns0:v>
      </ns0:c>
      <ns0:c r="K269" t="n">
        <ns0:v>1</ns0:v>
      </ns0:c>
      <ns0:c r="L269" t="n">
        <ns0:v>1</ns0:v>
      </ns0:c>
      <ns0:c r="M269" t="n">
        <ns0:v>67160</ns0:v>
      </ns0:c>
      <ns0:c r="N269" t="n">
        <ns0:v>1855</ns0:v>
      </ns0:c>
      <ns0:c r="O269" t="n">
        <ns0:v>69015</ns0:v>
      </ns0:c>
      <ns0:c r="P269" t="n">
        <ns0:v>6</ns0:v>
      </ns0:c>
      <ns0:c r="Q269">
        <ns0:f>IF(AND(L269=1,O269*Calculations!$B$2&lt;=Calculations!$B$10*Calculations!$B$4),1,0)</ns0:f>
        <ns0:v>0</ns0:v>
      </ns0:c>
      <ns0:c r="R269">
        <ns0:f>IF(AND(L269=1,O269*Calculations!$B$2&lt;=Calculations!$B$11*Calculations!$B$4),1,0)</ns0:f>
        <ns0:v>0</ns0:v>
      </ns0:c>
    </ns0:row>
    <ns0:row r="270">
      <ns0:c r="A270" t="inlineStr">
        <ns0:is>
          <ns0:t>case_0269</ns0:t>
        </ns0:is>
      </ns0:c>
      <ns0:c r="B270" t="inlineStr">
        <ns0:is>
          <ns0:t>function_0046</ns0:t>
        </ns0:is>
      </ns0:c>
      <ns0:c r="C270" t="inlineStr">
        <ns0:is>
          <ns0:t>run_003</ns0:t>
        </ns0:is>
      </ns0:c>
      <ns0:c r="D270" t="inlineStr">
        <ns0:is>
          <ns0:t>humantime</ns0:t>
        </ns0:is>
      </ns0:c>
      <ns0:c r="E270" t="inlineStr">
        <ns0:is>
          <ns0:t>gemini-2.5-flash-nothinking</ns0:t>
        </ns0:is>
      </ns0:c>
      <ns0:c r="F270" t="inlineStr">
        <ns0:is>
          <ns0:t>E0560</ns0:t>
        </ns0:is>
      </ns0:c>
      <ns0:c r="G270" t="n">
        <ns0:v>1</ns0:v>
      </ns0:c>
      <ns0:c r="H270" t="n">
        <ns0:v>1803</ns0:v>
      </ns0:c>
      <ns0:c r="I270" t="n">
        <ns0:v>121</ns0:v>
      </ns0:c>
      <ns0:c r="J270" t="n">
        <ns0:v>1924</ns0:v>
      </ns0:c>
      <ns0:c r="K270" t="n">
        <ns0:v>1</ns0:v>
      </ns0:c>
      <ns0:c r="L270" t="n">
        <ns0:v>1</ns0:v>
      </ns0:c>
      <ns0:c r="M270" t="n">
        <ns0:v>79445</ns0:v>
      </ns0:c>
      <ns0:c r="N270" t="n">
        <ns0:v>427</ns0:v>
      </ns0:c>
      <ns0:c r="O270" t="n">
        <ns0:v>79872</ns0:v>
      </ns0:c>
      <ns0:c r="P270" t="n">
        <ns0:v>6</ns0:v>
      </ns0:c>
      <ns0:c r="Q270">
        <ns0:f>IF(AND(L270=1,O270*Calculations!$B$2&lt;=Calculations!$B$10*Calculations!$B$4),1,0)</ns0:f>
        <ns0:v>0</ns0:v>
      </ns0:c>
      <ns0:c r="R270">
        <ns0:f>IF(AND(L270=1,O270*Calculations!$B$2&lt;=Calculations!$B$11*Calculations!$B$4),1,0)</ns0:f>
        <ns0:v>0</ns0:v>
      </ns0:c>
    </ns0:row>
    <ns0:row r="271">
      <ns0:c r="A271" t="inlineStr">
        <ns0:is>
          <ns0:t>case_0270</ns0:t>
        </ns0:is>
      </ns0:c>
      <ns0:c r="B271" t="inlineStr">
        <ns0:is>
          <ns0:t>function_0046</ns0:t>
        </ns0:is>
      </ns0:c>
      <ns0:c r="C271" t="inlineStr">
        <ns0:is>
          <ns0:t>run_003</ns0:t>
        </ns0:is>
      </ns0:c>
      <ns0:c r="D271" t="inlineStr">
        <ns0:is>
          <ns0:t>humantime</ns0:t>
        </ns0:is>
      </ns0:c>
      <ns0:c r="E271" t="inlineStr">
        <ns0:is>
          <ns0:t>gemini-2.5-flash-nothinking</ns0:t>
        </ns0:is>
      </ns0:c>
      <ns0:c r="F271" t="inlineStr">
        <ns0:is>
          <ns0:t>E0560</ns0:t>
        </ns0:is>
      </ns0:c>
      <ns0:c r="G271" t="n">
        <ns0:v>0</ns0:v>
      </ns0:c>
      <ns0:c r="H271" t="n">
        <ns0:v>44871</ns0:v>
      </ns0:c>
      <ns0:c r="I271" t="n">
        <ns0:v>3768</ns0:v>
      </ns0:c>
      <ns0:c r="J271" t="n">
        <ns0:v>48639</ns0:v>
      </ns0:c>
      <ns0:c r="K271" t="n">
        <ns0:v>23</ns0:v>
      </ns0:c>
      <ns0:c r="L271" t="n">
        <ns0:v>1</ns0:v>
      </ns0:c>
      <ns0:c r="M271" t="n">
        <ns0:v>53369</ns0:v>
      </ns0:c>
      <ns0:c r="N271" t="n">
        <ns0:v>473</ns0:v>
      </ns0:c>
      <ns0:c r="O271" t="n">
        <ns0:v>53842</ns0:v>
      </ns0:c>
      <ns0:c r="P271" t="n">
        <ns0:v>5</ns0:v>
      </ns0:c>
      <ns0:c r="Q271">
        <ns0:f>IF(AND(L271=1,O271*Calculations!$B$2&lt;=Calculations!$B$10*Calculations!$B$4),1,0)</ns0:f>
        <ns0:v>0</ns0:v>
      </ns0:c>
      <ns0:c r="R271">
        <ns0:f>IF(AND(L271=1,O271*Calculations!$B$2&lt;=Calculations!$B$11*Calculations!$B$4),1,0)</ns0:f>
        <ns0:v>0</ns0:v>
      </ns0:c>
    </ns0:row>
    <ns0:row r="272">
      <ns0:c r="A272" t="inlineStr">
        <ns0:is>
          <ns0:t>case_0271</ns0:t>
        </ns0:is>
      </ns0:c>
      <ns0:c r="B272" t="inlineStr">
        <ns0:is>
          <ns0:t>function_0046</ns0:t>
        </ns0:is>
      </ns0:c>
      <ns0:c r="C272" t="inlineStr">
        <ns0:is>
          <ns0:t>run_003</ns0:t>
        </ns0:is>
      </ns0:c>
      <ns0:c r="D272" t="inlineStr">
        <ns0:is>
          <ns0:t>humantime</ns0:t>
        </ns0:is>
      </ns0:c>
      <ns0:c r="E272" t="inlineStr">
        <ns0:is>
          <ns0:t>gemini-2.5-flash-nothinking</ns0:t>
        </ns0:is>
      </ns0:c>
      <ns0:c r="F272" t="inlineStr">
        <ns0:is>
          <ns0:t>E0560</ns0:t>
        </ns0:is>
      </ns0:c>
      <ns0:c r="G272" t="n">
        <ns0:v>1</ns0:v>
      </ns0:c>
      <ns0:c r="H272" t="n">
        <ns0:v>1781</ns0:v>
      </ns0:c>
      <ns0:c r="I272" t="n">
        <ns0:v>113</ns0:v>
      </ns0:c>
      <ns0:c r="J272" t="n">
        <ns0:v>1894</ns0:v>
      </ns0:c>
      <ns0:c r="K272" t="n">
        <ns0:v>1</ns0:v>
      </ns0:c>
      <ns0:c r="L272" t="n">
        <ns0:v>1</ns0:v>
      </ns0:c>
      <ns0:c r="M272" t="n">
        <ns0:v>49978</ns0:v>
      </ns0:c>
      <ns0:c r="N272" t="n">
        <ns0:v>378</ns0:v>
      </ns0:c>
      <ns0:c r="O272" t="n">
        <ns0:v>50356</ns0:v>
      </ns0:c>
      <ns0:c r="P272" t="n">
        <ns0:v>4</ns0:v>
      </ns0:c>
      <ns0:c r="Q272">
        <ns0:f>IF(AND(L272=1,O272*Calculations!$B$2&lt;=Calculations!$B$10*Calculations!$B$4),1,0)</ns0:f>
        <ns0:v>0</ns0:v>
      </ns0:c>
      <ns0:c r="R272">
        <ns0:f>IF(AND(L272=1,O272*Calculations!$B$2&lt;=Calculations!$B$11*Calculations!$B$4),1,0)</ns0:f>
        <ns0:v>0</ns0:v>
      </ns0:c>
    </ns0:row>
    <ns0:row r="273">
      <ns0:c r="A273" t="inlineStr">
        <ns0:is>
          <ns0:t>case_0272</ns0:t>
        </ns0:is>
      </ns0:c>
      <ns0:c r="B273" t="inlineStr">
        <ns0:is>
          <ns0:t>function_0046</ns0:t>
        </ns0:is>
      </ns0:c>
      <ns0:c r="C273" t="inlineStr">
        <ns0:is>
          <ns0:t>run_003</ns0:t>
        </ns0:is>
      </ns0:c>
      <ns0:c r="D273" t="inlineStr">
        <ns0:is>
          <ns0:t>humantime</ns0:t>
        </ns0:is>
      </ns0:c>
      <ns0:c r="E273" t="inlineStr">
        <ns0:is>
          <ns0:t>gemini-2.5-flash-nothinking</ns0:t>
        </ns0:is>
      </ns0:c>
      <ns0:c r="F273" t="inlineStr">
        <ns0:is>
          <ns0:t>E0560</ns0:t>
        </ns0:is>
      </ns0:c>
      <ns0:c r="G273" t="n">
        <ns0:v>1</ns0:v>
      </ns0:c>
      <ns0:c r="H273" t="n">
        <ns0:v>1810</ns0:v>
      </ns0:c>
      <ns0:c r="I273" t="n">
        <ns0:v>120</ns0:v>
      </ns0:c>
      <ns0:c r="J273" t="n">
        <ns0:v>1930</ns0:v>
      </ns0:c>
      <ns0:c r="K273" t="n">
        <ns0:v>1</ns0:v>
      </ns0:c>
      <ns0:c r="L273" t="n">
        <ns0:v>1</ns0:v>
      </ns0:c>
      <ns0:c r="M273" t="n">
        <ns0:v>34741</ns0:v>
      </ns0:c>
      <ns0:c r="N273" t="n">
        <ns0:v>439</ns0:v>
      </ns0:c>
      <ns0:c r="O273" t="n">
        <ns0:v>35180</ns0:v>
      </ns0:c>
      <ns0:c r="P273" t="n">
        <ns0:v>5</ns0:v>
      </ns0:c>
      <ns0:c r="Q273">
        <ns0:f>IF(AND(L273=1,O273*Calculations!$B$2&lt;=Calculations!$B$10*Calculations!$B$4),1,0)</ns0:f>
        <ns0:v>0</ns0:v>
      </ns0:c>
      <ns0:c r="R273">
        <ns0:f>IF(AND(L273=1,O273*Calculations!$B$2&lt;=Calculations!$B$11*Calculations!$B$4),1,0)</ns0:f>
        <ns0:v>1</ns0:v>
      </ns0:c>
    </ns0:row>
    <ns0:row r="274">
      <ns0:c r="A274" t="inlineStr">
        <ns0:is>
          <ns0:t>case_0273</ns0:t>
        </ns0:is>
      </ns0:c>
      <ns0:c r="B274" t="inlineStr">
        <ns0:is>
          <ns0:t>function_0046</ns0:t>
        </ns0:is>
      </ns0:c>
      <ns0:c r="C274" t="inlineStr">
        <ns0:is>
          <ns0:t>run_003</ns0:t>
        </ns0:is>
      </ns0:c>
      <ns0:c r="D274" t="inlineStr">
        <ns0:is>
          <ns0:t>humantime</ns0:t>
        </ns0:is>
      </ns0:c>
      <ns0:c r="E274" t="inlineStr">
        <ns0:is>
          <ns0:t>gemini-2.5-flash-nothinking</ns0:t>
        </ns0:is>
      </ns0:c>
      <ns0:c r="F274" t="inlineStr">
        <ns0:is>
          <ns0:t>E0560</ns0:t>
        </ns0:is>
      </ns0:c>
      <ns0:c r="G274" t="n">
        <ns0:v>1</ns0:v>
      </ns0:c>
      <ns0:c r="H274" t="n">
        <ns0:v>1777</ns0:v>
      </ns0:c>
      <ns0:c r="I274" t="n">
        <ns0:v>112</ns0:v>
      </ns0:c>
      <ns0:c r="J274" t="n">
        <ns0:v>1889</ns0:v>
      </ns0:c>
      <ns0:c r="K274" t="n">
        <ns0:v>1</ns0:v>
      </ns0:c>
      <ns0:c r="L274" t="n">
        <ns0:v>1</ns0:v>
      </ns0:c>
      <ns0:c r="M274" t="n">
        <ns0:v>54097</ns0:v>
      </ns0:c>
      <ns0:c r="N274" t="n">
        <ns0:v>667</ns0:v>
      </ns0:c>
      <ns0:c r="O274" t="n">
        <ns0:v>54764</ns0:v>
      </ns0:c>
      <ns0:c r="P274" t="n">
        <ns0:v>4</ns0:v>
      </ns0:c>
      <ns0:c r="Q274">
        <ns0:f>IF(AND(L274=1,O274*Calculations!$B$2&lt;=Calculations!$B$10*Calculations!$B$4),1,0)</ns0:f>
        <ns0:v>0</ns0:v>
      </ns0:c>
      <ns0:c r="R274">
        <ns0:f>IF(AND(L274=1,O274*Calculations!$B$2&lt;=Calculations!$B$11*Calculations!$B$4),1,0)</ns0:f>
        <ns0:v>0</ns0:v>
      </ns0:c>
    </ns0:row>
    <ns0:row r="275">
      <ns0:c r="A275" t="inlineStr">
        <ns0:is>
          <ns0:t>case_0274</ns0:t>
        </ns0:is>
      </ns0:c>
      <ns0:c r="B275" t="inlineStr">
        <ns0:is>
          <ns0:t>function_0046</ns0:t>
        </ns0:is>
      </ns0:c>
      <ns0:c r="C275" t="inlineStr">
        <ns0:is>
          <ns0:t>run_003</ns0:t>
        </ns0:is>
      </ns0:c>
      <ns0:c r="D275" t="inlineStr">
        <ns0:is>
          <ns0:t>humantime</ns0:t>
        </ns0:is>
      </ns0:c>
      <ns0:c r="E275" t="inlineStr">
        <ns0:is>
          <ns0:t>gemini-2.5-flash-nothinking</ns0:t>
        </ns0:is>
      </ns0:c>
      <ns0:c r="F275" t="inlineStr">
        <ns0:is>
          <ns0:t>E0560</ns0:t>
        </ns0:is>
      </ns0:c>
      <ns0:c r="G275" t="n">
        <ns0:v>1</ns0:v>
      </ns0:c>
      <ns0:c r="H275" t="n">
        <ns0:v>2700</ns0:v>
      </ns0:c>
      <ns0:c r="I275" t="n">
        <ns0:v>647</ns0:v>
      </ns0:c>
      <ns0:c r="J275" t="n">
        <ns0:v>3347</ns0:v>
      </ns0:c>
      <ns0:c r="K275" t="n">
        <ns0:v>1</ns0:v>
      </ns0:c>
      <ns0:c r="L275" t="n">
        <ns0:v>1</ns0:v>
      </ns0:c>
      <ns0:c r="M275" t="n">
        <ns0:v>56625</ns0:v>
      </ns0:c>
      <ns0:c r="N275" t="n">
        <ns0:v>736</ns0:v>
      </ns0:c>
      <ns0:c r="O275" t="n">
        <ns0:v>57361</ns0:v>
      </ns0:c>
      <ns0:c r="P275" t="n">
        <ns0:v>4</ns0:v>
      </ns0:c>
      <ns0:c r="Q275">
        <ns0:f>IF(AND(L275=1,O275*Calculations!$B$2&lt;=Calculations!$B$10*Calculations!$B$4),1,0)</ns0:f>
        <ns0:v>0</ns0:v>
      </ns0:c>
      <ns0:c r="R275">
        <ns0:f>IF(AND(L275=1,O275*Calculations!$B$2&lt;=Calculations!$B$11*Calculations!$B$4),1,0)</ns0:f>
        <ns0:v>0</ns0:v>
      </ns0:c>
    </ns0:row>
    <ns0:row r="276">
      <ns0:c r="A276" t="inlineStr">
        <ns0:is>
          <ns0:t>case_0275</ns0:t>
        </ns0:is>
      </ns0:c>
      <ns0:c r="B276" t="inlineStr">
        <ns0:is>
          <ns0:t>function_0046</ns0:t>
        </ns0:is>
      </ns0:c>
      <ns0:c r="C276" t="inlineStr">
        <ns0:is>
          <ns0:t>run_003</ns0:t>
        </ns0:is>
      </ns0:c>
      <ns0:c r="D276" t="inlineStr">
        <ns0:is>
          <ns0:t>humantime</ns0:t>
        </ns0:is>
      </ns0:c>
      <ns0:c r="E276" t="inlineStr">
        <ns0:is>
          <ns0:t>gemini-2.5-flash-nothinking</ns0:t>
        </ns0:is>
      </ns0:c>
      <ns0:c r="F276" t="inlineStr">
        <ns0:is>
          <ns0:t>E0560</ns0:t>
        </ns0:is>
      </ns0:c>
      <ns0:c r="G276" t="n">
        <ns0:v>1</ns0:v>
      </ns0:c>
      <ns0:c r="H276" t="n">
        <ns0:v>2743</ns0:v>
      </ns0:c>
      <ns0:c r="I276" t="n">
        <ns0:v>669</ns0:v>
      </ns0:c>
      <ns0:c r="J276" t="n">
        <ns0:v>3412</ns0:v>
      </ns0:c>
      <ns0:c r="K276" t="n">
        <ns0:v>1</ns0:v>
      </ns0:c>
      <ns0:c r="L276" t="n">
        <ns0:v>1</ns0:v>
      </ns0:c>
      <ns0:c r="M276" t="n">
        <ns0:v>137331</ns0:v>
      </ns0:c>
      <ns0:c r="N276" t="n">
        <ns0:v>1469</ns0:v>
      </ns0:c>
      <ns0:c r="O276" t="n">
        <ns0:v>138800</ns0:v>
      </ns0:c>
      <ns0:c r="P276" t="n">
        <ns0:v>15</ns0:v>
      </ns0:c>
      <ns0:c r="Q276">
        <ns0:f>IF(AND(L276=1,O276*Calculations!$B$2&lt;=Calculations!$B$10*Calculations!$B$4),1,0)</ns0:f>
        <ns0:v>0</ns0:v>
      </ns0:c>
      <ns0:c r="R276">
        <ns0:f>IF(AND(L276=1,O276*Calculations!$B$2&lt;=Calculations!$B$11*Calculations!$B$4),1,0)</ns0:f>
        <ns0:v>0</ns0:v>
      </ns0:c>
    </ns0:row>
    <ns0:row r="277">
      <ns0:c r="A277" t="inlineStr">
        <ns0:is>
          <ns0:t>case_0276</ns0:t>
        </ns0:is>
      </ns0:c>
      <ns0:c r="B277" t="inlineStr">
        <ns0:is>
          <ns0:t>function_0046</ns0:t>
        </ns0:is>
      </ns0:c>
      <ns0:c r="C277" t="inlineStr">
        <ns0:is>
          <ns0:t>run_003</ns0:t>
        </ns0:is>
      </ns0:c>
      <ns0:c r="D277" t="inlineStr">
        <ns0:is>
          <ns0:t>humantime</ns0:t>
        </ns0:is>
      </ns0:c>
      <ns0:c r="E277" t="inlineStr">
        <ns0:is>
          <ns0:t>gemini-2.5-flash-nothinking</ns0:t>
        </ns0:is>
      </ns0:c>
      <ns0:c r="F277" t="inlineStr">
        <ns0:is>
          <ns0:t>E0560</ns0:t>
        </ns0:is>
      </ns0:c>
      <ns0:c r="G277" t="n">
        <ns0:v>0</ns0:v>
      </ns0:c>
      <ns0:c r="H277" t="n">
        <ns0:v>10192</ns0:v>
      </ns0:c>
      <ns0:c r="I277" t="n">
        <ns0:v>3336</ns0:v>
      </ns0:c>
      <ns0:c r="J277" t="n">
        <ns0:v>13528</ns0:v>
      </ns0:c>
      <ns0:c r="K277" t="n">
        <ns0:v>3</ns0:v>
      </ns0:c>
      <ns0:c r="L277" t="n">
        <ns0:v>1</ns0:v>
      </ns0:c>
      <ns0:c r="M277" t="n">
        <ns0:v>74586</ns0:v>
      </ns0:c>
      <ns0:c r="N277" t="n">
        <ns0:v>1993</ns0:v>
      </ns0:c>
      <ns0:c r="O277" t="n">
        <ns0:v>76579</ns0:v>
      </ns0:c>
      <ns0:c r="P277" t="n">
        <ns0:v>7</ns0:v>
      </ns0:c>
      <ns0:c r="Q277">
        <ns0:f>IF(AND(L277=1,O277*Calculations!$B$2&lt;=Calculations!$B$10*Calculations!$B$4),1,0)</ns0:f>
        <ns0:v>0</ns0:v>
      </ns0:c>
      <ns0:c r="R277">
        <ns0:f>IF(AND(L277=1,O277*Calculations!$B$2&lt;=Calculations!$B$11*Calculations!$B$4),1,0)</ns0:f>
        <ns0:v>0</ns0:v>
      </ns0:c>
    </ns0:row>
    <ns0:row r="278">
      <ns0:c r="A278" t="inlineStr">
        <ns0:is>
          <ns0:t>case_0277</ns0:t>
        </ns0:is>
      </ns0:c>
      <ns0:c r="B278" t="inlineStr">
        <ns0:is>
          <ns0:t>function_0047</ns0:t>
        </ns0:is>
      </ns0:c>
      <ns0:c r="C278" t="inlineStr">
        <ns0:is>
          <ns0:t>run_003</ns0:t>
        </ns0:is>
      </ns0:c>
      <ns0:c r="D278" t="inlineStr">
        <ns0:is>
          <ns0:t>humantime</ns0:t>
        </ns0:is>
      </ns0:c>
      <ns0:c r="E278" t="inlineStr">
        <ns0:is>
          <ns0:t>gemini-2.5-flash-nothinking</ns0:t>
        </ns0:is>
      </ns0:c>
      <ns0:c r="F278" t="inlineStr">
        <ns0:is>
          <ns0:t>E0658</ns0:t>
        </ns0:is>
      </ns0:c>
      <ns0:c r="G278" t="n">
        <ns0:v>0</ns0:v>
      </ns0:c>
      <ns0:c r="H278" t="n">
        <ns0:v>4105</ns0:v>
      </ns0:c>
      <ns0:c r="I278" t="n">
        <ns0:v>1320</ns0:v>
      </ns0:c>
      <ns0:c r="J278" t="n">
        <ns0:v>5425</ns0:v>
      </ns0:c>
      <ns0:c r="K278" t="n">
        <ns0:v>3</ns0:v>
      </ns0:c>
      <ns0:c r="L278" t="n">
        <ns0:v>0</ns0:v>
      </ns0:c>
      <ns0:c r="M278" t="n">
        <ns0:v>219245</ns0:v>
      </ns0:c>
      <ns0:c r="N278" t="n">
        <ns0:v>2352</ns0:v>
      </ns0:c>
      <ns0:c r="O278" t="n">
        <ns0:v>221597</ns0:v>
      </ns0:c>
      <ns0:c r="P278" t="n">
        <ns0:v>20</ns0:v>
      </ns0:c>
      <ns0:c r="Q278">
        <ns0:f>IF(AND(L278=1,O278*Calculations!$B$2&lt;=Calculations!$B$10*Calculations!$B$4),1,0)</ns0:f>
        <ns0:v>0</ns0:v>
      </ns0:c>
      <ns0:c r="R278">
        <ns0:f>IF(AND(L278=1,O278*Calculations!$B$2&lt;=Calculations!$B$11*Calculations!$B$4),1,0)</ns0:f>
        <ns0:v>0</ns0:v>
      </ns0:c>
    </ns0:row>
    <ns0:row r="279">
      <ns0:c r="A279" t="inlineStr">
        <ns0:is>
          <ns0:t>case_0278</ns0:t>
        </ns0:is>
      </ns0:c>
      <ns0:c r="B279" t="inlineStr">
        <ns0:is>
          <ns0:t>function_0047</ns0:t>
        </ns0:is>
      </ns0:c>
      <ns0:c r="C279" t="inlineStr">
        <ns0:is>
          <ns0:t>run_003</ns0:t>
        </ns0:is>
      </ns0:c>
      <ns0:c r="D279" t="inlineStr">
        <ns0:is>
          <ns0:t>humantime</ns0:t>
        </ns0:is>
      </ns0:c>
      <ns0:c r="E279" t="inlineStr">
        <ns0:is>
          <ns0:t>gemini-2.5-flash-nothinking</ns0:t>
        </ns0:is>
      </ns0:c>
      <ns0:c r="F279" t="inlineStr">
        <ns0:is>
          <ns0:t>E0658</ns0:t>
        </ns0:is>
      </ns0:c>
      <ns0:c r="G279" t="n">
        <ns0:v>0</ns0:v>
      </ns0:c>
      <ns0:c r="H279" t="n">
        <ns0:v>3998</ns0:v>
      </ns0:c>
      <ns0:c r="I279" t="n">
        <ns0:v>1311</ns0:v>
      </ns0:c>
      <ns0:c r="J279" t="n">
        <ns0:v>5309</ns0:v>
      </ns0:c>
      <ns0:c r="K279" t="n">
        <ns0:v>3</ns0:v>
      </ns0:c>
      <ns0:c r="L279" t="n">
        <ns0:v>1</ns0:v>
      </ns0:c>
      <ns0:c r="M279" t="n">
        <ns0:v>59012</ns0:v>
      </ns0:c>
      <ns0:c r="N279" t="n">
        <ns0:v>10180</ns0:v>
      </ns0:c>
      <ns0:c r="O279" t="n">
        <ns0:v>69192</ns0:v>
      </ns0:c>
      <ns0:c r="P279" t="n">
        <ns0:v>4</ns0:v>
      </ns0:c>
      <ns0:c r="Q279">
        <ns0:f>IF(AND(L279=1,O279*Calculations!$B$2&lt;=Calculations!$B$10*Calculations!$B$4),1,0)</ns0:f>
        <ns0:v>0</ns0:v>
      </ns0:c>
      <ns0:c r="R279">
        <ns0:f>IF(AND(L279=1,O279*Calculations!$B$2&lt;=Calculations!$B$11*Calculations!$B$4),1,0)</ns0:f>
        <ns0:v>0</ns0:v>
      </ns0:c>
    </ns0:row>
    <ns0:row r="280">
      <ns0:c r="A280" t="inlineStr">
        <ns0:is>
          <ns0:t>case_0279</ns0:t>
        </ns0:is>
      </ns0:c>
      <ns0:c r="B280" t="inlineStr">
        <ns0:is>
          <ns0:t>function_0047</ns0:t>
        </ns0:is>
      </ns0:c>
      <ns0:c r="C280" t="inlineStr">
        <ns0:is>
          <ns0:t>run_003</ns0:t>
        </ns0:is>
      </ns0:c>
      <ns0:c r="D280" t="inlineStr">
        <ns0:is>
          <ns0:t>humantime</ns0:t>
        </ns0:is>
      </ns0:c>
      <ns0:c r="E280" t="inlineStr">
        <ns0:is>
          <ns0:t>gemini-2.5-flash-nothinking</ns0:t>
        </ns0:is>
      </ns0:c>
      <ns0:c r="F280" t="inlineStr">
        <ns0:is>
          <ns0:t>E0658</ns0:t>
        </ns0:is>
      </ns0:c>
      <ns0:c r="G280" t="n">
        <ns0:v>0</ns0:v>
      </ns0:c>
      <ns0:c r="H280" t="n">
        <ns0:v>3103</ns0:v>
      </ns0:c>
      <ns0:c r="I280" t="n">
        <ns0:v>852</ns0:v>
      </ns0:c>
      <ns0:c r="J280" t="n">
        <ns0:v>3955</ns0:v>
      </ns0:c>
      <ns0:c r="K280" t="n">
        <ns0:v>3</ns0:v>
      </ns0:c>
      <ns0:c r="L280" t="n">
        <ns0:v>0</ns0:v>
      </ns0:c>
      <ns0:c r="M280" t="n">
        <ns0:v>143948</ns0:v>
      </ns0:c>
      <ns0:c r="N280" t="n">
        <ns0:v>8686</ns0:v>
      </ns0:c>
      <ns0:c r="O280" t="n">
        <ns0:v>152634</ns0:v>
      </ns0:c>
      <ns0:c r="P280" t="n">
        <ns0:v>13</ns0:v>
      </ns0:c>
      <ns0:c r="Q280">
        <ns0:f>IF(AND(L280=1,O280*Calculations!$B$2&lt;=Calculations!$B$10*Calculations!$B$4),1,0)</ns0:f>
        <ns0:v>0</ns0:v>
      </ns0:c>
      <ns0:c r="R280">
        <ns0:f>IF(AND(L280=1,O280*Calculations!$B$2&lt;=Calculations!$B$11*Calculations!$B$4),1,0)</ns0:f>
        <ns0:v>0</ns0:v>
      </ns0:c>
    </ns0:row>
    <ns0:row r="281">
      <ns0:c r="A281" t="inlineStr">
        <ns0:is>
          <ns0:t>case_0280</ns0:t>
        </ns0:is>
      </ns0:c>
      <ns0:c r="B281" t="inlineStr">
        <ns0:is>
          <ns0:t>function_0047</ns0:t>
        </ns0:is>
      </ns0:c>
      <ns0:c r="C281" t="inlineStr">
        <ns0:is>
          <ns0:t>run_003</ns0:t>
        </ns0:is>
      </ns0:c>
      <ns0:c r="D281" t="inlineStr">
        <ns0:is>
          <ns0:t>humantime</ns0:t>
        </ns0:is>
      </ns0:c>
      <ns0:c r="E281" t="inlineStr">
        <ns0:is>
          <ns0:t>gemini-2.5-flash-nothinking</ns0:t>
        </ns0:is>
      </ns0:c>
      <ns0:c r="F281" t="inlineStr">
        <ns0:is>
          <ns0:t>E0433,E0658</ns0:t>
        </ns0:is>
      </ns0:c>
      <ns0:c r="G281" t="n">
        <ns0:v>0</ns0:v>
      </ns0:c>
      <ns0:c r="H281" t="n">
        <ns0:v>3976</ns0:v>
      </ns0:c>
      <ns0:c r="I281" t="n">
        <ns0:v>1251</ns0:v>
      </ns0:c>
      <ns0:c r="J281" t="n">
        <ns0:v>5227</ns0:v>
      </ns0:c>
      <ns0:c r="K281" t="n">
        <ns0:v>3</ns0:v>
      </ns0:c>
      <ns0:c r="L281" t="n">
        <ns0:v>0</ns0:v>
      </ns0:c>
      <ns0:c r="M281" t="n">
        <ns0:v>220452</ns0:v>
      </ns0:c>
      <ns0:c r="N281" t="n">
        <ns0:v>1743</ns0:v>
      </ns0:c>
      <ns0:c r="O281" t="n">
        <ns0:v>222195</ns0:v>
      </ns0:c>
      <ns0:c r="P281" t="n">
        <ns0:v>20</ns0:v>
      </ns0:c>
      <ns0:c r="Q281">
        <ns0:f>IF(AND(L281=1,O281*Calculations!$B$2&lt;=Calculations!$B$10*Calculations!$B$4),1,0)</ns0:f>
        <ns0:v>0</ns0:v>
      </ns0:c>
      <ns0:c r="R281">
        <ns0:f>IF(AND(L281=1,O281*Calculations!$B$2&lt;=Calculations!$B$11*Calculations!$B$4),1,0)</ns0:f>
        <ns0:v>0</ns0:v>
      </ns0:c>
    </ns0:row>
    <ns0:row r="282">
      <ns0:c r="A282" t="inlineStr">
        <ns0:is>
          <ns0:t>case_0281</ns0:t>
        </ns0:is>
      </ns0:c>
      <ns0:c r="B282" t="inlineStr">
        <ns0:is>
          <ns0:t>function_0047</ns0:t>
        </ns0:is>
      </ns0:c>
      <ns0:c r="C282" t="inlineStr">
        <ns0:is>
          <ns0:t>run_003</ns0:t>
        </ns0:is>
      </ns0:c>
      <ns0:c r="D282" t="inlineStr">
        <ns0:is>
          <ns0:t>humantime</ns0:t>
        </ns0:is>
      </ns0:c>
      <ns0:c r="E282" t="inlineStr">
        <ns0:is>
          <ns0:t>gemini-2.5-flash-nothinking</ns0:t>
        </ns0:is>
      </ns0:c>
      <ns0:c r="F282" t="inlineStr">
        <ns0:is>
          <ns0:t>E0433,E0658</ns0:t>
        </ns0:is>
      </ns0:c>
      <ns0:c r="G282" t="n">
        <ns0:v>0</ns0:v>
      </ns0:c>
      <ns0:c r="H282" t="n">
        <ns0:v>4010</ns0:v>
      </ns0:c>
      <ns0:c r="I282" t="n">
        <ns0:v>1293</ns0:v>
      </ns0:c>
      <ns0:c r="J282" t="n">
        <ns0:v>5303</ns0:v>
      </ns0:c>
      <ns0:c r="K282" t="n">
        <ns0:v>3</ns0:v>
      </ns0:c>
      <ns0:c r="L282" t="n">
        <ns0:v>0</ns0:v>
      </ns0:c>
      <ns0:c r="M282" t="n">
        <ns0:v>544522</ns0:v>
      </ns0:c>
      <ns0:c r="N282" t="n">
        <ns0:v>21206</ns0:v>
      </ns0:c>
      <ns0:c r="O282" t="n">
        <ns0:v>565728</ns0:v>
      </ns0:c>
      <ns0:c r="P282" t="n">
        <ns0:v>21</ns0:v>
      </ns0:c>
      <ns0:c r="Q282">
        <ns0:f>IF(AND(L282=1,O282*Calculations!$B$2&lt;=Calculations!$B$10*Calculations!$B$4),1,0)</ns0:f>
        <ns0:v>0</ns0:v>
      </ns0:c>
      <ns0:c r="R282">
        <ns0:f>IF(AND(L282=1,O282*Calculations!$B$2&lt;=Calculations!$B$11*Calculations!$B$4),1,0)</ns0:f>
        <ns0:v>0</ns0:v>
      </ns0:c>
    </ns0:row>
    <ns0:row r="283">
      <ns0:c r="A283" t="inlineStr">
        <ns0:is>
          <ns0:t>case_0282</ns0:t>
        </ns0:is>
      </ns0:c>
      <ns0:c r="B283" t="inlineStr">
        <ns0:is>
          <ns0:t>function_0047</ns0:t>
        </ns0:is>
      </ns0:c>
      <ns0:c r="C283" t="inlineStr">
        <ns0:is>
          <ns0:t>run_003</ns0:t>
        </ns0:is>
      </ns0:c>
      <ns0:c r="D283" t="inlineStr">
        <ns0:is>
          <ns0:t>humantime</ns0:t>
        </ns0:is>
      </ns0:c>
      <ns0:c r="E283" t="inlineStr">
        <ns0:is>
          <ns0:t>gemini-2.5-flash-nothinking</ns0:t>
        </ns0:is>
      </ns0:c>
      <ns0:c r="F283" t="inlineStr">
        <ns0:is>
          <ns0:t>E0433,E0658</ns0:t>
        </ns0:is>
      </ns0:c>
      <ns0:c r="G283" t="n">
        <ns0:v>0</ns0:v>
      </ns0:c>
      <ns0:c r="H283" t="n">
        <ns0:v>12752</ns0:v>
      </ns0:c>
      <ns0:c r="I283" t="n">
        <ns0:v>2257</ns0:v>
      </ns0:c>
      <ns0:c r="J283" t="n">
        <ns0:v>15009</ns0:v>
      </ns0:c>
      <ns0:c r="K283" t="n">
        <ns0:v>15</ns0:v>
      </ns0:c>
      <ns0:c r="L283" t="n">
        <ns0:v>0</ns0:v>
      </ns0:c>
      <ns0:c r="M283" t="n">
        <ns0:v>290108</ns0:v>
      </ns0:c>
      <ns0:c r="N283" t="n">
        <ns0:v>2671</ns0:v>
      </ns0:c>
      <ns0:c r="O283" t="n">
        <ns0:v>292779</ns0:v>
      </ns0:c>
      <ns0:c r="P283" t="n">
        <ns0:v>20</ns0:v>
      </ns0:c>
      <ns0:c r="Q283">
        <ns0:f>IF(AND(L283=1,O283*Calculations!$B$2&lt;=Calculations!$B$10*Calculations!$B$4),1,0)</ns0:f>
        <ns0:v>0</ns0:v>
      </ns0:c>
      <ns0:c r="R283">
        <ns0:f>IF(AND(L283=1,O283*Calculations!$B$2&lt;=Calculations!$B$11*Calculations!$B$4),1,0)</ns0:f>
        <ns0:v>0</ns0:v>
      </ns0:c>
    </ns0:row>
    <ns0:row r="284">
      <ns0:c r="A284" t="inlineStr">
        <ns0:is>
          <ns0:t>case_0283</ns0:t>
        </ns0:is>
      </ns0:c>
      <ns0:c r="B284" t="inlineStr">
        <ns0:is>
          <ns0:t>function_0048</ns0:t>
        </ns0:is>
      </ns0:c>
      <ns0:c r="C284" t="inlineStr">
        <ns0:is>
          <ns0:t>run_003</ns0:t>
        </ns0:is>
      </ns0:c>
      <ns0:c r="D284" t="inlineStr">
        <ns0:is>
          <ns0:t>humantime</ns0:t>
        </ns0:is>
      </ns0:c>
      <ns0:c r="E284" t="inlineStr">
        <ns0:is>
          <ns0:t>gemini-2.5-flash-nothinking</ns0:t>
        </ns0:is>
      </ns0:c>
      <ns0:c r="F284" t="inlineStr">
        <ns0:is>
          <ns0:t>E0658</ns0:t>
        </ns0:is>
      </ns0:c>
      <ns0:c r="G284" t="n">
        <ns0:v>0</ns0:v>
      </ns0:c>
      <ns0:c r="H284" t="n">
        <ns0:v>4207</ns0:v>
      </ns0:c>
      <ns0:c r="I284" t="n">
        <ns0:v>1377</ns0:v>
      </ns0:c>
      <ns0:c r="J284" t="n">
        <ns0:v>5584</ns0:v>
      </ns0:c>
      <ns0:c r="K284" t="n">
        <ns0:v>3</ns0:v>
      </ns0:c>
      <ns0:c r="L284" t="n">
        <ns0:v>0</ns0:v>
      </ns0:c>
      <ns0:c r="M284" t="n">
        <ns0:v>399388</ns0:v>
      </ns0:c>
      <ns0:c r="N284" t="n">
        <ns0:v>7439</ns0:v>
      </ns0:c>
      <ns0:c r="O284" t="n">
        <ns0:v>406827</ns0:v>
      </ns0:c>
      <ns0:c r="P284" t="n">
        <ns0:v>20</ns0:v>
      </ns0:c>
      <ns0:c r="Q284">
        <ns0:f>IF(AND(L284=1,O284*Calculations!$B$2&lt;=Calculations!$B$10*Calculations!$B$4),1,0)</ns0:f>
        <ns0:v>0</ns0:v>
      </ns0:c>
      <ns0:c r="R284">
        <ns0:f>IF(AND(L284=1,O284*Calculations!$B$2&lt;=Calculations!$B$11*Calculations!$B$4),1,0)</ns0:f>
        <ns0:v>0</ns0:v>
      </ns0:c>
    </ns0:row>
    <ns0:row r="285">
      <ns0:c r="A285" t="inlineStr">
        <ns0:is>
          <ns0:t>case_0284</ns0:t>
        </ns0:is>
      </ns0:c>
      <ns0:c r="B285" t="inlineStr">
        <ns0:is>
          <ns0:t>function_0048</ns0:t>
        </ns0:is>
      </ns0:c>
      <ns0:c r="C285" t="inlineStr">
        <ns0:is>
          <ns0:t>run_003</ns0:t>
        </ns0:is>
      </ns0:c>
      <ns0:c r="D285" t="inlineStr">
        <ns0:is>
          <ns0:t>humantime</ns0:t>
        </ns0:is>
      </ns0:c>
      <ns0:c r="E285" t="inlineStr">
        <ns0:is>
          <ns0:t>gemini-2.5-flash-nothinking</ns0:t>
        </ns0:is>
      </ns0:c>
      <ns0:c r="F285" t="inlineStr">
        <ns0:is>
          <ns0:t>E0116</ns0:t>
        </ns0:is>
      </ns0:c>
      <ns0:c r="G285" t="n">
        <ns0:v>0</ns0:v>
      </ns0:c>
      <ns0:c r="H285" t="n">
        <ns0:v>5072</ns0:v>
      </ns0:c>
      <ns0:c r="I285" t="n">
        <ns0:v>1719</ns0:v>
      </ns0:c>
      <ns0:c r="J285" t="n">
        <ns0:v>6791</ns0:v>
      </ns0:c>
      <ns0:c r="K285" t="n">
        <ns0:v>3</ns0:v>
      </ns0:c>
      <ns0:c r="L285" t="n">
        <ns0:v>1</ns0:v>
      </ns0:c>
      <ns0:c r="M285" t="n">
        <ns0:v>247696</ns0:v>
      </ns0:c>
      <ns0:c r="N285" t="n">
        <ns0:v>5349</ns0:v>
      </ns0:c>
      <ns0:c r="O285" t="n">
        <ns0:v>253045</ns0:v>
      </ns0:c>
      <ns0:c r="P285" t="n">
        <ns0:v>19</ns0:v>
      </ns0:c>
      <ns0:c r="Q285">
        <ns0:f>IF(AND(L285=1,O285*Calculations!$B$2&lt;=Calculations!$B$10*Calculations!$B$4),1,0)</ns0:f>
        <ns0:v>0</ns0:v>
      </ns0:c>
      <ns0:c r="R285">
        <ns0:f>IF(AND(L285=1,O285*Calculations!$B$2&lt;=Calculations!$B$11*Calculations!$B$4),1,0)</ns0:f>
        <ns0:v>0</ns0:v>
      </ns0:c>
    </ns0:row>
    <ns0:row r="286">
      <ns0:c r="A286" t="inlineStr">
        <ns0:is>
          <ns0:t>case_0285</ns0:t>
        </ns0:is>
      </ns0:c>
      <ns0:c r="B286" t="inlineStr">
        <ns0:is>
          <ns0:t>function_0048</ns0:t>
        </ns0:is>
      </ns0:c>
      <ns0:c r="C286" t="inlineStr">
        <ns0:is>
          <ns0:t>run_003</ns0:t>
        </ns0:is>
      </ns0:c>
      <ns0:c r="D286" t="inlineStr">
        <ns0:is>
          <ns0:t>humantime</ns0:t>
        </ns0:is>
      </ns0:c>
      <ns0:c r="E286" t="inlineStr">
        <ns0:is>
          <ns0:t>gemini-2.5-flash-nothinking</ns0:t>
        </ns0:is>
      </ns0:c>
      <ns0:c r="F286" t="inlineStr">
        <ns0:is>
          <ns0:t>E0658</ns0:t>
        </ns0:is>
      </ns0:c>
      <ns0:c r="G286" t="n">
        <ns0:v>0</ns0:v>
      </ns0:c>
      <ns0:c r="H286" t="n">
        <ns0:v>3357</ns0:v>
      </ns0:c>
      <ns0:c r="I286" t="n">
        <ns0:v>1069</ns0:v>
      </ns0:c>
      <ns0:c r="J286" t="n">
        <ns0:v>4426</ns0:v>
      </ns0:c>
      <ns0:c r="K286" t="n">
        <ns0:v>3</ns0:v>
      </ns0:c>
      <ns0:c r="L286" t="n">
        <ns0:v>0</ns0:v>
      </ns0:c>
      <ns0:c r="M286" t="n">
        <ns0:v>374822</ns0:v>
      </ns0:c>
      <ns0:c r="N286" t="n">
        <ns0:v>21234</ns0:v>
      </ns0:c>
      <ns0:c r="O286" t="n">
        <ns0:v>396056</ns0:v>
      </ns0:c>
      <ns0:c r="P286" t="n">
        <ns0:v>20</ns0:v>
      </ns0:c>
      <ns0:c r="Q286">
        <ns0:f>IF(AND(L286=1,O286*Calculations!$B$2&lt;=Calculations!$B$10*Calculations!$B$4),1,0)</ns0:f>
        <ns0:v>0</ns0:v>
      </ns0:c>
      <ns0:c r="R286">
        <ns0:f>IF(AND(L286=1,O286*Calculations!$B$2&lt;=Calculations!$B$11*Calculations!$B$4),1,0)</ns0:f>
        <ns0:v>0</ns0:v>
      </ns0:c>
    </ns0:row>
    <ns0:row r="287">
      <ns0:c r="A287" t="inlineStr">
        <ns0:is>
          <ns0:t>case_0286</ns0:t>
        </ns0:is>
      </ns0:c>
      <ns0:c r="B287" t="inlineStr">
        <ns0:is>
          <ns0:t>function_0048</ns0:t>
        </ns0:is>
      </ns0:c>
      <ns0:c r="C287" t="inlineStr">
        <ns0:is>
          <ns0:t>run_003</ns0:t>
        </ns0:is>
      </ns0:c>
      <ns0:c r="D287" t="inlineStr">
        <ns0:is>
          <ns0:t>humantime</ns0:t>
        </ns0:is>
      </ns0:c>
      <ns0:c r="E287" t="inlineStr">
        <ns0:is>
          <ns0:t>gemini-2.5-flash-nothinking</ns0:t>
        </ns0:is>
      </ns0:c>
      <ns0:c r="F287" t="inlineStr">
        <ns0:is>
          <ns0:t>E0116,E0433</ns0:t>
        </ns0:is>
      </ns0:c>
      <ns0:c r="G287" t="n">
        <ns0:v>0</ns0:v>
      </ns0:c>
      <ns0:c r="H287" t="n">
        <ns0:v>4400</ns0:v>
      </ns0:c>
      <ns0:c r="I287" t="n">
        <ns0:v>1104</ns0:v>
      </ns0:c>
      <ns0:c r="J287" t="n">
        <ns0:v>5504</ns0:v>
      </ns0:c>
      <ns0:c r="K287" t="n">
        <ns0:v>3</ns0:v>
      </ns0:c>
      <ns0:c r="L287" t="n">
        <ns0:v>0</ns0:v>
      </ns0:c>
      <ns0:c r="M287" t="n">
        <ns0:v>329496</ns0:v>
      </ns0:c>
      <ns0:c r="N287" t="n">
        <ns0:v>10547</ns0:v>
      </ns0:c>
      <ns0:c r="O287" t="n">
        <ns0:v>340043</ns0:v>
      </ns0:c>
      <ns0:c r="P287" t="n">
        <ns0:v>20</ns0:v>
      </ns0:c>
      <ns0:c r="Q287">
        <ns0:f>IF(AND(L287=1,O287*Calculations!$B$2&lt;=Calculations!$B$10*Calculations!$B$4),1,0)</ns0:f>
        <ns0:v>0</ns0:v>
      </ns0:c>
      <ns0:c r="R287">
        <ns0:f>IF(AND(L287=1,O287*Calculations!$B$2&lt;=Calculations!$B$11*Calculations!$B$4),1,0)</ns0:f>
        <ns0:v>0</ns0:v>
      </ns0:c>
    </ns0:row>
    <ns0:row r="288">
      <ns0:c r="A288" t="inlineStr">
        <ns0:is>
          <ns0:t>case_0287</ns0:t>
        </ns0:is>
      </ns0:c>
      <ns0:c r="B288" t="inlineStr">
        <ns0:is>
          <ns0:t>function_0048</ns0:t>
        </ns0:is>
      </ns0:c>
      <ns0:c r="C288" t="inlineStr">
        <ns0:is>
          <ns0:t>run_003</ns0:t>
        </ns0:is>
      </ns0:c>
      <ns0:c r="D288" t="inlineStr">
        <ns0:is>
          <ns0:t>humantime</ns0:t>
        </ns0:is>
      </ns0:c>
      <ns0:c r="E288" t="inlineStr">
        <ns0:is>
          <ns0:t>gemini-2.5-flash-nothinking</ns0:t>
        </ns0:is>
      </ns0:c>
      <ns0:c r="F288" t="inlineStr">
        <ns0:is>
          <ns0:t>E0433,E0658</ns0:t>
        </ns0:is>
      </ns0:c>
      <ns0:c r="G288" t="n">
        <ns0:v>0</ns0:v>
      </ns0:c>
      <ns0:c r="H288" t="n">
        <ns0:v>3136</ns0:v>
      </ns0:c>
      <ns0:c r="I288" t="n">
        <ns0:v>838</ns0:v>
      </ns0:c>
      <ns0:c r="J288" t="n">
        <ns0:v>3974</ns0:v>
      </ns0:c>
      <ns0:c r="K288" t="n">
        <ns0:v>3</ns0:v>
      </ns0:c>
      <ns0:c r="L288" t="n">
        <ns0:v>0</ns0:v>
      </ns0:c>
      <ns0:c r="M288" t="n">
        <ns0:v>50908</ns0:v>
      </ns0:c>
      <ns0:c r="N288" t="n">
        <ns0:v>1127</ns0:v>
      </ns0:c>
      <ns0:c r="O288" t="n">
        <ns0:v>52035</ns0:v>
      </ns0:c>
      <ns0:c r="P288" t="n">
        <ns0:v>6</ns0:v>
      </ns0:c>
      <ns0:c r="Q288">
        <ns0:f>IF(AND(L288=1,O288*Calculations!$B$2&lt;=Calculations!$B$10*Calculations!$B$4),1,0)</ns0:f>
        <ns0:v>0</ns0:v>
      </ns0:c>
      <ns0:c r="R288">
        <ns0:f>IF(AND(L288=1,O288*Calculations!$B$2&lt;=Calculations!$B$11*Calculations!$B$4),1,0)</ns0:f>
        <ns0:v>0</ns0:v>
      </ns0:c>
    </ns0:row>
    <ns0:row r="289">
      <ns0:c r="A289" t="inlineStr">
        <ns0:is>
          <ns0:t>case_0288</ns0:t>
        </ns0:is>
      </ns0:c>
      <ns0:c r="B289" t="inlineStr">
        <ns0:is>
          <ns0:t>function_0048</ns0:t>
        </ns0:is>
      </ns0:c>
      <ns0:c r="C289" t="inlineStr">
        <ns0:is>
          <ns0:t>run_003</ns0:t>
        </ns0:is>
      </ns0:c>
      <ns0:c r="D289" t="inlineStr">
        <ns0:is>
          <ns0:t>humantime</ns0:t>
        </ns0:is>
      </ns0:c>
      <ns0:c r="E289" t="inlineStr">
        <ns0:is>
          <ns0:t>gemini-2.5-flash-nothinking</ns0:t>
        </ns0:is>
      </ns0:c>
      <ns0:c r="F289" t="inlineStr">
        <ns0:is>
          <ns0:t>E0116,E0433</ns0:t>
        </ns0:is>
      </ns0:c>
      <ns0:c r="G289" t="n">
        <ns0:v>0</ns0:v>
      </ns0:c>
      <ns0:c r="H289" t="n">
        <ns0:v>4454</ns0:v>
      </ns0:c>
      <ns0:c r="I289" t="n">
        <ns0:v>1047</ns0:v>
      </ns0:c>
      <ns0:c r="J289" t="n">
        <ns0:v>5501</ns0:v>
      </ns0:c>
      <ns0:c r="K289" t="n">
        <ns0:v>3</ns0:v>
      </ns0:c>
      <ns0:c r="L289" t="n">
        <ns0:v>0</ns0:v>
      </ns0:c>
      <ns0:c r="M289" t="n">
        <ns0:v>316989</ns0:v>
      </ns0:c>
      <ns0:c r="N289" t="n">
        <ns0:v>9231</ns0:v>
      </ns0:c>
      <ns0:c r="O289" t="n">
        <ns0:v>326220</ns0:v>
      </ns0:c>
      <ns0:c r="P289" t="n">
        <ns0:v>21</ns0:v>
      </ns0:c>
      <ns0:c r="Q289">
        <ns0:f>IF(AND(L289=1,O289*Calculations!$B$2&lt;=Calculations!$B$10*Calculations!$B$4),1,0)</ns0:f>
        <ns0:v>0</ns0:v>
      </ns0:c>
      <ns0:c r="R289">
        <ns0:f>IF(AND(L289=1,O289*Calculations!$B$2&lt;=Calculations!$B$11*Calculations!$B$4),1,0)</ns0:f>
        <ns0:v>0</ns0:v>
      </ns0:c>
    </ns0:row>
    <ns0:row r="290">
      <ns0:c r="A290" t="inlineStr">
        <ns0:is>
          <ns0:t>case_0289</ns0:t>
        </ns0:is>
      </ns0:c>
      <ns0:c r="B290" t="inlineStr">
        <ns0:is>
          <ns0:t>function_0049</ns0:t>
        </ns0:is>
      </ns0:c>
      <ns0:c r="C290" t="inlineStr">
        <ns0:is>
          <ns0:t>run_004</ns0:t>
        </ns0:is>
      </ns0:c>
      <ns0:c r="D290" t="inlineStr">
        <ns0:is>
          <ns0:t>humantime</ns0:t>
        </ns0:is>
      </ns0:c>
      <ns0:c r="E290" t="inlineStr">
        <ns0:is>
          <ns0:t>gemini-2.5-flash-thinking</ns0:t>
        </ns0:is>
      </ns0:c>
      <ns0:c r="F290" t="inlineStr">
        <ns0:is>
          <ns0:t>E0433</ns0:t>
        </ns0:is>
      </ns0:c>
      <ns0:c r="G290" t="n">
        <ns0:v>1</ns0:v>
      </ns0:c>
      <ns0:c r="H290" t="n">
        <ns0:v>0</ns0:v>
      </ns0:c>
      <ns0:c r="I290" t="n">
        <ns0:v>0</ns0:v>
      </ns0:c>
      <ns0:c r="J290" t="n">
        <ns0:v>0</ns0:v>
      </ns0:c>
      <ns0:c r="K290" t="n">
        <ns0:v>0</ns0:v>
      </ns0:c>
      <ns0:c r="L290" t="n">
        <ns0:v>1</ns0:v>
      </ns0:c>
      <ns0:c r="M290" t="n">
        <ns0:v>21643</ns0:v>
      </ns0:c>
      <ns0:c r="N290" t="n">
        <ns0:v>315</ns0:v>
      </ns0:c>
      <ns0:c r="O290" t="n">
        <ns0:v>21958</ns0:v>
      </ns0:c>
      <ns0:c r="P290" t="n">
        <ns0:v>3</ns0:v>
      </ns0:c>
      <ns0:c r="Q290">
        <ns0:f>IF(AND(L290=1,O290*Calculations!$B$2&lt;=Calculations!$B$10*Calculations!$B$4),1,0)</ns0:f>
        <ns0:v>1</ns0:v>
      </ns0:c>
      <ns0:c r="R290">
        <ns0:f>IF(AND(L290=1,O290*Calculations!$B$2&lt;=Calculations!$B$11*Calculations!$B$4),1,0)</ns0:f>
        <ns0:v>1</ns0:v>
      </ns0:c>
    </ns0:row>
    <ns0:row r="291">
      <ns0:c r="A291" t="inlineStr">
        <ns0:is>
          <ns0:t>case_0290</ns0:t>
        </ns0:is>
      </ns0:c>
      <ns0:c r="B291" t="inlineStr">
        <ns0:is>
          <ns0:t>function_0049</ns0:t>
        </ns0:is>
      </ns0:c>
      <ns0:c r="C291" t="inlineStr">
        <ns0:is>
          <ns0:t>run_004</ns0:t>
        </ns0:is>
      </ns0:c>
      <ns0:c r="D291" t="inlineStr">
        <ns0:is>
          <ns0:t>humantime</ns0:t>
        </ns0:is>
      </ns0:c>
      <ns0:c r="E291" t="inlineStr">
        <ns0:is>
          <ns0:t>gemini-2.5-flash-thinking</ns0:t>
        </ns0:is>
      </ns0:c>
      <ns0:c r="F291" t="inlineStr">
        <ns0:is>
          <ns0:t>E0433</ns0:t>
        </ns0:is>
      </ns0:c>
      <ns0:c r="G291" t="n">
        <ns0:v>1</ns0:v>
      </ns0:c>
      <ns0:c r="H291" t="n">
        <ns0:v>0</ns0:v>
      </ns0:c>
      <ns0:c r="I291" t="n">
        <ns0:v>0</ns0:v>
      </ns0:c>
      <ns0:c r="J291" t="n">
        <ns0:v>0</ns0:v>
      </ns0:c>
      <ns0:c r="K291" t="n">
        <ns0:v>0</ns0:v>
      </ns0:c>
      <ns0:c r="L291" t="n">
        <ns0:v>1</ns0:v>
      </ns0:c>
      <ns0:c r="M291" t="n">
        <ns0:v>20979</ns0:v>
      </ns0:c>
      <ns0:c r="N291" t="n">
        <ns0:v>606</ns0:v>
      </ns0:c>
      <ns0:c r="O291" t="n">
        <ns0:v>21585</ns0:v>
      </ns0:c>
      <ns0:c r="P291" t="n">
        <ns0:v>3</ns0:v>
      </ns0:c>
      <ns0:c r="Q291">
        <ns0:f>IF(AND(L291=1,O291*Calculations!$B$2&lt;=Calculations!$B$10*Calculations!$B$4),1,0)</ns0:f>
        <ns0:v>1</ns0:v>
      </ns0:c>
      <ns0:c r="R291">
        <ns0:f>IF(AND(L291=1,O291*Calculations!$B$2&lt;=Calculations!$B$11*Calculations!$B$4),1,0)</ns0:f>
        <ns0:v>1</ns0:v>
      </ns0:c>
    </ns0:row>
    <ns0:row r="292">
      <ns0:c r="A292" t="inlineStr">
        <ns0:is>
          <ns0:t>case_0291</ns0:t>
        </ns0:is>
      </ns0:c>
      <ns0:c r="B292" t="inlineStr">
        <ns0:is>
          <ns0:t>function_0049</ns0:t>
        </ns0:is>
      </ns0:c>
      <ns0:c r="C292" t="inlineStr">
        <ns0:is>
          <ns0:t>run_004</ns0:t>
        </ns0:is>
      </ns0:c>
      <ns0:c r="D292" t="inlineStr">
        <ns0:is>
          <ns0:t>humantime</ns0:t>
        </ns0:is>
      </ns0:c>
      <ns0:c r="E292" t="inlineStr">
        <ns0:is>
          <ns0:t>gemini-2.5-flash-thinking</ns0:t>
        </ns0:is>
      </ns0:c>
      <ns0:c r="F292" t="inlineStr">
        <ns0:is>
          <ns0:t>E0433</ns0:t>
        </ns0:is>
      </ns0:c>
      <ns0:c r="G292" t="n">
        <ns0:v>1</ns0:v>
      </ns0:c>
      <ns0:c r="H292" t="n">
        <ns0:v>0</ns0:v>
      </ns0:c>
      <ns0:c r="I292" t="n">
        <ns0:v>0</ns0:v>
      </ns0:c>
      <ns0:c r="J292" t="n">
        <ns0:v>0</ns0:v>
      </ns0:c>
      <ns0:c r="K292" t="n">
        <ns0:v>0</ns0:v>
      </ns0:c>
      <ns0:c r="L292" t="n">
        <ns0:v>1</ns0:v>
      </ns0:c>
      <ns0:c r="M292" t="n">
        <ns0:v>20770</ns0:v>
      </ns0:c>
      <ns0:c r="N292" t="n">
        <ns0:v>337</ns0:v>
      </ns0:c>
      <ns0:c r="O292" t="n">
        <ns0:v>21107</ns0:v>
      </ns0:c>
      <ns0:c r="P292" t="n">
        <ns0:v>3</ns0:v>
      </ns0:c>
      <ns0:c r="Q292">
        <ns0:f>IF(AND(L292=1,O292*Calculations!$B$2&lt;=Calculations!$B$10*Calculations!$B$4),1,0)</ns0:f>
        <ns0:v>1</ns0:v>
      </ns0:c>
      <ns0:c r="R292">
        <ns0:f>IF(AND(L292=1,O292*Calculations!$B$2&lt;=Calculations!$B$11*Calculations!$B$4),1,0)</ns0:f>
        <ns0:v>1</ns0:v>
      </ns0:c>
    </ns0:row>
    <ns0:row r="293">
      <ns0:c r="A293" t="inlineStr">
        <ns0:is>
          <ns0:t>case_0292</ns0:t>
        </ns0:is>
      </ns0:c>
      <ns0:c r="B293" t="inlineStr">
        <ns0:is>
          <ns0:t>function_0050</ns0:t>
        </ns0:is>
      </ns0:c>
      <ns0:c r="C293" t="inlineStr">
        <ns0:is>
          <ns0:t>run_004</ns0:t>
        </ns0:is>
      </ns0:c>
      <ns0:c r="D293" t="inlineStr">
        <ns0:is>
          <ns0:t>humantime</ns0:t>
        </ns0:is>
      </ns0:c>
      <ns0:c r="E293" t="inlineStr">
        <ns0:is>
          <ns0:t>gemini-2.5-flash-thinking</ns0:t>
        </ns0:is>
      </ns0:c>
      <ns0:c r="F293" t="inlineStr">
        <ns0:is>
          <ns0:t>E0433</ns0:t>
        </ns0:is>
      </ns0:c>
      <ns0:c r="G293" t="n">
        <ns0:v>1</ns0:v>
      </ns0:c>
      <ns0:c r="H293" t="n">
        <ns0:v>0</ns0:v>
      </ns0:c>
      <ns0:c r="I293" t="n">
        <ns0:v>0</ns0:v>
      </ns0:c>
      <ns0:c r="J293" t="n">
        <ns0:v>0</ns0:v>
      </ns0:c>
      <ns0:c r="K293" t="n">
        <ns0:v>0</ns0:v>
      </ns0:c>
      <ns0:c r="L293" t="n">
        <ns0:v>1</ns0:v>
      </ns0:c>
      <ns0:c r="M293" t="n">
        <ns0:v>25719</ns0:v>
      </ns0:c>
      <ns0:c r="N293" t="n">
        <ns0:v>461</ns0:v>
      </ns0:c>
      <ns0:c r="O293" t="n">
        <ns0:v>26180</ns0:v>
      </ns0:c>
      <ns0:c r="P293" t="n">
        <ns0:v>3</ns0:v>
      </ns0:c>
      <ns0:c r="Q293">
        <ns0:f>IF(AND(L293=1,O293*Calculations!$B$2&lt;=Calculations!$B$10*Calculations!$B$4),1,0)</ns0:f>
        <ns0:v>0</ns0:v>
      </ns0:c>
      <ns0:c r="R293">
        <ns0:f>IF(AND(L293=1,O293*Calculations!$B$2&lt;=Calculations!$B$11*Calculations!$B$4),1,0)</ns0:f>
        <ns0:v>1</ns0:v>
      </ns0:c>
    </ns0:row>
    <ns0:row r="294">
      <ns0:c r="A294" t="inlineStr">
        <ns0:is>
          <ns0:t>case_0293</ns0:t>
        </ns0:is>
      </ns0:c>
      <ns0:c r="B294" t="inlineStr">
        <ns0:is>
          <ns0:t>function_0050</ns0:t>
        </ns0:is>
      </ns0:c>
      <ns0:c r="C294" t="inlineStr">
        <ns0:is>
          <ns0:t>run_004</ns0:t>
        </ns0:is>
      </ns0:c>
      <ns0:c r="D294" t="inlineStr">
        <ns0:is>
          <ns0:t>humantime</ns0:t>
        </ns0:is>
      </ns0:c>
      <ns0:c r="E294" t="inlineStr">
        <ns0:is>
          <ns0:t>gemini-2.5-flash-thinking</ns0:t>
        </ns0:is>
      </ns0:c>
      <ns0:c r="F294" t="inlineStr">
        <ns0:is>
          <ns0:t>E0433</ns0:t>
        </ns0:is>
      </ns0:c>
      <ns0:c r="G294" t="n">
        <ns0:v>1</ns0:v>
      </ns0:c>
      <ns0:c r="H294" t="n">
        <ns0:v>585</ns0:v>
      </ns0:c>
      <ns0:c r="I294" t="n">
        <ns0:v>76</ns0:v>
      </ns0:c>
      <ns0:c r="J294" t="n">
        <ns0:v>661</ns0:v>
      </ns0:c>
      <ns0:c r="K294" t="n">
        <ns0:v>1</ns0:v>
      </ns0:c>
      <ns0:c r="L294" t="n">
        <ns0:v>1</ns0:v>
      </ns0:c>
      <ns0:c r="M294" t="n">
        <ns0:v>33938</ns0:v>
      </ns0:c>
      <ns0:c r="N294" t="n">
        <ns0:v>479</ns0:v>
      </ns0:c>
      <ns0:c r="O294" t="n">
        <ns0:v>34417</ns0:v>
      </ns0:c>
      <ns0:c r="P294" t="n">
        <ns0:v>4</ns0:v>
      </ns0:c>
      <ns0:c r="Q294">
        <ns0:f>IF(AND(L294=1,O294*Calculations!$B$2&lt;=Calculations!$B$10*Calculations!$B$4),1,0)</ns0:f>
        <ns0:v>0</ns0:v>
      </ns0:c>
      <ns0:c r="R294">
        <ns0:f>IF(AND(L294=1,O294*Calculations!$B$2&lt;=Calculations!$B$11*Calculations!$B$4),1,0)</ns0:f>
        <ns0:v>1</ns0:v>
      </ns0:c>
    </ns0:row>
    <ns0:row r="295">
      <ns0:c r="A295" t="inlineStr">
        <ns0:is>
          <ns0:t>case_0294</ns0:t>
        </ns0:is>
      </ns0:c>
      <ns0:c r="B295" t="inlineStr">
        <ns0:is>
          <ns0:t>function_0050</ns0:t>
        </ns0:is>
      </ns0:c>
      <ns0:c r="C295" t="inlineStr">
        <ns0:is>
          <ns0:t>run_004</ns0:t>
        </ns0:is>
      </ns0:c>
      <ns0:c r="D295" t="inlineStr">
        <ns0:is>
          <ns0:t>humantime</ns0:t>
        </ns0:is>
      </ns0:c>
      <ns0:c r="E295" t="inlineStr">
        <ns0:is>
          <ns0:t>gemini-2.5-flash-thinking</ns0:t>
        </ns0:is>
      </ns0:c>
      <ns0:c r="F295" t="inlineStr">
        <ns0:is>
          <ns0:t>E0433</ns0:t>
        </ns0:is>
      </ns0:c>
      <ns0:c r="G295" t="n">
        <ns0:v>1</ns0:v>
      </ns0:c>
      <ns0:c r="H295" t="n">
        <ns0:v>0</ns0:v>
      </ns0:c>
      <ns0:c r="I295" t="n">
        <ns0:v>0</ns0:v>
      </ns0:c>
      <ns0:c r="J295" t="n">
        <ns0:v>0</ns0:v>
      </ns0:c>
      <ns0:c r="K295" t="n">
        <ns0:v>0</ns0:v>
      </ns0:c>
      <ns0:c r="L295" t="n">
        <ns0:v>1</ns0:v>
      </ns0:c>
      <ns0:c r="M295" t="n">
        <ns0:v>20913</ns0:v>
      </ns0:c>
      <ns0:c r="N295" t="n">
        <ns0:v>288</ns0:v>
      </ns0:c>
      <ns0:c r="O295" t="n">
        <ns0:v>21201</ns0:v>
      </ns0:c>
      <ns0:c r="P295" t="n">
        <ns0:v>3</ns0:v>
      </ns0:c>
      <ns0:c r="Q295">
        <ns0:f>IF(AND(L295=1,O295*Calculations!$B$2&lt;=Calculations!$B$10*Calculations!$B$4),1,0)</ns0:f>
        <ns0:v>1</ns0:v>
      </ns0:c>
      <ns0:c r="R295">
        <ns0:f>IF(AND(L295=1,O295*Calculations!$B$2&lt;=Calculations!$B$11*Calculations!$B$4),1,0)</ns0:f>
        <ns0:v>1</ns0:v>
      </ns0:c>
    </ns0:row>
    <ns0:row r="296">
      <ns0:c r="A296" t="inlineStr">
        <ns0:is>
          <ns0:t>case_0295</ns0:t>
        </ns0:is>
      </ns0:c>
      <ns0:c r="B296" t="inlineStr">
        <ns0:is>
          <ns0:t>function_0051</ns0:t>
        </ns0:is>
      </ns0:c>
      <ns0:c r="C296" t="inlineStr">
        <ns0:is>
          <ns0:t>run_004</ns0:t>
        </ns0:is>
      </ns0:c>
      <ns0:c r="D296" t="inlineStr">
        <ns0:is>
          <ns0:t>humantime</ns0:t>
        </ns0:is>
      </ns0:c>
      <ns0:c r="E296" t="inlineStr">
        <ns0:is>
          <ns0:t>gemini-2.5-flash-thinking</ns0:t>
        </ns0:is>
      </ns0:c>
      <ns0:c r="F296" t="inlineStr">
        <ns0:is>
          <ns0:t>E0433</ns0:t>
        </ns0:is>
      </ns0:c>
      <ns0:c r="G296" t="n">
        <ns0:v>1</ns0:v>
      </ns0:c>
      <ns0:c r="H296" t="n">
        <ns0:v>0</ns0:v>
      </ns0:c>
      <ns0:c r="I296" t="n">
        <ns0:v>0</ns0:v>
      </ns0:c>
      <ns0:c r="J296" t="n">
        <ns0:v>0</ns0:v>
      </ns0:c>
      <ns0:c r="K296" t="n">
        <ns0:v>0</ns0:v>
      </ns0:c>
      <ns0:c r="L296" t="n">
        <ns0:v>1</ns0:v>
      </ns0:c>
      <ns0:c r="M296" t="n">
        <ns0:v>20865</ns0:v>
      </ns0:c>
      <ns0:c r="N296" t="n">
        <ns0:v>210</ns0:v>
      </ns0:c>
      <ns0:c r="O296" t="n">
        <ns0:v>21075</ns0:v>
      </ns0:c>
      <ns0:c r="P296" t="n">
        <ns0:v>3</ns0:v>
      </ns0:c>
      <ns0:c r="Q296">
        <ns0:f>IF(AND(L296=1,O296*Calculations!$B$2&lt;=Calculations!$B$10*Calculations!$B$4),1,0)</ns0:f>
        <ns0:v>1</ns0:v>
      </ns0:c>
      <ns0:c r="R296">
        <ns0:f>IF(AND(L296=1,O296*Calculations!$B$2&lt;=Calculations!$B$11*Calculations!$B$4),1,0)</ns0:f>
        <ns0:v>1</ns0:v>
      </ns0:c>
    </ns0:row>
    <ns0:row r="297">
      <ns0:c r="A297" t="inlineStr">
        <ns0:is>
          <ns0:t>case_0296</ns0:t>
        </ns0:is>
      </ns0:c>
      <ns0:c r="B297" t="inlineStr">
        <ns0:is>
          <ns0:t>function_0051</ns0:t>
        </ns0:is>
      </ns0:c>
      <ns0:c r="C297" t="inlineStr">
        <ns0:is>
          <ns0:t>run_004</ns0:t>
        </ns0:is>
      </ns0:c>
      <ns0:c r="D297" t="inlineStr">
        <ns0:is>
          <ns0:t>humantime</ns0:t>
        </ns0:is>
      </ns0:c>
      <ns0:c r="E297" t="inlineStr">
        <ns0:is>
          <ns0:t>gemini-2.5-flash-thinking</ns0:t>
        </ns0:is>
      </ns0:c>
      <ns0:c r="F297" t="inlineStr">
        <ns0:is>
          <ns0:t>E0433</ns0:t>
        </ns0:is>
      </ns0:c>
      <ns0:c r="G297" t="n">
        <ns0:v>1</ns0:v>
      </ns0:c>
      <ns0:c r="H297" t="n">
        <ns0:v>0</ns0:v>
      </ns0:c>
      <ns0:c r="I297" t="n">
        <ns0:v>0</ns0:v>
      </ns0:c>
      <ns0:c r="J297" t="n">
        <ns0:v>0</ns0:v>
      </ns0:c>
      <ns0:c r="K297" t="n">
        <ns0:v>0</ns0:v>
      </ns0:c>
      <ns0:c r="L297" t="n">
        <ns0:v>1</ns0:v>
      </ns0:c>
      <ns0:c r="M297" t="n">
        <ns0:v>31988</ns0:v>
      </ns0:c>
      <ns0:c r="N297" t="n">
        <ns0:v>515</ns0:v>
      </ns0:c>
      <ns0:c r="O297" t="n">
        <ns0:v>32503</ns0:v>
      </ns0:c>
      <ns0:c r="P297" t="n">
        <ns0:v>4</ns0:v>
      </ns0:c>
      <ns0:c r="Q297">
        <ns0:f>IF(AND(L297=1,O297*Calculations!$B$2&lt;=Calculations!$B$10*Calculations!$B$4),1,0)</ns0:f>
        <ns0:v>0</ns0:v>
      </ns0:c>
      <ns0:c r="R297">
        <ns0:f>IF(AND(L297=1,O297*Calculations!$B$2&lt;=Calculations!$B$11*Calculations!$B$4),1,0)</ns0:f>
        <ns0:v>1</ns0:v>
      </ns0:c>
    </ns0:row>
    <ns0:row r="298">
      <ns0:c r="A298" t="inlineStr">
        <ns0:is>
          <ns0:t>case_0297</ns0:t>
        </ns0:is>
      </ns0:c>
      <ns0:c r="B298" t="inlineStr">
        <ns0:is>
          <ns0:t>function_0052</ns0:t>
        </ns0:is>
      </ns0:c>
      <ns0:c r="C298" t="inlineStr">
        <ns0:is>
          <ns0:t>run_004</ns0:t>
        </ns0:is>
      </ns0:c>
      <ns0:c r="D298" t="inlineStr">
        <ns0:is>
          <ns0:t>humantime</ns0:t>
        </ns0:is>
      </ns0:c>
      <ns0:c r="E298" t="inlineStr">
        <ns0:is>
          <ns0:t>gemini-2.5-flash-thinking</ns0:t>
        </ns0:is>
      </ns0:c>
      <ns0:c r="F298" t="inlineStr">
        <ns0:is>
          <ns0:t>E0433</ns0:t>
        </ns0:is>
      </ns0:c>
      <ns0:c r="G298" t="n">
        <ns0:v>1</ns0:v>
      </ns0:c>
      <ns0:c r="H298" t="n">
        <ns0:v>0</ns0:v>
      </ns0:c>
      <ns0:c r="I298" t="n">
        <ns0:v>0</ns0:v>
      </ns0:c>
      <ns0:c r="J298" t="n">
        <ns0:v>0</ns0:v>
      </ns0:c>
      <ns0:c r="K298" t="n">
        <ns0:v>0</ns0:v>
      </ns0:c>
      <ns0:c r="L298" t="n">
        <ns0:v>1</ns0:v>
      </ns0:c>
      <ns0:c r="M298" t="n">
        <ns0:v>26952</ns0:v>
      </ns0:c>
      <ns0:c r="N298" t="n">
        <ns0:v>958</ns0:v>
      </ns0:c>
      <ns0:c r="O298" t="n">
        <ns0:v>27910</ns0:v>
      </ns0:c>
      <ns0:c r="P298" t="n">
        <ns0:v>3</ns0:v>
      </ns0:c>
      <ns0:c r="Q298">
        <ns0:f>IF(AND(L298=1,O298*Calculations!$B$2&lt;=Calculations!$B$10*Calculations!$B$4),1,0)</ns0:f>
        <ns0:v>0</ns0:v>
      </ns0:c>
      <ns0:c r="R298">
        <ns0:f>IF(AND(L298=1,O298*Calculations!$B$2&lt;=Calculations!$B$11*Calculations!$B$4),1,0)</ns0:f>
        <ns0:v>1</ns0:v>
      </ns0:c>
    </ns0:row>
    <ns0:row r="299">
      <ns0:c r="A299" t="inlineStr">
        <ns0:is>
          <ns0:t>case_0298</ns0:t>
        </ns0:is>
      </ns0:c>
      <ns0:c r="B299" t="inlineStr">
        <ns0:is>
          <ns0:t>function_0052</ns0:t>
        </ns0:is>
      </ns0:c>
      <ns0:c r="C299" t="inlineStr">
        <ns0:is>
          <ns0:t>run_004</ns0:t>
        </ns0:is>
      </ns0:c>
      <ns0:c r="D299" t="inlineStr">
        <ns0:is>
          <ns0:t>humantime</ns0:t>
        </ns0:is>
      </ns0:c>
      <ns0:c r="E299" t="inlineStr">
        <ns0:is>
          <ns0:t>gemini-2.5-flash-thinking</ns0:t>
        </ns0:is>
      </ns0:c>
      <ns0:c r="F299" t="inlineStr">
        <ns0:is>
          <ns0:t>E0432</ns0:t>
        </ns0:is>
      </ns0:c>
      <ns0:c r="G299" t="n">
        <ns0:v>0</ns0:v>
      </ns0:c>
      <ns0:c r="H299" t="n">
        <ns0:v>7516</ns0:v>
      </ns0:c>
      <ns0:c r="I299" t="n">
        <ns0:v>993</ns0:v>
      </ns0:c>
      <ns0:c r="J299" t="n">
        <ns0:v>8509</ns0:v>
      </ns0:c>
      <ns0:c r="K299" t="n">
        <ns0:v>3</ns0:v>
      </ns0:c>
      <ns0:c r="L299" t="n">
        <ns0:v>1</ns0:v>
      </ns0:c>
      <ns0:c r="M299" t="n">
        <ns0:v>49785</ns0:v>
      </ns0:c>
      <ns0:c r="N299" t="n">
        <ns0:v>1851</ns0:v>
      </ns0:c>
      <ns0:c r="O299" t="n">
        <ns0:v>51636</ns0:v>
      </ns0:c>
      <ns0:c r="P299" t="n">
        <ns0:v>6</ns0:v>
      </ns0:c>
      <ns0:c r="Q299">
        <ns0:f>IF(AND(L299=1,O299*Calculations!$B$2&lt;=Calculations!$B$10*Calculations!$B$4),1,0)</ns0:f>
        <ns0:v>0</ns0:v>
      </ns0:c>
      <ns0:c r="R299">
        <ns0:f>IF(AND(L299=1,O299*Calculations!$B$2&lt;=Calculations!$B$11*Calculations!$B$4),1,0)</ns0:f>
        <ns0:v>0</ns0:v>
      </ns0:c>
    </ns0:row>
    <ns0:row r="300">
      <ns0:c r="A300" t="inlineStr">
        <ns0:is>
          <ns0:t>case_0299</ns0:t>
        </ns0:is>
      </ns0:c>
      <ns0:c r="B300" t="inlineStr">
        <ns0:is>
          <ns0:t>function_0052</ns0:t>
        </ns0:is>
      </ns0:c>
      <ns0:c r="C300" t="inlineStr">
        <ns0:is>
          <ns0:t>run_004</ns0:t>
        </ns0:is>
      </ns0:c>
      <ns0:c r="D300" t="inlineStr">
        <ns0:is>
          <ns0:t>humantime</ns0:t>
        </ns0:is>
      </ns0:c>
      <ns0:c r="E300" t="inlineStr">
        <ns0:is>
          <ns0:t>gemini-2.5-flash-thinking</ns0:t>
        </ns0:is>
      </ns0:c>
      <ns0:c r="F300" t="inlineStr">
        <ns0:is>
          <ns0:t>E0432,E0433</ns0:t>
        </ns0:is>
      </ns0:c>
      <ns0:c r="G300" t="n">
        <ns0:v>1</ns0:v>
      </ns0:c>
      <ns0:c r="H300" t="n">
        <ns0:v>0</ns0:v>
      </ns0:c>
      <ns0:c r="I300" t="n">
        <ns0:v>0</ns0:v>
      </ns0:c>
      <ns0:c r="J300" t="n">
        <ns0:v>0</ns0:v>
      </ns0:c>
      <ns0:c r="K300" t="n">
        <ns0:v>0</ns0:v>
      </ns0:c>
      <ns0:c r="L300" t="n">
        <ns0:v>1</ns0:v>
      </ns0:c>
      <ns0:c r="M300" t="n">
        <ns0:v>117452</ns0:v>
      </ns0:c>
      <ns0:c r="N300" t="n">
        <ns0:v>3230</ns0:v>
      </ns0:c>
      <ns0:c r="O300" t="n">
        <ns0:v>120682</ns0:v>
      </ns0:c>
      <ns0:c r="P300" t="n">
        <ns0:v>14</ns0:v>
      </ns0:c>
      <ns0:c r="Q300">
        <ns0:f>IF(AND(L300=1,O300*Calculations!$B$2&lt;=Calculations!$B$10*Calculations!$B$4),1,0)</ns0:f>
        <ns0:v>0</ns0:v>
      </ns0:c>
      <ns0:c r="R300">
        <ns0:f>IF(AND(L300=1,O300*Calculations!$B$2&lt;=Calculations!$B$11*Calculations!$B$4),1,0)</ns0:f>
        <ns0:v>0</ns0:v>
      </ns0:c>
    </ns0:row>
    <ns0:row r="301">
      <ns0:c r="A301" t="inlineStr">
        <ns0:is>
          <ns0:t>case_0300</ns0:t>
        </ns0:is>
      </ns0:c>
      <ns0:c r="B301" t="inlineStr">
        <ns0:is>
          <ns0:t>function_0052</ns0:t>
        </ns0:is>
      </ns0:c>
      <ns0:c r="C301" t="inlineStr">
        <ns0:is>
          <ns0:t>run_004</ns0:t>
        </ns0:is>
      </ns0:c>
      <ns0:c r="D301" t="inlineStr">
        <ns0:is>
          <ns0:t>humantime</ns0:t>
        </ns0:is>
      </ns0:c>
      <ns0:c r="E301" t="inlineStr">
        <ns0:is>
          <ns0:t>gemini-2.5-flash-thinking</ns0:t>
        </ns0:is>
      </ns0:c>
      <ns0:c r="F301" t="inlineStr">
        <ns0:is>
          <ns0:t>E0432</ns0:t>
        </ns0:is>
      </ns0:c>
      <ns0:c r="G301" t="n">
        <ns0:v>0</ns0:v>
      </ns0:c>
      <ns0:c r="H301" t="n">
        <ns0:v>6823</ns0:v>
      </ns0:c>
      <ns0:c r="I301" t="n">
        <ns0:v>744</ns0:v>
      </ns0:c>
      <ns0:c r="J301" t="n">
        <ns0:v>7567</ns0:v>
      </ns0:c>
      <ns0:c r="K301" t="n">
        <ns0:v>3</ns0:v>
      </ns0:c>
      <ns0:c r="L301" t="n">
        <ns0:v>1</ns0:v>
      </ns0:c>
      <ns0:c r="M301" t="n">
        <ns0:v>46012</ns0:v>
      </ns0:c>
      <ns0:c r="N301" t="n">
        <ns0:v>1104</ns0:v>
      </ns0:c>
      <ns0:c r="O301" t="n">
        <ns0:v>47116</ns0:v>
      </ns0:c>
      <ns0:c r="P301" t="n">
        <ns0:v>6</ns0:v>
      </ns0:c>
      <ns0:c r="Q301">
        <ns0:f>IF(AND(L301=1,O301*Calculations!$B$2&lt;=Calculations!$B$10*Calculations!$B$4),1,0)</ns0:f>
        <ns0:v>0</ns0:v>
      </ns0:c>
      <ns0:c r="R301">
        <ns0:f>IF(AND(L301=1,O301*Calculations!$B$2&lt;=Calculations!$B$11*Calculations!$B$4),1,0)</ns0:f>
        <ns0:v>0</ns0:v>
      </ns0:c>
    </ns0:row>
    <ns0:row r="302">
      <ns0:c r="A302" t="inlineStr">
        <ns0:is>
          <ns0:t>case_0301</ns0:t>
        </ns0:is>
      </ns0:c>
      <ns0:c r="B302" t="inlineStr">
        <ns0:is>
          <ns0:t>function_0053</ns0:t>
        </ns0:is>
      </ns0:c>
      <ns0:c r="C302" t="inlineStr">
        <ns0:is>
          <ns0:t>run_004</ns0:t>
        </ns0:is>
      </ns0:c>
      <ns0:c r="D302" t="inlineStr">
        <ns0:is>
          <ns0:t>humantime</ns0:t>
        </ns0:is>
      </ns0:c>
      <ns0:c r="E302" t="inlineStr">
        <ns0:is>
          <ns0:t>gemini-2.5-flash-thinking</ns0:t>
        </ns0:is>
      </ns0:c>
      <ns0:c r="F302" t="inlineStr">
        <ns0:is>
          <ns0:t>E0433</ns0:t>
        </ns0:is>
      </ns0:c>
      <ns0:c r="G302" t="n">
        <ns0:v>1</ns0:v>
      </ns0:c>
      <ns0:c r="H302" t="n">
        <ns0:v>0</ns0:v>
      </ns0:c>
      <ns0:c r="I302" t="n">
        <ns0:v>0</ns0:v>
      </ns0:c>
      <ns0:c r="J302" t="n">
        <ns0:v>0</ns0:v>
      </ns0:c>
      <ns0:c r="K302" t="n">
        <ns0:v>0</ns0:v>
      </ns0:c>
      <ns0:c r="L302" t="n">
        <ns0:v>1</ns0:v>
      </ns0:c>
      <ns0:c r="M302" t="n">
        <ns0:v>20746</ns0:v>
      </ns0:c>
      <ns0:c r="N302" t="n">
        <ns0:v>279</ns0:v>
      </ns0:c>
      <ns0:c r="O302" t="n">
        <ns0:v>21025</ns0:v>
      </ns0:c>
      <ns0:c r="P302" t="n">
        <ns0:v>3</ns0:v>
      </ns0:c>
      <ns0:c r="Q302">
        <ns0:f>IF(AND(L302=1,O302*Calculations!$B$2&lt;=Calculations!$B$10*Calculations!$B$4),1,0)</ns0:f>
        <ns0:v>1</ns0:v>
      </ns0:c>
      <ns0:c r="R302">
        <ns0:f>IF(AND(L302=1,O302*Calculations!$B$2&lt;=Calculations!$B$11*Calculations!$B$4),1,0)</ns0:f>
        <ns0:v>1</ns0:v>
      </ns0:c>
    </ns0:row>
    <ns0:row r="303">
      <ns0:c r="A303" t="inlineStr">
        <ns0:is>
          <ns0:t>case_0302</ns0:t>
        </ns0:is>
      </ns0:c>
      <ns0:c r="B303" t="inlineStr">
        <ns0:is>
          <ns0:t>function_0053</ns0:t>
        </ns0:is>
      </ns0:c>
      <ns0:c r="C303" t="inlineStr">
        <ns0:is>
          <ns0:t>run_004</ns0:t>
        </ns0:is>
      </ns0:c>
      <ns0:c r="D303" t="inlineStr">
        <ns0:is>
          <ns0:t>humantime</ns0:t>
        </ns0:is>
      </ns0:c>
      <ns0:c r="E303" t="inlineStr">
        <ns0:is>
          <ns0:t>gemini-2.5-flash-thinking</ns0:t>
        </ns0:is>
      </ns0:c>
      <ns0:c r="F303" t="inlineStr">
        <ns0:is>
          <ns0:t>E0433</ns0:t>
        </ns0:is>
      </ns0:c>
      <ns0:c r="G303" t="n">
        <ns0:v>1</ns0:v>
      </ns0:c>
      <ns0:c r="H303" t="n">
        <ns0:v>0</ns0:v>
      </ns0:c>
      <ns0:c r="I303" t="n">
        <ns0:v>0</ns0:v>
      </ns0:c>
      <ns0:c r="J303" t="n">
        <ns0:v>0</ns0:v>
      </ns0:c>
      <ns0:c r="K303" t="n">
        <ns0:v>0</ns0:v>
      </ns0:c>
      <ns0:c r="L303" t="n">
        <ns0:v>1</ns0:v>
      </ns0:c>
      <ns0:c r="M303" t="n">
        <ns0:v>21821</ns0:v>
      </ns0:c>
      <ns0:c r="N303" t="n">
        <ns0:v>368</ns0:v>
      </ns0:c>
      <ns0:c r="O303" t="n">
        <ns0:v>22189</ns0:v>
      </ns0:c>
      <ns0:c r="P303" t="n">
        <ns0:v>3</ns0:v>
      </ns0:c>
      <ns0:c r="Q303">
        <ns0:f>IF(AND(L303=1,O303*Calculations!$B$2&lt;=Calculations!$B$10*Calculations!$B$4),1,0)</ns0:f>
        <ns0:v>1</ns0:v>
      </ns0:c>
      <ns0:c r="R303">
        <ns0:f>IF(AND(L303=1,O303*Calculations!$B$2&lt;=Calculations!$B$11*Calculations!$B$4),1,0)</ns0:f>
        <ns0:v>1</ns0:v>
      </ns0:c>
    </ns0:row>
    <ns0:row r="304">
      <ns0:c r="A304" t="inlineStr">
        <ns0:is>
          <ns0:t>case_0303</ns0:t>
        </ns0:is>
      </ns0:c>
      <ns0:c r="B304" t="inlineStr">
        <ns0:is>
          <ns0:t>function_0053</ns0:t>
        </ns0:is>
      </ns0:c>
      <ns0:c r="C304" t="inlineStr">
        <ns0:is>
          <ns0:t>run_004</ns0:t>
        </ns0:is>
      </ns0:c>
      <ns0:c r="D304" t="inlineStr">
        <ns0:is>
          <ns0:t>humantime</ns0:t>
        </ns0:is>
      </ns0:c>
      <ns0:c r="E304" t="inlineStr">
        <ns0:is>
          <ns0:t>gemini-2.5-flash-thinking</ns0:t>
        </ns0:is>
      </ns0:c>
      <ns0:c r="F304" t="inlineStr">
        <ns0:is>
          <ns0:t>E0433</ns0:t>
        </ns0:is>
      </ns0:c>
      <ns0:c r="G304" t="n">
        <ns0:v>1</ns0:v>
      </ns0:c>
      <ns0:c r="H304" t="n">
        <ns0:v>0</ns0:v>
      </ns0:c>
      <ns0:c r="I304" t="n">
        <ns0:v>0</ns0:v>
      </ns0:c>
      <ns0:c r="J304" t="n">
        <ns0:v>0</ns0:v>
      </ns0:c>
      <ns0:c r="K304" t="n">
        <ns0:v>0</ns0:v>
      </ns0:c>
      <ns0:c r="L304" t="n">
        <ns0:v>1</ns0:v>
      </ns0:c>
      <ns0:c r="M304" t="n">
        <ns0:v>31931</ns0:v>
      </ns0:c>
      <ns0:c r="N304" t="n">
        <ns0:v>526</ns0:v>
      </ns0:c>
      <ns0:c r="O304" t="n">
        <ns0:v>32457</ns0:v>
      </ns0:c>
      <ns0:c r="P304" t="n">
        <ns0:v>4</ns0:v>
      </ns0:c>
      <ns0:c r="Q304">
        <ns0:f>IF(AND(L304=1,O304*Calculations!$B$2&lt;=Calculations!$B$10*Calculations!$B$4),1,0)</ns0:f>
        <ns0:v>0</ns0:v>
      </ns0:c>
      <ns0:c r="R304">
        <ns0:f>IF(AND(L304=1,O304*Calculations!$B$2&lt;=Calculations!$B$11*Calculations!$B$4),1,0)</ns0:f>
        <ns0:v>1</ns0:v>
      </ns0:c>
    </ns0:row>
    <ns0:row r="305">
      <ns0:c r="A305" t="inlineStr">
        <ns0:is>
          <ns0:t>case_0304</ns0:t>
        </ns0:is>
      </ns0:c>
      <ns0:c r="B305" t="inlineStr">
        <ns0:is>
          <ns0:t>function_0054</ns0:t>
        </ns0:is>
      </ns0:c>
      <ns0:c r="C305" t="inlineStr">
        <ns0:is>
          <ns0:t>run_004</ns0:t>
        </ns0:is>
      </ns0:c>
      <ns0:c r="D305" t="inlineStr">
        <ns0:is>
          <ns0:t>humantime</ns0:t>
        </ns0:is>
      </ns0:c>
      <ns0:c r="E305" t="inlineStr">
        <ns0:is>
          <ns0:t>gemini-2.5-flash-thinking</ns0:t>
        </ns0:is>
      </ns0:c>
      <ns0:c r="F305" t="inlineStr">
        <ns0:is>
          <ns0:t>E0432</ns0:t>
        </ns0:is>
      </ns0:c>
      <ns0:c r="G305" t="n">
        <ns0:v>1</ns0:v>
      </ns0:c>
      <ns0:c r="H305" t="n">
        <ns0:v>0</ns0:v>
      </ns0:c>
      <ns0:c r="I305" t="n">
        <ns0:v>0</ns0:v>
      </ns0:c>
      <ns0:c r="J305" t="n">
        <ns0:v>0</ns0:v>
      </ns0:c>
      <ns0:c r="K305" t="n">
        <ns0:v>0</ns0:v>
      </ns0:c>
      <ns0:c r="L305" t="n">
        <ns0:v>1</ns0:v>
      </ns0:c>
      <ns0:c r="M305" t="n">
        <ns0:v>21593</ns0:v>
      </ns0:c>
      <ns0:c r="N305" t="n">
        <ns0:v>237</ns0:v>
      </ns0:c>
      <ns0:c r="O305" t="n">
        <ns0:v>21830</ns0:v>
      </ns0:c>
      <ns0:c r="P305" t="n">
        <ns0:v>3</ns0:v>
      </ns0:c>
      <ns0:c r="Q305">
        <ns0:f>IF(AND(L305=1,O305*Calculations!$B$2&lt;=Calculations!$B$10*Calculations!$B$4),1,0)</ns0:f>
        <ns0:v>1</ns0:v>
      </ns0:c>
      <ns0:c r="R305">
        <ns0:f>IF(AND(L305=1,O305*Calculations!$B$2&lt;=Calculations!$B$11*Calculations!$B$4),1,0)</ns0:f>
        <ns0:v>1</ns0:v>
      </ns0:c>
    </ns0:row>
    <ns0:row r="306">
      <ns0:c r="A306" t="inlineStr">
        <ns0:is>
          <ns0:t>case_0305</ns0:t>
        </ns0:is>
      </ns0:c>
      <ns0:c r="B306" t="inlineStr">
        <ns0:is>
          <ns0:t>function_0055</ns0:t>
        </ns0:is>
      </ns0:c>
      <ns0:c r="C306" t="inlineStr">
        <ns0:is>
          <ns0:t>run_004</ns0:t>
        </ns0:is>
      </ns0:c>
      <ns0:c r="D306" t="inlineStr">
        <ns0:is>
          <ns0:t>humantime</ns0:t>
        </ns0:is>
      </ns0:c>
      <ns0:c r="E306" t="inlineStr">
        <ns0:is>
          <ns0:t>gemini-2.5-flash-thinking</ns0:t>
        </ns0:is>
      </ns0:c>
      <ns0:c r="F306" t="inlineStr">
        <ns0:is>
          <ns0:t>E0433</ns0:t>
        </ns0:is>
      </ns0:c>
      <ns0:c r="G306" t="n">
        <ns0:v>1</ns0:v>
      </ns0:c>
      <ns0:c r="H306" t="n">
        <ns0:v>2409</ns0:v>
      </ns0:c>
      <ns0:c r="I306" t="n">
        <ns0:v>689</ns0:v>
      </ns0:c>
      <ns0:c r="J306" t="n">
        <ns0:v>3098</ns0:v>
      </ns0:c>
      <ns0:c r="K306" t="n">
        <ns0:v>2</ns0:v>
      </ns0:c>
      <ns0:c r="L306" t="n">
        <ns0:v>1</ns0:v>
      </ns0:c>
      <ns0:c r="M306" t="n">
        <ns0:v>82817</ns0:v>
      </ns0:c>
      <ns0:c r="N306" t="n">
        <ns0:v>2871</ns0:v>
      </ns0:c>
      <ns0:c r="O306" t="n">
        <ns0:v>85688</ns0:v>
      </ns0:c>
      <ns0:c r="P306" t="n">
        <ns0:v>8</ns0:v>
      </ns0:c>
      <ns0:c r="Q306">
        <ns0:f>IF(AND(L306=1,O306*Calculations!$B$2&lt;=Calculations!$B$10*Calculations!$B$4),1,0)</ns0:f>
        <ns0:v>0</ns0:v>
      </ns0:c>
      <ns0:c r="R306">
        <ns0:f>IF(AND(L306=1,O306*Calculations!$B$2&lt;=Calculations!$B$11*Calculations!$B$4),1,0)</ns0:f>
        <ns0:v>0</ns0:v>
      </ns0:c>
    </ns0:row>
    <ns0:row r="307">
      <ns0:c r="A307" t="inlineStr">
        <ns0:is>
          <ns0:t>case_0306</ns0:t>
        </ns0:is>
      </ns0:c>
      <ns0:c r="B307" t="inlineStr">
        <ns0:is>
          <ns0:t>function_0055</ns0:t>
        </ns0:is>
      </ns0:c>
      <ns0:c r="C307" t="inlineStr">
        <ns0:is>
          <ns0:t>run_004</ns0:t>
        </ns0:is>
      </ns0:c>
      <ns0:c r="D307" t="inlineStr">
        <ns0:is>
          <ns0:t>humantime</ns0:t>
        </ns0:is>
      </ns0:c>
      <ns0:c r="E307" t="inlineStr">
        <ns0:is>
          <ns0:t>gemini-2.5-flash-thinking</ns0:t>
        </ns0:is>
      </ns0:c>
      <ns0:c r="F307" t="inlineStr">
        <ns0:is>
          <ns0:t>E0433</ns0:t>
        </ns0:is>
      </ns0:c>
      <ns0:c r="G307" t="n">
        <ns0:v>1</ns0:v>
      </ns0:c>
      <ns0:c r="H307" t="n">
        <ns0:v>6160</ns0:v>
      </ns0:c>
      <ns0:c r="I307" t="n">
        <ns0:v>786</ns0:v>
      </ns0:c>
      <ns0:c r="J307" t="n">
        <ns0:v>6946</ns0:v>
      </ns0:c>
      <ns0:c r="K307" t="n">
        <ns0:v>7</ns0:v>
      </ns0:c>
      <ns0:c r="L307" t="n">
        <ns0:v>0</ns0:v>
      </ns0:c>
      <ns0:c r="M307" t="n">
        <ns0:v>311783</ns0:v>
      </ns0:c>
      <ns0:c r="N307" t="n">
        <ns0:v>2216</ns0:v>
      </ns0:c>
      <ns0:c r="O307" t="n">
        <ns0:v>313999</ns0:v>
      </ns0:c>
      <ns0:c r="P307" t="n">
        <ns0:v>20</ns0:v>
      </ns0:c>
      <ns0:c r="Q307">
        <ns0:f>IF(AND(L307=1,O307*Calculations!$B$2&lt;=Calculations!$B$10*Calculations!$B$4),1,0)</ns0:f>
        <ns0:v>0</ns0:v>
      </ns0:c>
      <ns0:c r="R307">
        <ns0:f>IF(AND(L307=1,O307*Calculations!$B$2&lt;=Calculations!$B$11*Calculations!$B$4),1,0)</ns0:f>
        <ns0:v>0</ns0:v>
      </ns0:c>
    </ns0:row>
    <ns0:row r="308">
      <ns0:c r="A308" t="inlineStr">
        <ns0:is>
          <ns0:t>case_0307</ns0:t>
        </ns0:is>
      </ns0:c>
      <ns0:c r="B308" t="inlineStr">
        <ns0:is>
          <ns0:t>function_0055</ns0:t>
        </ns0:is>
      </ns0:c>
      <ns0:c r="C308" t="inlineStr">
        <ns0:is>
          <ns0:t>run_004</ns0:t>
        </ns0:is>
      </ns0:c>
      <ns0:c r="D308" t="inlineStr">
        <ns0:is>
          <ns0:t>humantime</ns0:t>
        </ns0:is>
      </ns0:c>
      <ns0:c r="E308" t="inlineStr">
        <ns0:is>
          <ns0:t>gemini-2.5-flash-thinking</ns0:t>
        </ns0:is>
      </ns0:c>
      <ns0:c r="F308" t="inlineStr">
        <ns0:is>
          <ns0:t>E0433</ns0:t>
        </ns0:is>
      </ns0:c>
      <ns0:c r="G308" t="n">
        <ns0:v>1</ns0:v>
      </ns0:c>
      <ns0:c r="H308" t="n">
        <ns0:v>7965</ns0:v>
      </ns0:c>
      <ns0:c r="I308" t="n">
        <ns0:v>868</ns0:v>
      </ns0:c>
      <ns0:c r="J308" t="n">
        <ns0:v>8833</ns0:v>
      </ns0:c>
      <ns0:c r="K308" t="n">
        <ns0:v>10</ns0:v>
      </ns0:c>
      <ns0:c r="L308" t="n">
        <ns0:v>1</ns0:v>
      </ns0:c>
      <ns0:c r="M308" t="n">
        <ns0:v>84699</ns0:v>
      </ns0:c>
      <ns0:c r="N308" t="n">
        <ns0:v>1110</ns0:v>
      </ns0:c>
      <ns0:c r="O308" t="n">
        <ns0:v>85809</ns0:v>
      </ns0:c>
      <ns0:c r="P308" t="n">
        <ns0:v>6</ns0:v>
      </ns0:c>
      <ns0:c r="Q308">
        <ns0:f>IF(AND(L308=1,O308*Calculations!$B$2&lt;=Calculations!$B$10*Calculations!$B$4),1,0)</ns0:f>
        <ns0:v>0</ns0:v>
      </ns0:c>
      <ns0:c r="R308">
        <ns0:f>IF(AND(L308=1,O308*Calculations!$B$2&lt;=Calculations!$B$11*Calculations!$B$4),1,0)</ns0:f>
        <ns0:v>0</ns0:v>
      </ns0:c>
    </ns0:row>
    <ns0:row r="309">
      <ns0:c r="A309" t="inlineStr">
        <ns0:is>
          <ns0:t>case_0308</ns0:t>
        </ns0:is>
      </ns0:c>
      <ns0:c r="B309" t="inlineStr">
        <ns0:is>
          <ns0:t>function_0055</ns0:t>
        </ns0:is>
      </ns0:c>
      <ns0:c r="C309" t="inlineStr">
        <ns0:is>
          <ns0:t>run_004</ns0:t>
        </ns0:is>
      </ns0:c>
      <ns0:c r="D309" t="inlineStr">
        <ns0:is>
          <ns0:t>humantime</ns0:t>
        </ns0:is>
      </ns0:c>
      <ns0:c r="E309" t="inlineStr">
        <ns0:is>
          <ns0:t>gemini-2.5-flash-thinking</ns0:t>
        </ns0:is>
      </ns0:c>
      <ns0:c r="F309" t="inlineStr">
        <ns0:is>
          <ns0:t>E0433</ns0:t>
        </ns0:is>
      </ns0:c>
      <ns0:c r="G309" t="n">
        <ns0:v>0</ns0:v>
      </ns0:c>
      <ns0:c r="H309" t="n">
        <ns0:v>12720</ns0:v>
      </ns0:c>
      <ns0:c r="I309" t="n">
        <ns0:v>1556</ns0:v>
      </ns0:c>
      <ns0:c r="J309" t="n">
        <ns0:v>14276</ns0:v>
      </ns0:c>
      <ns0:c r="K309" t="n">
        <ns0:v>18</ns0:v>
      </ns0:c>
      <ns0:c r="L309" t="n">
        <ns0:v>0</ns0:v>
      </ns0:c>
      <ns0:c r="M309" t="n">
        <ns0:v>459879</ns0:v>
      </ns0:c>
      <ns0:c r="N309" t="n">
        <ns0:v>8975</ns0:v>
      </ns0:c>
      <ns0:c r="O309" t="n">
        <ns0:v>468854</ns0:v>
      </ns0:c>
      <ns0:c r="P309" t="n">
        <ns0:v>20</ns0:v>
      </ns0:c>
      <ns0:c r="Q309">
        <ns0:f>IF(AND(L309=1,O309*Calculations!$B$2&lt;=Calculations!$B$10*Calculations!$B$4),1,0)</ns0:f>
        <ns0:v>0</ns0:v>
      </ns0:c>
      <ns0:c r="R309">
        <ns0:f>IF(AND(L309=1,O309*Calculations!$B$2&lt;=Calculations!$B$11*Calculations!$B$4),1,0)</ns0:f>
        <ns0:v>0</ns0:v>
      </ns0:c>
    </ns0:row>
    <ns0:row r="310">
      <ns0:c r="A310" t="inlineStr">
        <ns0:is>
          <ns0:t>case_0309</ns0:t>
        </ns0:is>
      </ns0:c>
      <ns0:c r="B310" t="inlineStr">
        <ns0:is>
          <ns0:t>function_0055</ns0:t>
        </ns0:is>
      </ns0:c>
      <ns0:c r="C310" t="inlineStr">
        <ns0:is>
          <ns0:t>run_004</ns0:t>
        </ns0:is>
      </ns0:c>
      <ns0:c r="D310" t="inlineStr">
        <ns0:is>
          <ns0:t>humantime</ns0:t>
        </ns0:is>
      </ns0:c>
      <ns0:c r="E310" t="inlineStr">
        <ns0:is>
          <ns0:t>gemini-2.5-flash-thinking</ns0:t>
        </ns0:is>
      </ns0:c>
      <ns0:c r="F310" t="inlineStr">
        <ns0:is>
          <ns0:t>E0433</ns0:t>
        </ns0:is>
      </ns0:c>
      <ns0:c r="G310" t="n">
        <ns0:v>0</ns0:v>
      </ns0:c>
      <ns0:c r="H310" t="n">
        <ns0:v>7256</ns0:v>
      </ns0:c>
      <ns0:c r="I310" t="n">
        <ns0:v>772</ns0:v>
      </ns0:c>
      <ns0:c r="J310" t="n">
        <ns0:v>8028</ns0:v>
      </ns0:c>
      <ns0:c r="K310" t="n">
        <ns0:v>9</ns0:v>
      </ns0:c>
      <ns0:c r="L310" t="n">
        <ns0:v>0</ns0:v>
      </ns0:c>
      <ns0:c r="M310" t="n">
        <ns0:v>235888</ns0:v>
      </ns0:c>
      <ns0:c r="N310" t="n">
        <ns0:v>3357</ns0:v>
      </ns0:c>
      <ns0:c r="O310" t="n">
        <ns0:v>239245</ns0:v>
      </ns0:c>
      <ns0:c r="P310" t="n">
        <ns0:v>20</ns0:v>
      </ns0:c>
      <ns0:c r="Q310">
        <ns0:f>IF(AND(L310=1,O310*Calculations!$B$2&lt;=Calculations!$B$10*Calculations!$B$4),1,0)</ns0:f>
        <ns0:v>0</ns0:v>
      </ns0:c>
      <ns0:c r="R310">
        <ns0:f>IF(AND(L310=1,O310*Calculations!$B$2&lt;=Calculations!$B$11*Calculations!$B$4),1,0)</ns0:f>
        <ns0:v>0</ns0:v>
      </ns0:c>
    </ns0:row>
    <ns0:row r="311">
      <ns0:c r="A311" t="inlineStr">
        <ns0:is>
          <ns0:t>case_0310</ns0:t>
        </ns0:is>
      </ns0:c>
      <ns0:c r="B311" t="inlineStr">
        <ns0:is>
          <ns0:t>function_0055</ns0:t>
        </ns0:is>
      </ns0:c>
      <ns0:c r="C311" t="inlineStr">
        <ns0:is>
          <ns0:t>run_004</ns0:t>
        </ns0:is>
      </ns0:c>
      <ns0:c r="D311" t="inlineStr">
        <ns0:is>
          <ns0:t>humantime</ns0:t>
        </ns0:is>
      </ns0:c>
      <ns0:c r="E311" t="inlineStr">
        <ns0:is>
          <ns0:t>gemini-2.5-flash-thinking</ns0:t>
        </ns0:is>
      </ns0:c>
      <ns0:c r="F311" t="inlineStr">
        <ns0:is>
          <ns0:t>E0433</ns0:t>
        </ns0:is>
      </ns0:c>
      <ns0:c r="G311" t="n">
        <ns0:v>1</ns0:v>
      </ns0:c>
      <ns0:c r="H311" t="n">
        <ns0:v>6972</ns0:v>
      </ns0:c>
      <ns0:c r="I311" t="n">
        <ns0:v>873</ns0:v>
      </ns0:c>
      <ns0:c r="J311" t="n">
        <ns0:v>7845</ns0:v>
      </ns0:c>
      <ns0:c r="K311" t="n">
        <ns0:v>8</ns0:v>
      </ns0:c>
      <ns0:c r="L311" t="n">
        <ns0:v>0</ns0:v>
      </ns0:c>
      <ns0:c r="M311" t="n">
        <ns0:v>239232</ns0:v>
      </ns0:c>
      <ns0:c r="N311" t="n">
        <ns0:v>2530</ns0:v>
      </ns0:c>
      <ns0:c r="O311" t="n">
        <ns0:v>241762</ns0:v>
      </ns0:c>
      <ns0:c r="P311" t="n">
        <ns0:v>20</ns0:v>
      </ns0:c>
      <ns0:c r="Q311">
        <ns0:f>IF(AND(L311=1,O311*Calculations!$B$2&lt;=Calculations!$B$10*Calculations!$B$4),1,0)</ns0:f>
        <ns0:v>0</ns0:v>
      </ns0:c>
      <ns0:c r="R311">
        <ns0:f>IF(AND(L311=1,O311*Calculations!$B$2&lt;=Calculations!$B$11*Calculations!$B$4),1,0)</ns0:f>
        <ns0:v>0</ns0:v>
      </ns0:c>
    </ns0:row>
    <ns0:row r="312">
      <ns0:c r="A312" t="inlineStr">
        <ns0:is>
          <ns0:t>case_0311</ns0:t>
        </ns0:is>
      </ns0:c>
      <ns0:c r="B312" t="inlineStr">
        <ns0:is>
          <ns0:t>function_0056</ns0:t>
        </ns0:is>
      </ns0:c>
      <ns0:c r="C312" t="inlineStr">
        <ns0:is>
          <ns0:t>run_004</ns0:t>
        </ns0:is>
      </ns0:c>
      <ns0:c r="D312" t="inlineStr">
        <ns0:is>
          <ns0:t>humantime</ns0:t>
        </ns0:is>
      </ns0:c>
      <ns0:c r="E312" t="inlineStr">
        <ns0:is>
          <ns0:t>gemini-2.5-flash-thinking</ns0:t>
        </ns0:is>
      </ns0:c>
      <ns0:c r="F312" t="inlineStr">
        <ns0:is>
          <ns0:t>E0063</ns0:t>
        </ns0:is>
      </ns0:c>
      <ns0:c r="G312" t="n">
        <ns0:v>1</ns0:v>
      </ns0:c>
      <ns0:c r="H312" t="n">
        <ns0:v>5497</ns0:v>
      </ns0:c>
      <ns0:c r="I312" t="n">
        <ns0:v>762</ns0:v>
      </ns0:c>
      <ns0:c r="J312" t="n">
        <ns0:v>6259</ns0:v>
      </ns0:c>
      <ns0:c r="K312" t="n">
        <ns0:v>3</ns0:v>
      </ns0:c>
      <ns0:c r="L312" t="n">
        <ns0:v>1</ns0:v>
      </ns0:c>
      <ns0:c r="M312" t="n">
        <ns0:v>45561</ns0:v>
      </ns0:c>
      <ns0:c r="N312" t="n">
        <ns0:v>754</ns0:v>
      </ns0:c>
      <ns0:c r="O312" t="n">
        <ns0:v>46315</ns0:v>
      </ns0:c>
      <ns0:c r="P312" t="n">
        <ns0:v>5</ns0:v>
      </ns0:c>
      <ns0:c r="Q312">
        <ns0:f>IF(AND(L312=1,O312*Calculations!$B$2&lt;=Calculations!$B$10*Calculations!$B$4),1,0)</ns0:f>
        <ns0:v>0</ns0:v>
      </ns0:c>
      <ns0:c r="R312">
        <ns0:f>IF(AND(L312=1,O312*Calculations!$B$2&lt;=Calculations!$B$11*Calculations!$B$4),1,0)</ns0:f>
        <ns0:v>1</ns0:v>
      </ns0:c>
    </ns0:row>
    <ns0:row r="313">
      <ns0:c r="A313" t="inlineStr">
        <ns0:is>
          <ns0:t>case_0312</ns0:t>
        </ns0:is>
      </ns0:c>
      <ns0:c r="B313" t="inlineStr">
        <ns0:is>
          <ns0:t>function_0056</ns0:t>
        </ns0:is>
      </ns0:c>
      <ns0:c r="C313" t="inlineStr">
        <ns0:is>
          <ns0:t>run_004</ns0:t>
        </ns0:is>
      </ns0:c>
      <ns0:c r="D313" t="inlineStr">
        <ns0:is>
          <ns0:t>humantime</ns0:t>
        </ns0:is>
      </ns0:c>
      <ns0:c r="E313" t="inlineStr">
        <ns0:is>
          <ns0:t>gemini-2.5-flash-thinking</ns0:t>
        </ns0:is>
      </ns0:c>
      <ns0:c r="F313" t="inlineStr">
        <ns0:is>
          <ns0:t>E0599</ns0:t>
        </ns0:is>
      </ns0:c>
      <ns0:c r="G313" t="n">
        <ns0:v>0</ns0:v>
      </ns0:c>
      <ns0:c r="H313" t="n">
        <ns0:v>11280</ns0:v>
      </ns0:c>
      <ns0:c r="I313" t="n">
        <ns0:v>6869</ns0:v>
      </ns0:c>
      <ns0:c r="J313" t="n">
        <ns0:v>18149</ns0:v>
      </ns0:c>
      <ns0:c r="K313" t="n">
        <ns0:v>3</ns0:v>
      </ns0:c>
      <ns0:c r="L313" t="n">
        <ns0:v>0</ns0:v>
      </ns0:c>
      <ns0:c r="M313" t="n">
        <ns0:v>411774</ns0:v>
      </ns0:c>
      <ns0:c r="N313" t="n">
        <ns0:v>10725</ns0:v>
      </ns0:c>
      <ns0:c r="O313" t="n">
        <ns0:v>422499</ns0:v>
      </ns0:c>
      <ns0:c r="P313" t="n">
        <ns0:v>20</ns0:v>
      </ns0:c>
      <ns0:c r="Q313">
        <ns0:f>IF(AND(L313=1,O313*Calculations!$B$2&lt;=Calculations!$B$10*Calculations!$B$4),1,0)</ns0:f>
        <ns0:v>0</ns0:v>
      </ns0:c>
      <ns0:c r="R313">
        <ns0:f>IF(AND(L313=1,O313*Calculations!$B$2&lt;=Calculations!$B$11*Calculations!$B$4),1,0)</ns0:f>
        <ns0:v>0</ns0:v>
      </ns0:c>
    </ns0:row>
    <ns0:row r="314">
      <ns0:c r="A314" t="inlineStr">
        <ns0:is>
          <ns0:t>case_0313</ns0:t>
        </ns0:is>
      </ns0:c>
      <ns0:c r="B314" t="inlineStr">
        <ns0:is>
          <ns0:t>function_0056</ns0:t>
        </ns0:is>
      </ns0:c>
      <ns0:c r="C314" t="inlineStr">
        <ns0:is>
          <ns0:t>run_004</ns0:t>
        </ns0:is>
      </ns0:c>
      <ns0:c r="D314" t="inlineStr">
        <ns0:is>
          <ns0:t>humantime</ns0:t>
        </ns0:is>
      </ns0:c>
      <ns0:c r="E314" t="inlineStr">
        <ns0:is>
          <ns0:t>gemini-2.5-flash-thinking</ns0:t>
        </ns0:is>
      </ns0:c>
      <ns0:c r="F314" t="inlineStr">
        <ns0:is>
          <ns0:t>E0432</ns0:t>
        </ns0:is>
      </ns0:c>
      <ns0:c r="G314" t="n">
        <ns0:v>0</ns0:v>
      </ns0:c>
      <ns0:c r="H314" t="n">
        <ns0:v>11885</ns0:v>
      </ns0:c>
      <ns0:c r="I314" t="n">
        <ns0:v>2677</ns0:v>
      </ns0:c>
      <ns0:c r="J314" t="n">
        <ns0:v>14562</ns0:v>
      </ns0:c>
      <ns0:c r="K314" t="n">
        <ns0:v>3</ns0:v>
      </ns0:c>
      <ns0:c r="L314" t="n">
        <ns0:v>1</ns0:v>
      </ns0:c>
      <ns0:c r="M314" t="n">
        <ns0:v>423133</ns0:v>
      </ns0:c>
      <ns0:c r="N314" t="n">
        <ns0:v>12281</ns0:v>
      </ns0:c>
      <ns0:c r="O314" t="n">
        <ns0:v>435414</ns0:v>
      </ns0:c>
      <ns0:c r="P314" t="n">
        <ns0:v>23</ns0:v>
      </ns0:c>
      <ns0:c r="Q314">
        <ns0:f>IF(AND(L314=1,O314*Calculations!$B$2&lt;=Calculations!$B$10*Calculations!$B$4),1,0)</ns0:f>
        <ns0:v>0</ns0:v>
      </ns0:c>
      <ns0:c r="R314">
        <ns0:f>IF(AND(L314=1,O314*Calculations!$B$2&lt;=Calculations!$B$11*Calculations!$B$4),1,0)</ns0:f>
        <ns0:v>0</ns0:v>
      </ns0:c>
    </ns0:row>
    <ns0:row r="315">
      <ns0:c r="A315" t="inlineStr">
        <ns0:is>
          <ns0:t>case_0314</ns0:t>
        </ns0:is>
      </ns0:c>
      <ns0:c r="B315" t="inlineStr">
        <ns0:is>
          <ns0:t>function_0056</ns0:t>
        </ns0:is>
      </ns0:c>
      <ns0:c r="C315" t="inlineStr">
        <ns0:is>
          <ns0:t>run_004</ns0:t>
        </ns0:is>
      </ns0:c>
      <ns0:c r="D315" t="inlineStr">
        <ns0:is>
          <ns0:t>humantime</ns0:t>
        </ns0:is>
      </ns0:c>
      <ns0:c r="E315" t="inlineStr">
        <ns0:is>
          <ns0:t>gemini-2.5-flash-thinking</ns0:t>
        </ns0:is>
      </ns0:c>
      <ns0:c r="F315" t="inlineStr">
        <ns0:is>
          <ns0:t>E0599</ns0:t>
        </ns0:is>
      </ns0:c>
      <ns0:c r="G315" t="n">
        <ns0:v>0</ns0:v>
      </ns0:c>
      <ns0:c r="H315" t="n">
        <ns0:v>8195</ns0:v>
      </ns0:c>
      <ns0:c r="I315" t="n">
        <ns0:v>1951</ns0:v>
      </ns0:c>
      <ns0:c r="J315" t="n">
        <ns0:v>10146</ns0:v>
      </ns0:c>
      <ns0:c r="K315" t="n">
        <ns0:v>3</ns0:v>
      </ns0:c>
      <ns0:c r="L315" t="n">
        <ns0:v>0</ns0:v>
      </ns0:c>
      <ns0:c r="M315" t="n">
        <ns0:v>129463</ns0:v>
      </ns0:c>
      <ns0:c r="N315" t="n">
        <ns0:v>1436</ns0:v>
      </ns0:c>
      <ns0:c r="O315" t="n">
        <ns0:v>130899</ns0:v>
      </ns0:c>
      <ns0:c r="P315" t="n">
        <ns0:v>12</ns0:v>
      </ns0:c>
      <ns0:c r="Q315">
        <ns0:f>IF(AND(L315=1,O315*Calculations!$B$2&lt;=Calculations!$B$10*Calculations!$B$4),1,0)</ns0:f>
        <ns0:v>0</ns0:v>
      </ns0:c>
      <ns0:c r="R315">
        <ns0:f>IF(AND(L315=1,O315*Calculations!$B$2&lt;=Calculations!$B$11*Calculations!$B$4),1,0)</ns0:f>
        <ns0:v>0</ns0:v>
      </ns0:c>
    </ns0:row>
    <ns0:row r="316">
      <ns0:c r="A316" t="inlineStr">
        <ns0:is>
          <ns0:t>case_0315</ns0:t>
        </ns0:is>
      </ns0:c>
      <ns0:c r="B316" t="inlineStr">
        <ns0:is>
          <ns0:t>function_0056</ns0:t>
        </ns0:is>
      </ns0:c>
      <ns0:c r="C316" t="inlineStr">
        <ns0:is>
          <ns0:t>run_004</ns0:t>
        </ns0:is>
      </ns0:c>
      <ns0:c r="D316" t="inlineStr">
        <ns0:is>
          <ns0:t>humantime</ns0:t>
        </ns0:is>
      </ns0:c>
      <ns0:c r="E316" t="inlineStr">
        <ns0:is>
          <ns0:t>gemini-2.5-flash-thinking</ns0:t>
        </ns0:is>
      </ns0:c>
      <ns0:c r="F316" t="inlineStr">
        <ns0:is>
          <ns0:t>E0599</ns0:t>
        </ns0:is>
      </ns0:c>
      <ns0:c r="G316" t="n">
        <ns0:v>0</ns0:v>
      </ns0:c>
      <ns0:c r="H316" t="n">
        <ns0:v>7640</ns0:v>
      </ns0:c>
      <ns0:c r="I316" t="n">
        <ns0:v>3621</ns0:v>
      </ns0:c>
      <ns0:c r="J316" t="n">
        <ns0:v>11261</ns0:v>
      </ns0:c>
      <ns0:c r="K316" t="n">
        <ns0:v>3</ns0:v>
      </ns0:c>
      <ns0:c r="L316" t="n">
        <ns0:v>0</ns0:v>
      </ns0:c>
      <ns0:c r="M316" t="n">
        <ns0:v>100564</ns0:v>
      </ns0:c>
      <ns0:c r="N316" t="n">
        <ns0:v>1097</ns0:v>
      </ns0:c>
      <ns0:c r="O316" t="n">
        <ns0:v>101661</ns0:v>
      </ns0:c>
      <ns0:c r="P316" t="n">
        <ns0:v>6</ns0:v>
      </ns0:c>
      <ns0:c r="Q316">
        <ns0:f>IF(AND(L316=1,O316*Calculations!$B$2&lt;=Calculations!$B$10*Calculations!$B$4),1,0)</ns0:f>
        <ns0:v>0</ns0:v>
      </ns0:c>
      <ns0:c r="R316">
        <ns0:f>IF(AND(L316=1,O316*Calculations!$B$2&lt;=Calculations!$B$11*Calculations!$B$4),1,0)</ns0:f>
        <ns0:v>0</ns0:v>
      </ns0:c>
    </ns0:row>
    <ns0:row r="317">
      <ns0:c r="A317" t="inlineStr">
        <ns0:is>
          <ns0:t>case_0316</ns0:t>
        </ns0:is>
      </ns0:c>
      <ns0:c r="B317" t="inlineStr">
        <ns0:is>
          <ns0:t>function_0056</ns0:t>
        </ns0:is>
      </ns0:c>
      <ns0:c r="C317" t="inlineStr">
        <ns0:is>
          <ns0:t>run_004</ns0:t>
        </ns0:is>
      </ns0:c>
      <ns0:c r="D317" t="inlineStr">
        <ns0:is>
          <ns0:t>humantime</ns0:t>
        </ns0:is>
      </ns0:c>
      <ns0:c r="E317" t="inlineStr">
        <ns0:is>
          <ns0:t>gemini-2.5-flash-thinking</ns0:t>
        </ns0:is>
      </ns0:c>
      <ns0:c r="F317" t="inlineStr">
        <ns0:is>
          <ns0:t>E0599</ns0:t>
        </ns0:is>
      </ns0:c>
      <ns0:c r="G317" t="n">
        <ns0:v>0</ns0:v>
      </ns0:c>
      <ns0:c r="H317" t="n">
        <ns0:v>5309</ns0:v>
      </ns0:c>
      <ns0:c r="I317" t="n">
        <ns0:v>1776</ns0:v>
      </ns0:c>
      <ns0:c r="J317" t="n">
        <ns0:v>7085</ns0:v>
      </ns0:c>
      <ns0:c r="K317" t="n">
        <ns0:v>3</ns0:v>
      </ns0:c>
      <ns0:c r="L317" t="n">
        <ns0:v>0</ns0:v>
      </ns0:c>
      <ns0:c r="M317" t="n">
        <ns0:v>39809</ns0:v>
      </ns0:c>
      <ns0:c r="N317" t="n">
        <ns0:v>649</ns0:v>
      </ns0:c>
      <ns0:c r="O317" t="n">
        <ns0:v>40458</ns0:v>
      </ns0:c>
      <ns0:c r="P317" t="n">
        <ns0:v>5</ns0:v>
      </ns0:c>
      <ns0:c r="Q317">
        <ns0:f>IF(AND(L317=1,O317*Calculations!$B$2&lt;=Calculations!$B$10*Calculations!$B$4),1,0)</ns0:f>
        <ns0:v>0</ns0:v>
      </ns0:c>
      <ns0:c r="R317">
        <ns0:f>IF(AND(L317=1,O317*Calculations!$B$2&lt;=Calculations!$B$11*Calculations!$B$4),1,0)</ns0:f>
        <ns0:v>0</ns0:v>
      </ns0:c>
    </ns0:row>
    <ns0:row r="318">
      <ns0:c r="A318" t="inlineStr">
        <ns0:is>
          <ns0:t>case_0317</ns0:t>
        </ns0:is>
      </ns0:c>
      <ns0:c r="B318" t="inlineStr">
        <ns0:is>
          <ns0:t>function_0056</ns0:t>
        </ns0:is>
      </ns0:c>
      <ns0:c r="C318" t="inlineStr">
        <ns0:is>
          <ns0:t>run_004</ns0:t>
        </ns0:is>
      </ns0:c>
      <ns0:c r="D318" t="inlineStr">
        <ns0:is>
          <ns0:t>humantime</ns0:t>
        </ns0:is>
      </ns0:c>
      <ns0:c r="E318" t="inlineStr">
        <ns0:is>
          <ns0:t>gemini-2.5-flash-thinking</ns0:t>
        </ns0:is>
      </ns0:c>
      <ns0:c r="F318" t="inlineStr">
        <ns0:is>
          <ns0:t>E0433</ns0:t>
        </ns0:is>
      </ns0:c>
      <ns0:c r="G318" t="n">
        <ns0:v>0</ns0:v>
      </ns0:c>
      <ns0:c r="H318" t="n">
        <ns0:v>6816</ns0:v>
      </ns0:c>
      <ns0:c r="I318" t="n">
        <ns0:v>1107</ns0:v>
      </ns0:c>
      <ns0:c r="J318" t="n">
        <ns0:v>7923</ns0:v>
      </ns0:c>
      <ns0:c r="K318" t="n">
        <ns0:v>3</ns0:v>
      </ns0:c>
      <ns0:c r="L318" t="n">
        <ns0:v>1</ns0:v>
      </ns0:c>
      <ns0:c r="M318" t="n">
        <ns0:v>91894</ns0:v>
      </ns0:c>
      <ns0:c r="N318" t="n">
        <ns0:v>750</ns0:v>
      </ns0:c>
      <ns0:c r="O318" t="n">
        <ns0:v>92644</ns0:v>
      </ns0:c>
      <ns0:c r="P318" t="n">
        <ns0:v>6</ns0:v>
      </ns0:c>
      <ns0:c r="Q318">
        <ns0:f>IF(AND(L318=1,O318*Calculations!$B$2&lt;=Calculations!$B$10*Calculations!$B$4),1,0)</ns0:f>
        <ns0:v>0</ns0:v>
      </ns0:c>
      <ns0:c r="R318">
        <ns0:f>IF(AND(L318=1,O318*Calculations!$B$2&lt;=Calculations!$B$11*Calculations!$B$4),1,0)</ns0:f>
        <ns0:v>0</ns0:v>
      </ns0:c>
    </ns0:row>
    <ns0:row r="319">
      <ns0:c r="A319" t="inlineStr">
        <ns0:is>
          <ns0:t>case_0318</ns0:t>
        </ns0:is>
      </ns0:c>
      <ns0:c r="B319" t="inlineStr">
        <ns0:is>
          <ns0:t>function_0056</ns0:t>
        </ns0:is>
      </ns0:c>
      <ns0:c r="C319" t="inlineStr">
        <ns0:is>
          <ns0:t>run_004</ns0:t>
        </ns0:is>
      </ns0:c>
      <ns0:c r="D319" t="inlineStr">
        <ns0:is>
          <ns0:t>humantime</ns0:t>
        </ns0:is>
      </ns0:c>
      <ns0:c r="E319" t="inlineStr">
        <ns0:is>
          <ns0:t>gemini-2.5-flash-thinking</ns0:t>
        </ns0:is>
      </ns0:c>
      <ns0:c r="F319" t="inlineStr">
        <ns0:is>
          <ns0:t>E0433</ns0:t>
        </ns0:is>
      </ns0:c>
      <ns0:c r="G319" t="n">
        <ns0:v>0</ns0:v>
      </ns0:c>
      <ns0:c r="H319" t="n">
        <ns0:v>5097</ns0:v>
      </ns0:c>
      <ns0:c r="I319" t="n">
        <ns0:v>673</ns0:v>
      </ns0:c>
      <ns0:c r="J319" t="n">
        <ns0:v>5770</ns0:v>
      </ns0:c>
      <ns0:c r="K319" t="n">
        <ns0:v>3</ns0:v>
      </ns0:c>
      <ns0:c r="L319" t="n">
        <ns0:v>1</ns0:v>
      </ns0:c>
      <ns0:c r="M319" t="n">
        <ns0:v>73876</ns0:v>
      </ns0:c>
      <ns0:c r="N319" t="n">
        <ns0:v>561</ns0:v>
      </ns0:c>
      <ns0:c r="O319" t="n">
        <ns0:v>74437</ns0:v>
      </ns0:c>
      <ns0:c r="P319" t="n">
        <ns0:v>7</ns0:v>
      </ns0:c>
      <ns0:c r="Q319">
        <ns0:f>IF(AND(L319=1,O319*Calculations!$B$2&lt;=Calculations!$B$10*Calculations!$B$4),1,0)</ns0:f>
        <ns0:v>0</ns0:v>
      </ns0:c>
      <ns0:c r="R319">
        <ns0:f>IF(AND(L319=1,O319*Calculations!$B$2&lt;=Calculations!$B$11*Calculations!$B$4),1,0)</ns0:f>
        <ns0:v>0</ns0:v>
      </ns0:c>
    </ns0:row>
    <ns0:row r="320">
      <ns0:c r="A320" t="inlineStr">
        <ns0:is>
          <ns0:t>case_0319</ns0:t>
        </ns0:is>
      </ns0:c>
      <ns0:c r="B320" t="inlineStr">
        <ns0:is>
          <ns0:t>function_0056</ns0:t>
        </ns0:is>
      </ns0:c>
      <ns0:c r="C320" t="inlineStr">
        <ns0:is>
          <ns0:t>run_004</ns0:t>
        </ns0:is>
      </ns0:c>
      <ns0:c r="D320" t="inlineStr">
        <ns0:is>
          <ns0:t>humantime</ns0:t>
        </ns0:is>
      </ns0:c>
      <ns0:c r="E320" t="inlineStr">
        <ns0:is>
          <ns0:t>gemini-2.5-flash-thinking</ns0:t>
        </ns0:is>
      </ns0:c>
      <ns0:c r="F320" t="inlineStr">
        <ns0:is>
          <ns0:t>E0599</ns0:t>
        </ns0:is>
      </ns0:c>
      <ns0:c r="G320" t="n">
        <ns0:v>1</ns0:v>
      </ns0:c>
      <ns0:c r="H320" t="n">
        <ns0:v>2732</ns0:v>
      </ns0:c>
      <ns0:c r="I320" t="n">
        <ns0:v>774</ns0:v>
      </ns0:c>
      <ns0:c r="J320" t="n">
        <ns0:v>3506</ns0:v>
      </ns0:c>
      <ns0:c r="K320" t="n">
        <ns0:v>1</ns0:v>
      </ns0:c>
      <ns0:c r="L320" t="n">
        <ns0:v>0</ns0:v>
      </ns0:c>
      <ns0:c r="M320" t="n">
        <ns0:v>23632</ns0:v>
      </ns0:c>
      <ns0:c r="N320" t="n">
        <ns0:v>429</ns0:v>
      </ns0:c>
      <ns0:c r="O320" t="n">
        <ns0:v>24061</ns0:v>
      </ns0:c>
      <ns0:c r="P320" t="n">
        <ns0:v>3</ns0:v>
      </ns0:c>
      <ns0:c r="Q320">
        <ns0:f>IF(AND(L320=1,O320*Calculations!$B$2&lt;=Calculations!$B$10*Calculations!$B$4),1,0)</ns0:f>
        <ns0:v>0</ns0:v>
      </ns0:c>
      <ns0:c r="R320">
        <ns0:f>IF(AND(L320=1,O320*Calculations!$B$2&lt;=Calculations!$B$11*Calculations!$B$4),1,0)</ns0:f>
        <ns0:v>0</ns0:v>
      </ns0:c>
    </ns0:row>
    <ns0:row r="321">
      <ns0:c r="A321" t="inlineStr">
        <ns0:is>
          <ns0:t>case_0320</ns0:t>
        </ns0:is>
      </ns0:c>
      <ns0:c r="B321" t="inlineStr">
        <ns0:is>
          <ns0:t>function_0056</ns0:t>
        </ns0:is>
      </ns0:c>
      <ns0:c r="C321" t="inlineStr">
        <ns0:is>
          <ns0:t>run_004</ns0:t>
        </ns0:is>
      </ns0:c>
      <ns0:c r="D321" t="inlineStr">
        <ns0:is>
          <ns0:t>humantime</ns0:t>
        </ns0:is>
      </ns0:c>
      <ns0:c r="E321" t="inlineStr">
        <ns0:is>
          <ns0:t>gemini-2.5-flash-thinking</ns0:t>
        </ns0:is>
      </ns0:c>
      <ns0:c r="F321" t="inlineStr">
        <ns0:is>
          <ns0:t>E0599</ns0:t>
        </ns0:is>
      </ns0:c>
      <ns0:c r="G321" t="n">
        <ns0:v>1</ns0:v>
      </ns0:c>
      <ns0:c r="H321" t="n">
        <ns0:v>1938</ns0:v>
      </ns0:c>
      <ns0:c r="I321" t="n">
        <ns0:v>213</ns0:v>
      </ns0:c>
      <ns0:c r="J321" t="n">
        <ns0:v>2151</ns0:v>
      </ns0:c>
      <ns0:c r="K321" t="n">
        <ns0:v>1</ns0:v>
      </ns0:c>
      <ns0:c r="L321" t="n">
        <ns0:v>1</ns0:v>
      </ns0:c>
      <ns0:c r="M321" t="n">
        <ns0:v>50628</ns0:v>
      </ns0:c>
      <ns0:c r="N321" t="n">
        <ns0:v>424</ns0:v>
      </ns0:c>
      <ns0:c r="O321" t="n">
        <ns0:v>51052</ns0:v>
      </ns0:c>
      <ns0:c r="P321" t="n">
        <ns0:v>4</ns0:v>
      </ns0:c>
      <ns0:c r="Q321">
        <ns0:f>IF(AND(L321=1,O321*Calculations!$B$2&lt;=Calculations!$B$10*Calculations!$B$4),1,0)</ns0:f>
        <ns0:v>0</ns0:v>
      </ns0:c>
      <ns0:c r="R321">
        <ns0:f>IF(AND(L321=1,O321*Calculations!$B$2&lt;=Calculations!$B$11*Calculations!$B$4),1,0)</ns0:f>
        <ns0:v>0</ns0:v>
      </ns0:c>
    </ns0:row>
    <ns0:row r="322">
      <ns0:c r="A322" t="inlineStr">
        <ns0:is>
          <ns0:t>case_0321</ns0:t>
        </ns0:is>
      </ns0:c>
      <ns0:c r="B322" t="inlineStr">
        <ns0:is>
          <ns0:t>function_0056</ns0:t>
        </ns0:is>
      </ns0:c>
      <ns0:c r="C322" t="inlineStr">
        <ns0:is>
          <ns0:t>run_004</ns0:t>
        </ns0:is>
      </ns0:c>
      <ns0:c r="D322" t="inlineStr">
        <ns0:is>
          <ns0:t>humantime</ns0:t>
        </ns0:is>
      </ns0:c>
      <ns0:c r="E322" t="inlineStr">
        <ns0:is>
          <ns0:t>gemini-2.5-flash-thinking</ns0:t>
        </ns0:is>
      </ns0:c>
      <ns0:c r="F322" t="inlineStr">
        <ns0:is>
          <ns0:t>E0432,E0599</ns0:t>
        </ns0:is>
      </ns0:c>
      <ns0:c r="G322" t="n">
        <ns0:v>0</ns0:v>
      </ns0:c>
      <ns0:c r="H322" t="n">
        <ns0:v>8479</ns0:v>
      </ns0:c>
      <ns0:c r="I322" t="n">
        <ns0:v>2109</ns0:v>
      </ns0:c>
      <ns0:c r="J322" t="n">
        <ns0:v>10588</ns0:v>
      </ns0:c>
      <ns0:c r="K322" t="n">
        <ns0:v>3</ns0:v>
      </ns0:c>
      <ns0:c r="L322" t="n">
        <ns0:v>1</ns0:v>
      </ns0:c>
      <ns0:c r="M322" t="n">
        <ns0:v>187633</ns0:v>
      </ns0:c>
      <ns0:c r="N322" t="n">
        <ns0:v>2437</ns0:v>
      </ns0:c>
      <ns0:c r="O322" t="n">
        <ns0:v>190070</ns0:v>
      </ns0:c>
      <ns0:c r="P322" t="n">
        <ns0:v>18</ns0:v>
      </ns0:c>
      <ns0:c r="Q322">
        <ns0:f>IF(AND(L322=1,O322*Calculations!$B$2&lt;=Calculations!$B$10*Calculations!$B$4),1,0)</ns0:f>
        <ns0:v>0</ns0:v>
      </ns0:c>
      <ns0:c r="R322">
        <ns0:f>IF(AND(L322=1,O322*Calculations!$B$2&lt;=Calculations!$B$11*Calculations!$B$4),1,0)</ns0:f>
        <ns0:v>0</ns0:v>
      </ns0:c>
    </ns0:row>
    <ns0:row r="323">
      <ns0:c r="A323" t="inlineStr">
        <ns0:is>
          <ns0:t>case_0322</ns0:t>
        </ns0:is>
      </ns0:c>
      <ns0:c r="B323" t="inlineStr">
        <ns0:is>
          <ns0:t>function_0056</ns0:t>
        </ns0:is>
      </ns0:c>
      <ns0:c r="C323" t="inlineStr">
        <ns0:is>
          <ns0:t>run_004</ns0:t>
        </ns0:is>
      </ns0:c>
      <ns0:c r="D323" t="inlineStr">
        <ns0:is>
          <ns0:t>humantime</ns0:t>
        </ns0:is>
      </ns0:c>
      <ns0:c r="E323" t="inlineStr">
        <ns0:is>
          <ns0:t>gemini-2.5-flash-thinking</ns0:t>
        </ns0:is>
      </ns0:c>
      <ns0:c r="F323" t="inlineStr">
        <ns0:is>
          <ns0:t>E0599</ns0:t>
        </ns0:is>
      </ns0:c>
      <ns0:c r="G323" t="n">
        <ns0:v>1</ns0:v>
      </ns0:c>
      <ns0:c r="H323" t="n">
        <ns0:v>2751</ns0:v>
      </ns0:c>
      <ns0:c r="I323" t="n">
        <ns0:v>970</ns0:v>
      </ns0:c>
      <ns0:c r="J323" t="n">
        <ns0:v>3721</ns0:v>
      </ns0:c>
      <ns0:c r="K323" t="n">
        <ns0:v>1</ns0:v>
      </ns0:c>
      <ns0:c r="L323" t="n">
        <ns0:v>0</ns0:v>
      </ns0:c>
      <ns0:c r="M323" t="n">
        <ns0:v>94963</ns0:v>
      </ns0:c>
      <ns0:c r="N323" t="n">
        <ns0:v>815</ns0:v>
      </ns0:c>
      <ns0:c r="O323" t="n">
        <ns0:v>95778</ns0:v>
      </ns0:c>
      <ns0:c r="P323" t="n">
        <ns0:v>6</ns0:v>
      </ns0:c>
      <ns0:c r="Q323">
        <ns0:f>IF(AND(L323=1,O323*Calculations!$B$2&lt;=Calculations!$B$10*Calculations!$B$4),1,0)</ns0:f>
        <ns0:v>0</ns0:v>
      </ns0:c>
      <ns0:c r="R323">
        <ns0:f>IF(AND(L323=1,O323*Calculations!$B$2&lt;=Calculations!$B$11*Calculations!$B$4),1,0)</ns0:f>
        <ns0:v>0</ns0:v>
      </ns0:c>
    </ns0:row>
    <ns0:row r="324">
      <ns0:c r="A324" t="inlineStr">
        <ns0:is>
          <ns0:t>case_0323</ns0:t>
        </ns0:is>
      </ns0:c>
      <ns0:c r="B324" t="inlineStr">
        <ns0:is>
          <ns0:t>function_0057</ns0:t>
        </ns0:is>
      </ns0:c>
      <ns0:c r="C324" t="inlineStr">
        <ns0:is>
          <ns0:t>run_004</ns0:t>
        </ns0:is>
      </ns0:c>
      <ns0:c r="D324" t="inlineStr">
        <ns0:is>
          <ns0:t>humantime</ns0:t>
        </ns0:is>
      </ns0:c>
      <ns0:c r="E324" t="inlineStr">
        <ns0:is>
          <ns0:t>gemini-2.5-flash-thinking</ns0:t>
        </ns0:is>
      </ns0:c>
      <ns0:c r="F324" t="inlineStr">
        <ns0:is>
          <ns0:t>E0433,E0599</ns0:t>
        </ns0:is>
      </ns0:c>
      <ns0:c r="G324" t="n">
        <ns0:v>0</ns0:v>
      </ns0:c>
      <ns0:c r="H324" t="n">
        <ns0:v>91421</ns0:v>
      </ns0:c>
      <ns0:c r="I324" t="n">
        <ns0:v>7341</ns0:v>
      </ns0:c>
      <ns0:c r="J324" t="n">
        <ns0:v>98762</ns0:v>
      </ns0:c>
      <ns0:c r="K324" t="n">
        <ns0:v>54</ns0:v>
      </ns0:c>
      <ns0:c r="L324" t="n">
        <ns0:v>0</ns0:v>
      </ns0:c>
      <ns0:c r="M324" t="n">
        <ns0:v>636929</ns0:v>
      </ns0:c>
      <ns0:c r="N324" t="n">
        <ns0:v>2173</ns0:v>
      </ns0:c>
      <ns0:c r="O324" t="n">
        <ns0:v>639102</ns0:v>
      </ns0:c>
      <ns0:c r="P324" t="n">
        <ns0:v>18</ns0:v>
      </ns0:c>
      <ns0:c r="Q324">
        <ns0:f>IF(AND(L324=1,O324*Calculations!$B$2&lt;=Calculations!$B$10*Calculations!$B$4),1,0)</ns0:f>
        <ns0:v>0</ns0:v>
      </ns0:c>
      <ns0:c r="R324">
        <ns0:f>IF(AND(L324=1,O324*Calculations!$B$2&lt;=Calculations!$B$11*Calculations!$B$4),1,0)</ns0:f>
        <ns0:v>0</ns0:v>
      </ns0:c>
    </ns0:row>
    <ns0:row r="325">
      <ns0:c r="A325" t="inlineStr">
        <ns0:is>
          <ns0:t>case_0324</ns0:t>
        </ns0:is>
      </ns0:c>
      <ns0:c r="B325" t="inlineStr">
        <ns0:is>
          <ns0:t>function_0057</ns0:t>
        </ns0:is>
      </ns0:c>
      <ns0:c r="C325" t="inlineStr">
        <ns0:is>
          <ns0:t>run_004</ns0:t>
        </ns0:is>
      </ns0:c>
      <ns0:c r="D325" t="inlineStr">
        <ns0:is>
          <ns0:t>humantime</ns0:t>
        </ns0:is>
      </ns0:c>
      <ns0:c r="E325" t="inlineStr">
        <ns0:is>
          <ns0:t>gemini-2.5-flash-thinking</ns0:t>
        </ns0:is>
      </ns0:c>
      <ns0:c r="F325" t="inlineStr">
        <ns0:is>
          <ns0:t>E0599</ns0:t>
        </ns0:is>
      </ns0:c>
      <ns0:c r="G325" t="n">
        <ns0:v>1</ns0:v>
      </ns0:c>
      <ns0:c r="H325" t="n">
        <ns0:v>1957</ns0:v>
      </ns0:c>
      <ns0:c r="I325" t="n">
        <ns0:v>234</ns0:v>
      </ns0:c>
      <ns0:c r="J325" t="n">
        <ns0:v>2191</ns0:v>
      </ns0:c>
      <ns0:c r="K325" t="n">
        <ns0:v>1</ns0:v>
      </ns0:c>
      <ns0:c r="L325" t="n">
        <ns0:v>1</ns0:v>
      </ns0:c>
      <ns0:c r="M325" t="n">
        <ns0:v>33832</ns0:v>
      </ns0:c>
      <ns0:c r="N325" t="n">
        <ns0:v>425</ns0:v>
      </ns0:c>
      <ns0:c r="O325" t="n">
        <ns0:v>34257</ns0:v>
      </ns0:c>
      <ns0:c r="P325" t="n">
        <ns0:v>4</ns0:v>
      </ns0:c>
      <ns0:c r="Q325">
        <ns0:f>IF(AND(L325=1,O325*Calculations!$B$2&lt;=Calculations!$B$10*Calculations!$B$4),1,0)</ns0:f>
        <ns0:v>0</ns0:v>
      </ns0:c>
      <ns0:c r="R325">
        <ns0:f>IF(AND(L325=1,O325*Calculations!$B$2&lt;=Calculations!$B$11*Calculations!$B$4),1,0)</ns0:f>
        <ns0:v>1</ns0:v>
      </ns0:c>
    </ns0:row>
    <ns0:row r="326">
      <ns0:c r="A326" t="inlineStr">
        <ns0:is>
          <ns0:t>case_0325</ns0:t>
        </ns0:is>
      </ns0:c>
      <ns0:c r="B326" t="inlineStr">
        <ns0:is>
          <ns0:t>function_0057</ns0:t>
        </ns0:is>
      </ns0:c>
      <ns0:c r="C326" t="inlineStr">
        <ns0:is>
          <ns0:t>run_004</ns0:t>
        </ns0:is>
      </ns0:c>
      <ns0:c r="D326" t="inlineStr">
        <ns0:is>
          <ns0:t>humantime</ns0:t>
        </ns0:is>
      </ns0:c>
      <ns0:c r="E326" t="inlineStr">
        <ns0:is>
          <ns0:t>gemini-2.5-flash-thinking</ns0:t>
        </ns0:is>
      </ns0:c>
      <ns0:c r="F326" t="inlineStr">
        <ns0:is>
          <ns0:t>E0433,E0599</ns0:t>
        </ns0:is>
      </ns0:c>
      <ns0:c r="G326" t="n">
        <ns0:v>1</ns0:v>
      </ns0:c>
      <ns0:c r="H326" t="n">
        <ns0:v>2879</ns0:v>
      </ns0:c>
      <ns0:c r="I326" t="n">
        <ns0:v>358</ns0:v>
      </ns0:c>
      <ns0:c r="J326" t="n">
        <ns0:v>3237</ns0:v>
      </ns0:c>
      <ns0:c r="K326" t="n">
        <ns0:v>1</ns0:v>
      </ns0:c>
      <ns0:c r="L326" t="n">
        <ns0:v>0</ns0:v>
      </ns0:c>
      <ns0:c r="M326" t="n">
        <ns0:v>15176</ns0:v>
      </ns0:c>
      <ns0:c r="N326" t="n">
        <ns0:v>299</ns0:v>
      </ns0:c>
      <ns0:c r="O326" t="n">
        <ns0:v>15475</ns0:v>
      </ns0:c>
      <ns0:c r="P326" t="n">
        <ns0:v>2</ns0:v>
      </ns0:c>
      <ns0:c r="Q326">
        <ns0:f>IF(AND(L326=1,O326*Calculations!$B$2&lt;=Calculations!$B$10*Calculations!$B$4),1,0)</ns0:f>
        <ns0:v>0</ns0:v>
      </ns0:c>
      <ns0:c r="R326">
        <ns0:f>IF(AND(L326=1,O326*Calculations!$B$2&lt;=Calculations!$B$11*Calculations!$B$4),1,0)</ns0:f>
        <ns0:v>0</ns0:v>
      </ns0:c>
    </ns0:row>
    <ns0:row r="327">
      <ns0:c r="A327" t="inlineStr">
        <ns0:is>
          <ns0:t>case_0326</ns0:t>
        </ns0:is>
      </ns0:c>
      <ns0:c r="B327" t="inlineStr">
        <ns0:is>
          <ns0:t>function_0057</ns0:t>
        </ns0:is>
      </ns0:c>
      <ns0:c r="C327" t="inlineStr">
        <ns0:is>
          <ns0:t>run_004</ns0:t>
        </ns0:is>
      </ns0:c>
      <ns0:c r="D327" t="inlineStr">
        <ns0:is>
          <ns0:t>humantime</ns0:t>
        </ns0:is>
      </ns0:c>
      <ns0:c r="E327" t="inlineStr">
        <ns0:is>
          <ns0:t>gemini-2.5-flash-thinking</ns0:t>
        </ns0:is>
      </ns0:c>
      <ns0:c r="F327" t="inlineStr">
        <ns0:is>
          <ns0:t>E0599</ns0:t>
        </ns0:is>
      </ns0:c>
      <ns0:c r="G327" t="n">
        <ns0:v>0</ns0:v>
      </ns0:c>
      <ns0:c r="H327" t="n">
        <ns0:v>8749</ns0:v>
      </ns0:c>
      <ns0:c r="I327" t="n">
        <ns0:v>1529</ns0:v>
      </ns0:c>
      <ns0:c r="J327" t="n">
        <ns0:v>10278</ns0:v>
      </ns0:c>
      <ns0:c r="K327" t="n">
        <ns0:v>9</ns0:v>
      </ns0:c>
      <ns0:c r="L327" t="n">
        <ns0:v>1</ns0:v>
      </ns0:c>
      <ns0:c r="M327" t="n">
        <ns0:v>74759</ns0:v>
      </ns0:c>
      <ns0:c r="N327" t="n">
        <ns0:v>719</ns0:v>
      </ns0:c>
      <ns0:c r="O327" t="n">
        <ns0:v>75478</ns0:v>
      </ns0:c>
      <ns0:c r="P327" t="n">
        <ns0:v>8</ns0:v>
      </ns0:c>
      <ns0:c r="Q327">
        <ns0:f>IF(AND(L327=1,O327*Calculations!$B$2&lt;=Calculations!$B$10*Calculations!$B$4),1,0)</ns0:f>
        <ns0:v>0</ns0:v>
      </ns0:c>
      <ns0:c r="R327">
        <ns0:f>IF(AND(L327=1,O327*Calculations!$B$2&lt;=Calculations!$B$11*Calculations!$B$4),1,0)</ns0:f>
        <ns0:v>0</ns0:v>
      </ns0:c>
    </ns0:row>
    <ns0:row r="328">
      <ns0:c r="A328" t="inlineStr">
        <ns0:is>
          <ns0:t>case_0327</ns0:t>
        </ns0:is>
      </ns0:c>
      <ns0:c r="B328" t="inlineStr">
        <ns0:is>
          <ns0:t>function_0057</ns0:t>
        </ns0:is>
      </ns0:c>
      <ns0:c r="C328" t="inlineStr">
        <ns0:is>
          <ns0:t>run_004</ns0:t>
        </ns0:is>
      </ns0:c>
      <ns0:c r="D328" t="inlineStr">
        <ns0:is>
          <ns0:t>humantime</ns0:t>
        </ns0:is>
      </ns0:c>
      <ns0:c r="E328" t="inlineStr">
        <ns0:is>
          <ns0:t>gemini-2.5-flash-thinking</ns0:t>
        </ns0:is>
      </ns0:c>
      <ns0:c r="F328" t="inlineStr">
        <ns0:is>
          <ns0:t>E0599</ns0:t>
        </ns0:is>
      </ns0:c>
      <ns0:c r="G328" t="n">
        <ns0:v>1</ns0:v>
      </ns0:c>
      <ns0:c r="H328" t="n">
        <ns0:v>1859</ns0:v>
      </ns0:c>
      <ns0:c r="I328" t="n">
        <ns0:v>173</ns0:v>
      </ns0:c>
      <ns0:c r="J328" t="n">
        <ns0:v>2032</ns0:v>
      </ns0:c>
      <ns0:c r="K328" t="n">
        <ns0:v>1</ns0:v>
      </ns0:c>
      <ns0:c r="L328" t="n">
        <ns0:v>1</ns0:v>
      </ns0:c>
      <ns0:c r="M328" t="n">
        <ns0:v>85026</ns0:v>
      </ns0:c>
      <ns0:c r="N328" t="n">
        <ns0:v>1728</ns0:v>
      </ns0:c>
      <ns0:c r="O328" t="n">
        <ns0:v>86754</ns0:v>
      </ns0:c>
      <ns0:c r="P328" t="n">
        <ns0:v>11</ns0:v>
      </ns0:c>
      <ns0:c r="Q328">
        <ns0:f>IF(AND(L328=1,O328*Calculations!$B$2&lt;=Calculations!$B$10*Calculations!$B$4),1,0)</ns0:f>
        <ns0:v>0</ns0:v>
      </ns0:c>
      <ns0:c r="R328">
        <ns0:f>IF(AND(L328=1,O328*Calculations!$B$2&lt;=Calculations!$B$11*Calculations!$B$4),1,0)</ns0:f>
        <ns0:v>0</ns0:v>
      </ns0:c>
    </ns0:row>
    <ns0:row r="329">
      <ns0:c r="A329" t="inlineStr">
        <ns0:is>
          <ns0:t>case_0328</ns0:t>
        </ns0:is>
      </ns0:c>
      <ns0:c r="B329" t="inlineStr">
        <ns0:is>
          <ns0:t>function_0057</ns0:t>
        </ns0:is>
      </ns0:c>
      <ns0:c r="C329" t="inlineStr">
        <ns0:is>
          <ns0:t>run_004</ns0:t>
        </ns0:is>
      </ns0:c>
      <ns0:c r="D329" t="inlineStr">
        <ns0:is>
          <ns0:t>humantime</ns0:t>
        </ns0:is>
      </ns0:c>
      <ns0:c r="E329" t="inlineStr">
        <ns0:is>
          <ns0:t>gemini-2.5-flash-thinking</ns0:t>
        </ns0:is>
      </ns0:c>
      <ns0:c r="F329" t="inlineStr">
        <ns0:is>
          <ns0:t>E0599</ns0:t>
        </ns0:is>
      </ns0:c>
      <ns0:c r="G329" t="n">
        <ns0:v>0</ns0:v>
      </ns0:c>
      <ns0:c r="H329" t="n">
        <ns0:v>51073</ns0:v>
      </ns0:c>
      <ns0:c r="I329" t="n">
        <ns0:v>3254</ns0:v>
      </ns0:c>
      <ns0:c r="J329" t="n">
        <ns0:v>54327</ns0:v>
      </ns0:c>
      <ns0:c r="K329" t="n">
        <ns0:v>27</ns0:v>
      </ns0:c>
      <ns0:c r="L329" t="n">
        <ns0:v>0</ns0:v>
      </ns0:c>
      <ns0:c r="M329" t="n">
        <ns0:v>118598</ns0:v>
      </ns0:c>
      <ns0:c r="N329" t="n">
        <ns0:v>709</ns0:v>
      </ns0:c>
      <ns0:c r="O329" t="n">
        <ns0:v>119307</ns0:v>
      </ns0:c>
      <ns0:c r="P329" t="n">
        <ns0:v>10</ns0:v>
      </ns0:c>
      <ns0:c r="Q329">
        <ns0:f>IF(AND(L329=1,O329*Calculations!$B$2&lt;=Calculations!$B$10*Calculations!$B$4),1,0)</ns0:f>
        <ns0:v>0</ns0:v>
      </ns0:c>
      <ns0:c r="R329">
        <ns0:f>IF(AND(L329=1,O329*Calculations!$B$2&lt;=Calculations!$B$11*Calculations!$B$4),1,0)</ns0:f>
        <ns0:v>0</ns0:v>
      </ns0:c>
    </ns0:row>
    <ns0:row r="330">
      <ns0:c r="A330" t="inlineStr">
        <ns0:is>
          <ns0:t>case_0329</ns0:t>
        </ns0:is>
      </ns0:c>
      <ns0:c r="B330" t="inlineStr">
        <ns0:is>
          <ns0:t>function_0057</ns0:t>
        </ns0:is>
      </ns0:c>
      <ns0:c r="C330" t="inlineStr">
        <ns0:is>
          <ns0:t>run_004</ns0:t>
        </ns0:is>
      </ns0:c>
      <ns0:c r="D330" t="inlineStr">
        <ns0:is>
          <ns0:t>humantime</ns0:t>
        </ns0:is>
      </ns0:c>
      <ns0:c r="E330" t="inlineStr">
        <ns0:is>
          <ns0:t>gemini-2.5-flash-thinking</ns0:t>
        </ns0:is>
      </ns0:c>
      <ns0:c r="F330" t="inlineStr">
        <ns0:is>
          <ns0:t>E0599</ns0:t>
        </ns0:is>
      </ns0:c>
      <ns0:c r="G330" t="n">
        <ns0:v>0</ns0:v>
      </ns0:c>
      <ns0:c r="H330" t="n">
        <ns0:v>68370</ns0:v>
      </ns0:c>
      <ns0:c r="I330" t="n">
        <ns0:v>4775</ns0:v>
      </ns0:c>
      <ns0:c r="J330" t="n">
        <ns0:v>73145</ns0:v>
      </ns0:c>
      <ns0:c r="K330" t="n">
        <ns0:v>25</ns0:v>
      </ns0:c>
      <ns0:c r="L330" t="n">
        <ns0:v>0</ns0:v>
      </ns0:c>
      <ns0:c r="M330" t="n">
        <ns0:v>137139</ns0:v>
      </ns0:c>
      <ns0:c r="N330" t="n">
        <ns0:v>887</ns0:v>
      </ns0:c>
      <ns0:c r="O330" t="n">
        <ns0:v>138026</ns0:v>
      </ns0:c>
      <ns0:c r="P330" t="n">
        <ns0:v>7</ns0:v>
      </ns0:c>
      <ns0:c r="Q330">
        <ns0:f>IF(AND(L330=1,O330*Calculations!$B$2&lt;=Calculations!$B$10*Calculations!$B$4),1,0)</ns0:f>
        <ns0:v>0</ns0:v>
      </ns0:c>
      <ns0:c r="R330">
        <ns0:f>IF(AND(L330=1,O330*Calculations!$B$2&lt;=Calculations!$B$11*Calculations!$B$4),1,0)</ns0:f>
        <ns0:v>0</ns0:v>
      </ns0:c>
    </ns0:row>
    <ns0:row r="331">
      <ns0:c r="A331" t="inlineStr">
        <ns0:is>
          <ns0:t>case_0330</ns0:t>
        </ns0:is>
      </ns0:c>
      <ns0:c r="B331" t="inlineStr">
        <ns0:is>
          <ns0:t>function_0057</ns0:t>
        </ns0:is>
      </ns0:c>
      <ns0:c r="C331" t="inlineStr">
        <ns0:is>
          <ns0:t>run_004</ns0:t>
        </ns0:is>
      </ns0:c>
      <ns0:c r="D331" t="inlineStr">
        <ns0:is>
          <ns0:t>humantime</ns0:t>
        </ns0:is>
      </ns0:c>
      <ns0:c r="E331" t="inlineStr">
        <ns0:is>
          <ns0:t>gemini-2.5-flash-thinking</ns0:t>
        </ns0:is>
      </ns0:c>
      <ns0:c r="F331" t="inlineStr">
        <ns0:is>
          <ns0:t>E0599</ns0:t>
        </ns0:is>
      </ns0:c>
      <ns0:c r="G331" t="n">
        <ns0:v>0</ns0:v>
      </ns0:c>
      <ns0:c r="H331" t="n">
        <ns0:v>75640</ns0:v>
      </ns0:c>
      <ns0:c r="I331" t="n">
        <ns0:v>5766</ns0:v>
      </ns0:c>
      <ns0:c r="J331" t="n">
        <ns0:v>81406</ns0:v>
      </ns0:c>
      <ns0:c r="K331" t="n">
        <ns0:v>39</ns0:v>
      </ns0:c>
      <ns0:c r="L331" t="n">
        <ns0:v>0</ns0:v>
      </ns0:c>
      <ns0:c r="M331" t="n">
        <ns0:v>200066</ns0:v>
      </ns0:c>
      <ns0:c r="N331" t="n">
        <ns0:v>3176</ns0:v>
      </ns0:c>
      <ns0:c r="O331" t="n">
        <ns0:v>203242</ns0:v>
      </ns0:c>
      <ns0:c r="P331" t="n">
        <ns0:v>14</ns0:v>
      </ns0:c>
      <ns0:c r="Q331">
        <ns0:f>IF(AND(L331=1,O331*Calculations!$B$2&lt;=Calculations!$B$10*Calculations!$B$4),1,0)</ns0:f>
        <ns0:v>0</ns0:v>
      </ns0:c>
      <ns0:c r="R331">
        <ns0:f>IF(AND(L331=1,O331*Calculations!$B$2&lt;=Calculations!$B$11*Calculations!$B$4),1,0)</ns0:f>
        <ns0:v>0</ns0:v>
      </ns0:c>
    </ns0:row>
    <ns0:row r="332">
      <ns0:c r="A332" t="inlineStr">
        <ns0:is>
          <ns0:t>case_0331</ns0:t>
        </ns0:is>
      </ns0:c>
      <ns0:c r="B332" t="inlineStr">
        <ns0:is>
          <ns0:t>function_0057</ns0:t>
        </ns0:is>
      </ns0:c>
      <ns0:c r="C332" t="inlineStr">
        <ns0:is>
          <ns0:t>run_004</ns0:t>
        </ns0:is>
      </ns0:c>
      <ns0:c r="D332" t="inlineStr">
        <ns0:is>
          <ns0:t>humantime</ns0:t>
        </ns0:is>
      </ns0:c>
      <ns0:c r="E332" t="inlineStr">
        <ns0:is>
          <ns0:t>gemini-2.5-flash-thinking</ns0:t>
        </ns0:is>
      </ns0:c>
      <ns0:c r="F332" t="inlineStr">
        <ns0:is>
          <ns0:t>E0599</ns0:t>
        </ns0:is>
      </ns0:c>
      <ns0:c r="G332" t="n">
        <ns0:v>1</ns0:v>
      </ns0:c>
      <ns0:c r="H332" t="n">
        <ns0:v>15123</ns0:v>
      </ns0:c>
      <ns0:c r="I332" t="n">
        <ns0:v>1392</ns0:v>
      </ns0:c>
      <ns0:c r="J332" t="n">
        <ns0:v>16515</ns0:v>
      </ns0:c>
      <ns0:c r="K332" t="n">
        <ns0:v>8</ns0:v>
      </ns0:c>
      <ns0:c r="L332" t="n">
        <ns0:v>1</ns0:v>
      </ns0:c>
      <ns0:c r="M332" t="n">
        <ns0:v>63849</ns0:v>
      </ns0:c>
      <ns0:c r="N332" t="n">
        <ns0:v>500</ns0:v>
      </ns0:c>
      <ns0:c r="O332" t="n">
        <ns0:v>64349</ns0:v>
      </ns0:c>
      <ns0:c r="P332" t="n">
        <ns0:v>4</ns0:v>
      </ns0:c>
      <ns0:c r="Q332">
        <ns0:f>IF(AND(L332=1,O332*Calculations!$B$2&lt;=Calculations!$B$10*Calculations!$B$4),1,0)</ns0:f>
        <ns0:v>0</ns0:v>
      </ns0:c>
      <ns0:c r="R332">
        <ns0:f>IF(AND(L332=1,O332*Calculations!$B$2&lt;=Calculations!$B$11*Calculations!$B$4),1,0)</ns0:f>
        <ns0:v>0</ns0:v>
      </ns0:c>
    </ns0:row>
    <ns0:row r="333">
      <ns0:c r="A333" t="inlineStr">
        <ns0:is>
          <ns0:t>case_0332</ns0:t>
        </ns0:is>
      </ns0:c>
      <ns0:c r="B333" t="inlineStr">
        <ns0:is>
          <ns0:t>function_0057</ns0:t>
        </ns0:is>
      </ns0:c>
      <ns0:c r="C333" t="inlineStr">
        <ns0:is>
          <ns0:t>run_004</ns0:t>
        </ns0:is>
      </ns0:c>
      <ns0:c r="D333" t="inlineStr">
        <ns0:is>
          <ns0:t>humantime</ns0:t>
        </ns0:is>
      </ns0:c>
      <ns0:c r="E333" t="inlineStr">
        <ns0:is>
          <ns0:t>gemini-2.5-flash-thinking</ns0:t>
        </ns0:is>
      </ns0:c>
      <ns0:c r="F333" t="inlineStr">
        <ns0:is>
          <ns0:t>E0599</ns0:t>
        </ns0:is>
      </ns0:c>
      <ns0:c r="G333" t="n">
        <ns0:v>0</ns0:v>
      </ns0:c>
      <ns0:c r="H333" t="n">
        <ns0:v>57532</ns0:v>
      </ns0:c>
      <ns0:c r="I333" t="n">
        <ns0:v>3724</ns0:v>
      </ns0:c>
      <ns0:c r="J333" t="n">
        <ns0:v>61256</ns0:v>
      </ns0:c>
      <ns0:c r="K333" t="n">
        <ns0:v>30</ns0:v>
      </ns0:c>
      <ns0:c r="L333" t="n">
        <ns0:v>1</ns0:v>
      </ns0:c>
      <ns0:c r="M333" t="n">
        <ns0:v>105859</ns0:v>
      </ns0:c>
      <ns0:c r="N333" t="n">
        <ns0:v>900</ns0:v>
      </ns0:c>
      <ns0:c r="O333" t="n">
        <ns0:v>106759</ns0:v>
      </ns0:c>
      <ns0:c r="P333" t="n">
        <ns0:v>6</ns0:v>
      </ns0:c>
      <ns0:c r="Q333">
        <ns0:f>IF(AND(L333=1,O333*Calculations!$B$2&lt;=Calculations!$B$10*Calculations!$B$4),1,0)</ns0:f>
        <ns0:v>0</ns0:v>
      </ns0:c>
      <ns0:c r="R333">
        <ns0:f>IF(AND(L333=1,O333*Calculations!$B$2&lt;=Calculations!$B$11*Calculations!$B$4),1,0)</ns0:f>
        <ns0:v>0</ns0:v>
      </ns0:c>
    </ns0:row>
    <ns0:row r="334">
      <ns0:c r="A334" t="inlineStr">
        <ns0:is>
          <ns0:t>case_0333</ns0:t>
        </ns0:is>
      </ns0:c>
      <ns0:c r="B334" t="inlineStr">
        <ns0:is>
          <ns0:t>function_0057</ns0:t>
        </ns0:is>
      </ns0:c>
      <ns0:c r="C334" t="inlineStr">
        <ns0:is>
          <ns0:t>run_004</ns0:t>
        </ns0:is>
      </ns0:c>
      <ns0:c r="D334" t="inlineStr">
        <ns0:is>
          <ns0:t>humantime</ns0:t>
        </ns0:is>
      </ns0:c>
      <ns0:c r="E334" t="inlineStr">
        <ns0:is>
          <ns0:t>gemini-2.5-flash-thinking</ns0:t>
        </ns0:is>
      </ns0:c>
      <ns0:c r="F334" t="inlineStr">
        <ns0:is>
          <ns0:t>E0026,E0027,E0599</ns0:t>
        </ns0:is>
      </ns0:c>
      <ns0:c r="G334" t="n">
        <ns0:v>0</ns0:v>
      </ns0:c>
      <ns0:c r="H334" t="n">
        <ns0:v>21349</ns0:v>
      </ns0:c>
      <ns0:c r="I334" t="n">
        <ns0:v>1670</ns0:v>
      </ns0:c>
      <ns0:c r="J334" t="n">
        <ns0:v>23019</ns0:v>
      </ns0:c>
      <ns0:c r="K334" t="n">
        <ns0:v>10</ns0:v>
      </ns0:c>
      <ns0:c r="L334" t="n">
        <ns0:v>0</ns0:v>
      </ns0:c>
      <ns0:c r="M334" t="n">
        <ns0:v>53327</ns0:v>
      </ns0:c>
      <ns0:c r="N334" t="n">
        <ns0:v>771</ns0:v>
      </ns0:c>
      <ns0:c r="O334" t="n">
        <ns0:v>54098</ns0:v>
      </ns0:c>
      <ns0:c r="P334" t="n">
        <ns0:v>5</ns0:v>
      </ns0:c>
      <ns0:c r="Q334">
        <ns0:f>IF(AND(L334=1,O334*Calculations!$B$2&lt;=Calculations!$B$10*Calculations!$B$4),1,0)</ns0:f>
        <ns0:v>0</ns0:v>
      </ns0:c>
      <ns0:c r="R334">
        <ns0:f>IF(AND(L334=1,O334*Calculations!$B$2&lt;=Calculations!$B$11*Calculations!$B$4),1,0)</ns0:f>
        <ns0:v>0</ns0:v>
      </ns0:c>
    </ns0:row>
    <ns0:row r="335">
      <ns0:c r="A335" t="inlineStr">
        <ns0:is>
          <ns0:t>case_0334</ns0:t>
        </ns0:is>
      </ns0:c>
      <ns0:c r="B335" t="inlineStr">
        <ns0:is>
          <ns0:t>function_0057</ns0:t>
        </ns0:is>
      </ns0:c>
      <ns0:c r="C335" t="inlineStr">
        <ns0:is>
          <ns0:t>run_004</ns0:t>
        </ns0:is>
      </ns0:c>
      <ns0:c r="D335" t="inlineStr">
        <ns0:is>
          <ns0:t>humantime</ns0:t>
        </ns0:is>
      </ns0:c>
      <ns0:c r="E335" t="inlineStr">
        <ns0:is>
          <ns0:t>gemini-2.5-flash-thinking</ns0:t>
        </ns0:is>
      </ns0:c>
      <ns0:c r="F335" t="inlineStr">
        <ns0:is>
          <ns0:t>E0599</ns0:t>
        </ns0:is>
      </ns0:c>
      <ns0:c r="G335" t="n">
        <ns0:v>1</ns0:v>
      </ns0:c>
      <ns0:c r="H335" t="n">
        <ns0:v>1851</ns0:v>
      </ns0:c>
      <ns0:c r="I335" t="n">
        <ns0:v>150</ns0:v>
      </ns0:c>
      <ns0:c r="J335" t="n">
        <ns0:v>2001</ns0:v>
      </ns0:c>
      <ns0:c r="K335" t="n">
        <ns0:v>1</ns0:v>
      </ns0:c>
      <ns0:c r="L335" t="n">
        <ns0:v>1</ns0:v>
      </ns0:c>
      <ns0:c r="M335" t="n">
        <ns0:v>31065</ns0:v>
      </ns0:c>
      <ns0:c r="N335" t="n">
        <ns0:v>340</ns0:v>
      </ns0:c>
      <ns0:c r="O335" t="n">
        <ns0:v>31405</ns0:v>
      </ns0:c>
      <ns0:c r="P335" t="n">
        <ns0:v>4</ns0:v>
      </ns0:c>
      <ns0:c r="Q335">
        <ns0:f>IF(AND(L335=1,O335*Calculations!$B$2&lt;=Calculations!$B$10*Calculations!$B$4),1,0)</ns0:f>
        <ns0:v>0</ns0:v>
      </ns0:c>
      <ns0:c r="R335">
        <ns0:f>IF(AND(L335=1,O335*Calculations!$B$2&lt;=Calculations!$B$11*Calculations!$B$4),1,0)</ns0:f>
        <ns0:v>1</ns0:v>
      </ns0:c>
    </ns0:row>
    <ns0:row r="336">
      <ns0:c r="A336" t="inlineStr">
        <ns0:is>
          <ns0:t>case_0335</ns0:t>
        </ns0:is>
      </ns0:c>
      <ns0:c r="B336" t="inlineStr">
        <ns0:is>
          <ns0:t>function_0058</ns0:t>
        </ns0:is>
      </ns0:c>
      <ns0:c r="C336" t="inlineStr">
        <ns0:is>
          <ns0:t>run_004</ns0:t>
        </ns0:is>
      </ns0:c>
      <ns0:c r="D336" t="inlineStr">
        <ns0:is>
          <ns0:t>humantime</ns0:t>
        </ns0:is>
      </ns0:c>
      <ns0:c r="E336" t="inlineStr">
        <ns0:is>
          <ns0:t>gemini-2.5-flash-thinking</ns0:t>
        </ns0:is>
      </ns0:c>
      <ns0:c r="F336" t="inlineStr">
        <ns0:is>
          <ns0:t>E0433</ns0:t>
        </ns0:is>
      </ns0:c>
      <ns0:c r="G336" t="n">
        <ns0:v>0</ns0:v>
      </ns0:c>
      <ns0:c r="H336" t="n">
        <ns0:v>40537</ns0:v>
      </ns0:c>
      <ns0:c r="I336" t="n">
        <ns0:v>2515</ns0:v>
      </ns0:c>
      <ns0:c r="J336" t="n">
        <ns0:v>43052</ns0:v>
      </ns0:c>
      <ns0:c r="K336" t="n">
        <ns0:v>21</ns0:v>
      </ns0:c>
      <ns0:c r="L336" t="n">
        <ns0:v>0</ns0:v>
      </ns0:c>
      <ns0:c r="M336" t="n">
        <ns0:v>170532</ns0:v>
      </ns0:c>
      <ns0:c r="N336" t="n">
        <ns0:v>1112</ns0:v>
      </ns0:c>
      <ns0:c r="O336" t="n">
        <ns0:v>171644</ns0:v>
      </ns0:c>
      <ns0:c r="P336" t="n">
        <ns0:v>9</ns0:v>
      </ns0:c>
      <ns0:c r="Q336">
        <ns0:f>IF(AND(L336=1,O336*Calculations!$B$2&lt;=Calculations!$B$10*Calculations!$B$4),1,0)</ns0:f>
        <ns0:v>0</ns0:v>
      </ns0:c>
      <ns0:c r="R336">
        <ns0:f>IF(AND(L336=1,O336*Calculations!$B$2&lt;=Calculations!$B$11*Calculations!$B$4),1,0)</ns0:f>
        <ns0:v>0</ns0:v>
      </ns0:c>
    </ns0:row>
    <ns0:row r="337">
      <ns0:c r="A337" t="inlineStr">
        <ns0:is>
          <ns0:t>case_0336</ns0:t>
        </ns0:is>
      </ns0:c>
      <ns0:c r="B337" t="inlineStr">
        <ns0:is>
          <ns0:t>function_0058</ns0:t>
        </ns0:is>
      </ns0:c>
      <ns0:c r="C337" t="inlineStr">
        <ns0:is>
          <ns0:t>run_004</ns0:t>
        </ns0:is>
      </ns0:c>
      <ns0:c r="D337" t="inlineStr">
        <ns0:is>
          <ns0:t>humantime</ns0:t>
        </ns0:is>
      </ns0:c>
      <ns0:c r="E337" t="inlineStr">
        <ns0:is>
          <ns0:t>gemini-2.5-flash-thinking</ns0:t>
        </ns0:is>
      </ns0:c>
      <ns0:c r="F337" t="inlineStr">
        <ns0:is>
          <ns0:t>E0599</ns0:t>
        </ns0:is>
      </ns0:c>
      <ns0:c r="G337" t="n">
        <ns0:v>0</ns0:v>
      </ns0:c>
      <ns0:c r="H337" t="n">
        <ns0:v>16978</ns0:v>
      </ns0:c>
      <ns0:c r="I337" t="n">
        <ns0:v>2356</ns0:v>
      </ns0:c>
      <ns0:c r="J337" t="n">
        <ns0:v>19334</ns0:v>
      </ns0:c>
      <ns0:c r="K337" t="n">
        <ns0:v>18</ns0:v>
      </ns0:c>
      <ns0:c r="L337" t="n">
        <ns0:v>1</ns0:v>
      </ns0:c>
      <ns0:c r="M337" t="n">
        <ns0:v>58249</ns0:v>
      </ns0:c>
      <ns0:c r="N337" t="n">
        <ns0:v>471</ns0:v>
      </ns0:c>
      <ns0:c r="O337" t="n">
        <ns0:v>58720</ns0:v>
      </ns0:c>
      <ns0:c r="P337" t="n">
        <ns0:v>4</ns0:v>
      </ns0:c>
      <ns0:c r="Q337">
        <ns0:f>IF(AND(L337=1,O337*Calculations!$B$2&lt;=Calculations!$B$10*Calculations!$B$4),1,0)</ns0:f>
        <ns0:v>0</ns0:v>
      </ns0:c>
      <ns0:c r="R337">
        <ns0:f>IF(AND(L337=1,O337*Calculations!$B$2&lt;=Calculations!$B$11*Calculations!$B$4),1,0)</ns0:f>
        <ns0:v>0</ns0:v>
      </ns0:c>
    </ns0:row>
    <ns0:row r="338">
      <ns0:c r="A338" t="inlineStr">
        <ns0:is>
          <ns0:t>case_0337</ns0:t>
        </ns0:is>
      </ns0:c>
      <ns0:c r="B338" t="inlineStr">
        <ns0:is>
          <ns0:t>function_0058</ns0:t>
        </ns0:is>
      </ns0:c>
      <ns0:c r="C338" t="inlineStr">
        <ns0:is>
          <ns0:t>run_004</ns0:t>
        </ns0:is>
      </ns0:c>
      <ns0:c r="D338" t="inlineStr">
        <ns0:is>
          <ns0:t>humantime</ns0:t>
        </ns0:is>
      </ns0:c>
      <ns0:c r="E338" t="inlineStr">
        <ns0:is>
          <ns0:t>gemini-2.5-flash-thinking</ns0:t>
        </ns0:is>
      </ns0:c>
      <ns0:c r="F338" t="inlineStr">
        <ns0:is>
          <ns0:t>E0599</ns0:t>
        </ns0:is>
      </ns0:c>
      <ns0:c r="G338" t="n">
        <ns0:v>1</ns0:v>
      </ns0:c>
      <ns0:c r="H338" t="n">
        <ns0:v>2007</ns0:v>
      </ns0:c>
      <ns0:c r="I338" t="n">
        <ns0:v>265</ns0:v>
      </ns0:c>
      <ns0:c r="J338" t="n">
        <ns0:v>2272</ns0:v>
      </ns0:c>
      <ns0:c r="K338" t="n">
        <ns0:v>1</ns0:v>
      </ns0:c>
      <ns0:c r="L338" t="n">
        <ns0:v>0</ns0:v>
      </ns0:c>
      <ns0:c r="M338" t="n">
        <ns0:v>28730</ns0:v>
      </ns0:c>
      <ns0:c r="N338" t="n">
        <ns0:v>385</ns0:v>
      </ns0:c>
      <ns0:c r="O338" t="n">
        <ns0:v>29115</ns0:v>
      </ns0:c>
      <ns0:c r="P338" t="n">
        <ns0:v>4</ns0:v>
      </ns0:c>
      <ns0:c r="Q338">
        <ns0:f>IF(AND(L338=1,O338*Calculations!$B$2&lt;=Calculations!$B$10*Calculations!$B$4),1,0)</ns0:f>
        <ns0:v>0</ns0:v>
      </ns0:c>
      <ns0:c r="R338">
        <ns0:f>IF(AND(L338=1,O338*Calculations!$B$2&lt;=Calculations!$B$11*Calculations!$B$4),1,0)</ns0:f>
        <ns0:v>0</ns0:v>
      </ns0:c>
    </ns0:row>
    <ns0:row r="339">
      <ns0:c r="A339" t="inlineStr">
        <ns0:is>
          <ns0:t>case_0338</ns0:t>
        </ns0:is>
      </ns0:c>
      <ns0:c r="B339" t="inlineStr">
        <ns0:is>
          <ns0:t>function_0058</ns0:t>
        </ns0:is>
      </ns0:c>
      <ns0:c r="C339" t="inlineStr">
        <ns0:is>
          <ns0:t>run_004</ns0:t>
        </ns0:is>
      </ns0:c>
      <ns0:c r="D339" t="inlineStr">
        <ns0:is>
          <ns0:t>humantime</ns0:t>
        </ns0:is>
      </ns0:c>
      <ns0:c r="E339" t="inlineStr">
        <ns0:is>
          <ns0:t>gemini-2.5-flash-thinking</ns0:t>
        </ns0:is>
      </ns0:c>
      <ns0:c r="F339" t="inlineStr">
        <ns0:is>
          <ns0:t>E0560</ns0:t>
        </ns0:is>
      </ns0:c>
      <ns0:c r="G339" t="n">
        <ns0:v>1</ns0:v>
      </ns0:c>
      <ns0:c r="H339" t="n">
        <ns0:v>10787</ns0:v>
      </ns0:c>
      <ns0:c r="I339" t="n">
        <ns0:v>705</ns0:v>
      </ns0:c>
      <ns0:c r="J339" t="n">
        <ns0:v>11492</ns0:v>
      </ns0:c>
      <ns0:c r="K339" t="n">
        <ns0:v>6</ns0:v>
      </ns0:c>
      <ns0:c r="L339" t="n">
        <ns0:v>1</ns0:v>
      </ns0:c>
      <ns0:c r="M339" t="n">
        <ns0:v>67243</ns0:v>
      </ns0:c>
      <ns0:c r="N339" t="n">
        <ns0:v>605</ns0:v>
      </ns0:c>
      <ns0:c r="O339" t="n">
        <ns0:v>67848</ns0:v>
      </ns0:c>
      <ns0:c r="P339" t="n">
        <ns0:v>7</ns0:v>
      </ns0:c>
      <ns0:c r="Q339">
        <ns0:f>IF(AND(L339=1,O339*Calculations!$B$2&lt;=Calculations!$B$10*Calculations!$B$4),1,0)</ns0:f>
        <ns0:v>0</ns0:v>
      </ns0:c>
      <ns0:c r="R339">
        <ns0:f>IF(AND(L339=1,O339*Calculations!$B$2&lt;=Calculations!$B$11*Calculations!$B$4),1,0)</ns0:f>
        <ns0:v>0</ns0:v>
      </ns0:c>
    </ns0:row>
    <ns0:row r="340">
      <ns0:c r="A340" t="inlineStr">
        <ns0:is>
          <ns0:t>case_0339</ns0:t>
        </ns0:is>
      </ns0:c>
      <ns0:c r="B340" t="inlineStr">
        <ns0:is>
          <ns0:t>function_0058</ns0:t>
        </ns0:is>
      </ns0:c>
      <ns0:c r="C340" t="inlineStr">
        <ns0:is>
          <ns0:t>run_004</ns0:t>
        </ns0:is>
      </ns0:c>
      <ns0:c r="D340" t="inlineStr">
        <ns0:is>
          <ns0:t>humantime</ns0:t>
        </ns0:is>
      </ns0:c>
      <ns0:c r="E340" t="inlineStr">
        <ns0:is>
          <ns0:t>gemini-2.5-flash-thinking</ns0:t>
        </ns0:is>
      </ns0:c>
      <ns0:c r="F340" t="inlineStr">
        <ns0:is>
          <ns0:t>E0599</ns0:t>
        </ns0:is>
      </ns0:c>
      <ns0:c r="G340" t="n">
        <ns0:v>1</ns0:v>
      </ns0:c>
      <ns0:c r="H340" t="n">
        <ns0:v>2006</ns0:v>
      </ns0:c>
      <ns0:c r="I340" t="n">
        <ns0:v>260</ns0:v>
      </ns0:c>
      <ns0:c r="J340" t="n">
        <ns0:v>2266</ns0:v>
      </ns0:c>
      <ns0:c r="K340" t="n">
        <ns0:v>1</ns0:v>
      </ns0:c>
      <ns0:c r="L340" t="n">
        <ns0:v>1</ns0:v>
      </ns0:c>
      <ns0:c r="M340" t="n">
        <ns0:v>51199</ns0:v>
      </ns0:c>
      <ns0:c r="N340" t="n">
        <ns0:v>619</ns0:v>
      </ns0:c>
      <ns0:c r="O340" t="n">
        <ns0:v>51818</ns0:v>
      </ns0:c>
      <ns0:c r="P340" t="n">
        <ns0:v>4</ns0:v>
      </ns0:c>
      <ns0:c r="Q340">
        <ns0:f>IF(AND(L340=1,O340*Calculations!$B$2&lt;=Calculations!$B$10*Calculations!$B$4),1,0)</ns0:f>
        <ns0:v>0</ns0:v>
      </ns0:c>
      <ns0:c r="R340">
        <ns0:f>IF(AND(L340=1,O340*Calculations!$B$2&lt;=Calculations!$B$11*Calculations!$B$4),1,0)</ns0:f>
        <ns0:v>0</ns0:v>
      </ns0:c>
    </ns0:row>
    <ns0:row r="341">
      <ns0:c r="A341" t="inlineStr">
        <ns0:is>
          <ns0:t>case_0340</ns0:t>
        </ns0:is>
      </ns0:c>
      <ns0:c r="B341" t="inlineStr">
        <ns0:is>
          <ns0:t>function_0058</ns0:t>
        </ns0:is>
      </ns0:c>
      <ns0:c r="C341" t="inlineStr">
        <ns0:is>
          <ns0:t>run_004</ns0:t>
        </ns0:is>
      </ns0:c>
      <ns0:c r="D341" t="inlineStr">
        <ns0:is>
          <ns0:t>humantime</ns0:t>
        </ns0:is>
      </ns0:c>
      <ns0:c r="E341" t="inlineStr">
        <ns0:is>
          <ns0:t>gemini-2.5-flash-thinking</ns0:t>
        </ns0:is>
      </ns0:c>
      <ns0:c r="F341" t="inlineStr">
        <ns0:is>
          <ns0:t>E0560</ns0:t>
        </ns0:is>
      </ns0:c>
      <ns0:c r="G341" t="n">
        <ns0:v>1</ns0:v>
      </ns0:c>
      <ns0:c r="H341" t="n">
        <ns0:v>13982</ns0:v>
      </ns0:c>
      <ns0:c r="I341" t="n">
        <ns0:v>1276</ns0:v>
      </ns0:c>
      <ns0:c r="J341" t="n">
        <ns0:v>15258</ns0:v>
      </ns0:c>
      <ns0:c r="K341" t="n">
        <ns0:v>8</ns0:v>
      </ns0:c>
      <ns0:c r="L341" t="n">
        <ns0:v>0</ns0:v>
      </ns0:c>
      <ns0:c r="M341" t="n">
        <ns0:v>157514</ns0:v>
      </ns0:c>
      <ns0:c r="N341" t="n">
        <ns0:v>7374</ns0:v>
      </ns0:c>
      <ns0:c r="O341" t="n">
        <ns0:v>164888</ns0:v>
      </ns0:c>
      <ns0:c r="P341" t="n">
        <ns0:v>9</ns0:v>
      </ns0:c>
      <ns0:c r="Q341">
        <ns0:f>IF(AND(L341=1,O341*Calculations!$B$2&lt;=Calculations!$B$10*Calculations!$B$4),1,0)</ns0:f>
        <ns0:v>0</ns0:v>
      </ns0:c>
      <ns0:c r="R341">
        <ns0:f>IF(AND(L341=1,O341*Calculations!$B$2&lt;=Calculations!$B$11*Calculations!$B$4),1,0)</ns0:f>
        <ns0:v>0</ns0:v>
      </ns0:c>
    </ns0:row>
    <ns0:row r="342">
      <ns0:c r="A342" t="inlineStr">
        <ns0:is>
          <ns0:t>case_0341</ns0:t>
        </ns0:is>
      </ns0:c>
      <ns0:c r="B342" t="inlineStr">
        <ns0:is>
          <ns0:t>function_0058</ns0:t>
        </ns0:is>
      </ns0:c>
      <ns0:c r="C342" t="inlineStr">
        <ns0:is>
          <ns0:t>run_004</ns0:t>
        </ns0:is>
      </ns0:c>
      <ns0:c r="D342" t="inlineStr">
        <ns0:is>
          <ns0:t>humantime</ns0:t>
        </ns0:is>
      </ns0:c>
      <ns0:c r="E342" t="inlineStr">
        <ns0:is>
          <ns0:t>gemini-2.5-flash-thinking</ns0:t>
        </ns0:is>
      </ns0:c>
      <ns0:c r="F342" t="inlineStr">
        <ns0:is>
          <ns0:t>E0433,E0560</ns0:t>
        </ns0:is>
      </ns0:c>
      <ns0:c r="G342" t="n">
        <ns0:v>1</ns0:v>
      </ns0:c>
      <ns0:c r="H342" t="n">
        <ns0:v>10751</ns0:v>
      </ns0:c>
      <ns0:c r="I342" t="n">
        <ns0:v>1066</ns0:v>
      </ns0:c>
      <ns0:c r="J342" t="n">
        <ns0:v>11817</ns0:v>
      </ns0:c>
      <ns0:c r="K342" t="n">
        <ns0:v>6</ns0:v>
      </ns0:c>
      <ns0:c r="L342" t="n">
        <ns0:v>1</ns0:v>
      </ns0:c>
      <ns0:c r="M342" t="n">
        <ns0:v>96258</ns0:v>
      </ns0:c>
      <ns0:c r="N342" t="n">
        <ns0:v>2070</ns0:v>
      </ns0:c>
      <ns0:c r="O342" t="n">
        <ns0:v>98328</ns0:v>
      </ns0:c>
      <ns0:c r="P342" t="n">
        <ns0:v>8</ns0:v>
      </ns0:c>
      <ns0:c r="Q342">
        <ns0:f>IF(AND(L342=1,O342*Calculations!$B$2&lt;=Calculations!$B$10*Calculations!$B$4),1,0)</ns0:f>
        <ns0:v>0</ns0:v>
      </ns0:c>
      <ns0:c r="R342">
        <ns0:f>IF(AND(L342=1,O342*Calculations!$B$2&lt;=Calculations!$B$11*Calculations!$B$4),1,0)</ns0:f>
        <ns0:v>0</ns0:v>
      </ns0:c>
    </ns0:row>
    <ns0:row r="343">
      <ns0:c r="A343" t="inlineStr">
        <ns0:is>
          <ns0:t>case_0342</ns0:t>
        </ns0:is>
      </ns0:c>
      <ns0:c r="B343" t="inlineStr">
        <ns0:is>
          <ns0:t>function_0058</ns0:t>
        </ns0:is>
      </ns0:c>
      <ns0:c r="C343" t="inlineStr">
        <ns0:is>
          <ns0:t>run_004</ns0:t>
        </ns0:is>
      </ns0:c>
      <ns0:c r="D343" t="inlineStr">
        <ns0:is>
          <ns0:t>humantime</ns0:t>
        </ns0:is>
      </ns0:c>
      <ns0:c r="E343" t="inlineStr">
        <ns0:is>
          <ns0:t>gemini-2.5-flash-thinking</ns0:t>
        </ns0:is>
      </ns0:c>
      <ns0:c r="F343" t="inlineStr">
        <ns0:is>
          <ns0:t>E0560,E0609</ns0:t>
        </ns0:is>
      </ns0:c>
      <ns0:c r="G343" t="n">
        <ns0:v>1</ns0:v>
      </ns0:c>
      <ns0:c r="H343" t="n">
        <ns0:v>12563</ns0:v>
      </ns0:c>
      <ns0:c r="I343" t="n">
        <ns0:v>950</ns0:v>
      </ns0:c>
      <ns0:c r="J343" t="n">
        <ns0:v>13513</ns0:v>
      </ns0:c>
      <ns0:c r="K343" t="n">
        <ns0:v>7</ns0:v>
      </ns0:c>
      <ns0:c r="L343" t="n">
        <ns0:v>0</ns0:v>
      </ns0:c>
      <ns0:c r="M343" t="n">
        <ns0:v>333836</ns0:v>
      </ns0:c>
      <ns0:c r="N343" t="n">
        <ns0:v>9480</ns0:v>
      </ns0:c>
      <ns0:c r="O343" t="n">
        <ns0:v>343316</ns0:v>
      </ns0:c>
      <ns0:c r="P343" t="n">
        <ns0:v>23</ns0:v>
      </ns0:c>
      <ns0:c r="Q343">
        <ns0:f>IF(AND(L343=1,O343*Calculations!$B$2&lt;=Calculations!$B$10*Calculations!$B$4),1,0)</ns0:f>
        <ns0:v>0</ns0:v>
      </ns0:c>
      <ns0:c r="R343">
        <ns0:f>IF(AND(L343=1,O343*Calculations!$B$2&lt;=Calculations!$B$11*Calculations!$B$4),1,0)</ns0:f>
        <ns0:v>0</ns0:v>
      </ns0:c>
    </ns0:row>
    <ns0:row r="344">
      <ns0:c r="A344" t="inlineStr">
        <ns0:is>
          <ns0:t>case_0343</ns0:t>
        </ns0:is>
      </ns0:c>
      <ns0:c r="B344" t="inlineStr">
        <ns0:is>
          <ns0:t>function_0058</ns0:t>
        </ns0:is>
      </ns0:c>
      <ns0:c r="C344" t="inlineStr">
        <ns0:is>
          <ns0:t>run_004</ns0:t>
        </ns0:is>
      </ns0:c>
      <ns0:c r="D344" t="inlineStr">
        <ns0:is>
          <ns0:t>humantime</ns0:t>
        </ns0:is>
      </ns0:c>
      <ns0:c r="E344" t="inlineStr">
        <ns0:is>
          <ns0:t>gemini-2.5-flash-thinking</ns0:t>
        </ns0:is>
      </ns0:c>
      <ns0:c r="F344" t="inlineStr">
        <ns0:is>
          <ns0:t>E0107,E0599</ns0:t>
        </ns0:is>
      </ns0:c>
      <ns0:c r="G344" t="n">
        <ns0:v>0</ns0:v>
      </ns0:c>
      <ns0:c r="H344" t="n">
        <ns0:v>31995</ns0:v>
      </ns0:c>
      <ns0:c r="I344" t="n">
        <ns0:v>1983</ns0:v>
      </ns0:c>
      <ns0:c r="J344" t="n">
        <ns0:v>33978</ns0:v>
      </ns0:c>
      <ns0:c r="K344" t="n">
        <ns0:v>15</ns0:v>
      </ns0:c>
      <ns0:c r="L344" t="n">
        <ns0:v>1</ns0:v>
      </ns0:c>
      <ns0:c r="M344" t="n">
        <ns0:v>198400</ns0:v>
      </ns0:c>
      <ns0:c r="N344" t="n">
        <ns0:v>2539</ns0:v>
      </ns0:c>
      <ns0:c r="O344" t="n">
        <ns0:v>200939</ns0:v>
      </ns0:c>
      <ns0:c r="P344" t="n">
        <ns0:v>13</ns0:v>
      </ns0:c>
      <ns0:c r="Q344">
        <ns0:f>IF(AND(L344=1,O344*Calculations!$B$2&lt;=Calculations!$B$10*Calculations!$B$4),1,0)</ns0:f>
        <ns0:v>0</ns0:v>
      </ns0:c>
      <ns0:c r="R344">
        <ns0:f>IF(AND(L344=1,O344*Calculations!$B$2&lt;=Calculations!$B$11*Calculations!$B$4),1,0)</ns0:f>
        <ns0:v>0</ns0:v>
      </ns0:c>
    </ns0:row>
    <ns0:row r="345">
      <ns0:c r="A345" t="inlineStr">
        <ns0:is>
          <ns0:t>case_0344</ns0:t>
        </ns0:is>
      </ns0:c>
      <ns0:c r="B345" t="inlineStr">
        <ns0:is>
          <ns0:t>function_0058</ns0:t>
        </ns0:is>
      </ns0:c>
      <ns0:c r="C345" t="inlineStr">
        <ns0:is>
          <ns0:t>run_004</ns0:t>
        </ns0:is>
      </ns0:c>
      <ns0:c r="D345" t="inlineStr">
        <ns0:is>
          <ns0:t>humantime</ns0:t>
        </ns0:is>
      </ns0:c>
      <ns0:c r="E345" t="inlineStr">
        <ns0:is>
          <ns0:t>gemini-2.5-flash-thinking</ns0:t>
        </ns0:is>
      </ns0:c>
      <ns0:c r="F345" t="inlineStr">
        <ns0:is>
          <ns0:t>E0599</ns0:t>
        </ns0:is>
      </ns0:c>
      <ns0:c r="G345" t="n">
        <ns0:v>0</ns0:v>
      </ns0:c>
      <ns0:c r="H345" t="n">
        <ns0:v>24164</ns0:v>
      </ns0:c>
      <ns0:c r="I345" t="n">
        <ns0:v>1589</ns0:v>
      </ns0:c>
      <ns0:c r="J345" t="n">
        <ns0:v>25753</ns0:v>
      </ns0:c>
      <ns0:c r="K345" t="n">
        <ns0:v>13</ns0:v>
      </ns0:c>
      <ns0:c r="L345" t="n">
        <ns0:v>0</ns0:v>
      </ns0:c>
      <ns0:c r="M345" t="n">
        <ns0:v>34928</ns0:v>
      </ns0:c>
      <ns0:c r="N345" t="n">
        <ns0:v>436</ns0:v>
      </ns0:c>
      <ns0:c r="O345" t="n">
        <ns0:v>35364</ns0:v>
      </ns0:c>
      <ns0:c r="P345" t="n">
        <ns0:v>4</ns0:v>
      </ns0:c>
      <ns0:c r="Q345">
        <ns0:f>IF(AND(L345=1,O345*Calculations!$B$2&lt;=Calculations!$B$10*Calculations!$B$4),1,0)</ns0:f>
        <ns0:v>0</ns0:v>
      </ns0:c>
      <ns0:c r="R345">
        <ns0:f>IF(AND(L345=1,O345*Calculations!$B$2&lt;=Calculations!$B$11*Calculations!$B$4),1,0)</ns0:f>
        <ns0:v>0</ns0:v>
      </ns0:c>
    </ns0:row>
    <ns0:row r="346">
      <ns0:c r="A346" t="inlineStr">
        <ns0:is>
          <ns0:t>case_0345</ns0:t>
        </ns0:is>
      </ns0:c>
      <ns0:c r="B346" t="inlineStr">
        <ns0:is>
          <ns0:t>function_0058</ns0:t>
        </ns0:is>
      </ns0:c>
      <ns0:c r="C346" t="inlineStr">
        <ns0:is>
          <ns0:t>run_004</ns0:t>
        </ns0:is>
      </ns0:c>
      <ns0:c r="D346" t="inlineStr">
        <ns0:is>
          <ns0:t>humantime</ns0:t>
        </ns0:is>
      </ns0:c>
      <ns0:c r="E346" t="inlineStr">
        <ns0:is>
          <ns0:t>gemini-2.5-flash-thinking</ns0:t>
        </ns0:is>
      </ns0:c>
      <ns0:c r="F346" t="inlineStr">
        <ns0:is>
          <ns0:t>E0599</ns0:t>
        </ns0:is>
      </ns0:c>
      <ns0:c r="G346" t="n">
        <ns0:v>0</ns0:v>
      </ns0:c>
      <ns0:c r="H346" t="n">
        <ns0:v>22453</ns0:v>
      </ns0:c>
      <ns0:c r="I346" t="n">
        <ns0:v>1425</ns0:v>
      </ns0:c>
      <ns0:c r="J346" t="n">
        <ns0:v>23878</ns0:v>
      </ns0:c>
      <ns0:c r="K346" t="n">
        <ns0:v>12</ns0:v>
      </ns0:c>
      <ns0:c r="L346" t="n">
        <ns0:v>0</ns0:v>
      </ns0:c>
      <ns0:c r="M346" t="n">
        <ns0:v>59809</ns0:v>
      </ns0:c>
      <ns0:c r="N346" t="n">
        <ns0:v>463</ns0:v>
      </ns0:c>
      <ns0:c r="O346" t="n">
        <ns0:v>60272</ns0:v>
      </ns0:c>
      <ns0:c r="P346" t="n">
        <ns0:v>4</ns0:v>
      </ns0:c>
      <ns0:c r="Q346">
        <ns0:f>IF(AND(L346=1,O346*Calculations!$B$2&lt;=Calculations!$B$10*Calculations!$B$4),1,0)</ns0:f>
        <ns0:v>0</ns0:v>
      </ns0:c>
      <ns0:c r="R346">
        <ns0:f>IF(AND(L346=1,O346*Calculations!$B$2&lt;=Calculations!$B$11*Calculations!$B$4),1,0)</ns0:f>
        <ns0:v>0</ns0:v>
      </ns0:c>
    </ns0:row>
    <ns0:row r="347">
      <ns0:c r="A347" t="inlineStr">
        <ns0:is>
          <ns0:t>case_0346</ns0:t>
        </ns0:is>
      </ns0:c>
      <ns0:c r="B347" t="inlineStr">
        <ns0:is>
          <ns0:t>function_0058</ns0:t>
        </ns0:is>
      </ns0:c>
      <ns0:c r="C347" t="inlineStr">
        <ns0:is>
          <ns0:t>run_004</ns0:t>
        </ns0:is>
      </ns0:c>
      <ns0:c r="D347" t="inlineStr">
        <ns0:is>
          <ns0:t>humantime</ns0:t>
        </ns0:is>
      </ns0:c>
      <ns0:c r="E347" t="inlineStr">
        <ns0:is>
          <ns0:t>gemini-2.5-flash-thinking</ns0:t>
        </ns0:is>
      </ns0:c>
      <ns0:c r="F347" t="inlineStr">
        <ns0:is>
          <ns0:t>E0560</ns0:t>
        </ns0:is>
      </ns0:c>
      <ns0:c r="G347" t="n">
        <ns0:v>1</ns0:v>
      </ns0:c>
      <ns0:c r="H347" t="n">
        <ns0:v>1741</ns0:v>
      </ns0:c>
      <ns0:c r="I347" t="n">
        <ns0:v>92</ns0:v>
      </ns0:c>
      <ns0:c r="J347" t="n">
        <ns0:v>1833</ns0:v>
      </ns0:c>
      <ns0:c r="K347" t="n">
        <ns0:v>1</ns0:v>
      </ns0:c>
      <ns0:c r="L347" t="n">
        <ns0:v>1</ns0:v>
      </ns0:c>
      <ns0:c r="M347" t="n">
        <ns0:v>50014</ns0:v>
      </ns0:c>
      <ns0:c r="N347" t="n">
        <ns0:v>378</ns0:v>
      </ns0:c>
      <ns0:c r="O347" t="n">
        <ns0:v>50392</ns0:v>
      </ns0:c>
      <ns0:c r="P347" t="n">
        <ns0:v>4</ns0:v>
      </ns0:c>
      <ns0:c r="Q347">
        <ns0:f>IF(AND(L347=1,O347*Calculations!$B$2&lt;=Calculations!$B$10*Calculations!$B$4),1,0)</ns0:f>
        <ns0:v>0</ns0:v>
      </ns0:c>
      <ns0:c r="R347">
        <ns0:f>IF(AND(L347=1,O347*Calculations!$B$2&lt;=Calculations!$B$11*Calculations!$B$4),1,0)</ns0:f>
        <ns0:v>0</ns0:v>
      </ns0:c>
    </ns0:row>
    <ns0:row r="348">
      <ns0:c r="A348" t="inlineStr">
        <ns0:is>
          <ns0:t>case_0347</ns0:t>
        </ns0:is>
      </ns0:c>
      <ns0:c r="B348" t="inlineStr">
        <ns0:is>
          <ns0:t>function_0059</ns0:t>
        </ns0:is>
      </ns0:c>
      <ns0:c r="C348" t="inlineStr">
        <ns0:is>
          <ns0:t>run_004</ns0:t>
        </ns0:is>
      </ns0:c>
      <ns0:c r="D348" t="inlineStr">
        <ns0:is>
          <ns0:t>humantime</ns0:t>
        </ns0:is>
      </ns0:c>
      <ns0:c r="E348" t="inlineStr">
        <ns0:is>
          <ns0:t>gemini-2.5-flash-thinking</ns0:t>
        </ns0:is>
      </ns0:c>
      <ns0:c r="F348" t="inlineStr">
        <ns0:is>
          <ns0:t>E0599</ns0:t>
        </ns0:is>
      </ns0:c>
      <ns0:c r="G348" t="n">
        <ns0:v>1</ns0:v>
      </ns0:c>
      <ns0:c r="H348" t="n">
        <ns0:v>2355</ns0:v>
      </ns0:c>
      <ns0:c r="I348" t="n">
        <ns0:v>461</ns0:v>
      </ns0:c>
      <ns0:c r="J348" t="n">
        <ns0:v>2816</ns0:v>
      </ns0:c>
      <ns0:c r="K348" t="n">
        <ns0:v>1</ns0:v>
      </ns0:c>
      <ns0:c r="L348" t="n">
        <ns0:v>0</ns0:v>
      </ns0:c>
      <ns0:c r="M348" t="n">
        <ns0:v>29596</ns0:v>
      </ns0:c>
      <ns0:c r="N348" t="n">
        <ns0:v>530</ns0:v>
      </ns0:c>
      <ns0:c r="O348" t="n">
        <ns0:v>30126</ns0:v>
      </ns0:c>
      <ns0:c r="P348" t="n">
        <ns0:v>4</ns0:v>
      </ns0:c>
      <ns0:c r="Q348">
        <ns0:f>IF(AND(L348=1,O348*Calculations!$B$2&lt;=Calculations!$B$10*Calculations!$B$4),1,0)</ns0:f>
        <ns0:v>0</ns0:v>
      </ns0:c>
      <ns0:c r="R348">
        <ns0:f>IF(AND(L348=1,O348*Calculations!$B$2&lt;=Calculations!$B$11*Calculations!$B$4),1,0)</ns0:f>
        <ns0:v>0</ns0:v>
      </ns0:c>
    </ns0:row>
    <ns0:row r="349">
      <ns0:c r="A349" t="inlineStr">
        <ns0:is>
          <ns0:t>case_0348</ns0:t>
        </ns0:is>
      </ns0:c>
      <ns0:c r="B349" t="inlineStr">
        <ns0:is>
          <ns0:t>function_0059</ns0:t>
        </ns0:is>
      </ns0:c>
      <ns0:c r="C349" t="inlineStr">
        <ns0:is>
          <ns0:t>run_004</ns0:t>
        </ns0:is>
      </ns0:c>
      <ns0:c r="D349" t="inlineStr">
        <ns0:is>
          <ns0:t>humantime</ns0:t>
        </ns0:is>
      </ns0:c>
      <ns0:c r="E349" t="inlineStr">
        <ns0:is>
          <ns0:t>gemini-2.5-flash-thinking</ns0:t>
        </ns0:is>
      </ns0:c>
      <ns0:c r="F349" t="inlineStr">
        <ns0:is>
          <ns0:t>E0560</ns0:t>
        </ns0:is>
      </ns0:c>
      <ns0:c r="G349" t="n">
        <ns0:v>1</ns0:v>
      </ns0:c>
      <ns0:c r="H349" t="n">
        <ns0:v>2295</ns0:v>
      </ns0:c>
      <ns0:c r="I349" t="n">
        <ns0:v>469</ns0:v>
      </ns0:c>
      <ns0:c r="J349" t="n">
        <ns0:v>2764</ns0:v>
      </ns0:c>
      <ns0:c r="K349" t="n">
        <ns0:v>1</ns0:v>
      </ns0:c>
      <ns0:c r="L349" t="n">
        <ns0:v>1</ns0:v>
      </ns0:c>
      <ns0:c r="M349" t="n">
        <ns0:v>53886</ns0:v>
      </ns0:c>
      <ns0:c r="N349" t="n">
        <ns0:v>841</ns0:v>
      </ns0:c>
      <ns0:c r="O349" t="n">
        <ns0:v>54727</ns0:v>
      </ns0:c>
      <ns0:c r="P349" t="n">
        <ns0:v>7</ns0:v>
      </ns0:c>
      <ns0:c r="Q349">
        <ns0:f>IF(AND(L349=1,O349*Calculations!$B$2&lt;=Calculations!$B$10*Calculations!$B$4),1,0)</ns0:f>
        <ns0:v>0</ns0:v>
      </ns0:c>
      <ns0:c r="R349">
        <ns0:f>IF(AND(L349=1,O349*Calculations!$B$2&lt;=Calculations!$B$11*Calculations!$B$4),1,0)</ns0:f>
        <ns0:v>0</ns0:v>
      </ns0:c>
    </ns0:row>
    <ns0:row r="350">
      <ns0:c r="A350" t="inlineStr">
        <ns0:is>
          <ns0:t>case_0349</ns0:t>
        </ns0:is>
      </ns0:c>
      <ns0:c r="B350" t="inlineStr">
        <ns0:is>
          <ns0:t>function_0059</ns0:t>
        </ns0:is>
      </ns0:c>
      <ns0:c r="C350" t="inlineStr">
        <ns0:is>
          <ns0:t>run_004</ns0:t>
        </ns0:is>
      </ns0:c>
      <ns0:c r="D350" t="inlineStr">
        <ns0:is>
          <ns0:t>humantime</ns0:t>
        </ns0:is>
      </ns0:c>
      <ns0:c r="E350" t="inlineStr">
        <ns0:is>
          <ns0:t>gemini-2.5-flash-thinking</ns0:t>
        </ns0:is>
      </ns0:c>
      <ns0:c r="F350" t="inlineStr">
        <ns0:is>
          <ns0:t>E0308</ns0:t>
        </ns0:is>
      </ns0:c>
      <ns0:c r="G350" t="n">
        <ns0:v>0</ns0:v>
      </ns0:c>
      <ns0:c r="H350" t="n">
        <ns0:v>29613</ns0:v>
      </ns0:c>
      <ns0:c r="I350" t="n">
        <ns0:v>2150</ns0:v>
      </ns0:c>
      <ns0:c r="J350" t="n">
        <ns0:v>31763</ns0:v>
      </ns0:c>
      <ns0:c r="K350" t="n">
        <ns0:v>9</ns0:v>
      </ns0:c>
      <ns0:c r="L350" t="n">
        <ns0:v>1</ns0:v>
      </ns0:c>
      <ns0:c r="M350" t="n">
        <ns0:v>47053</ns0:v>
      </ns0:c>
      <ns0:c r="N350" t="n">
        <ns0:v>686</ns0:v>
      </ns0:c>
      <ns0:c r="O350" t="n">
        <ns0:v>47739</ns0:v>
      </ns0:c>
      <ns0:c r="P350" t="n">
        <ns0:v>4</ns0:v>
      </ns0:c>
      <ns0:c r="Q350">
        <ns0:f>IF(AND(L350=1,O350*Calculations!$B$2&lt;=Calculations!$B$10*Calculations!$B$4),1,0)</ns0:f>
        <ns0:v>0</ns0:v>
      </ns0:c>
      <ns0:c r="R350">
        <ns0:f>IF(AND(L350=1,O350*Calculations!$B$2&lt;=Calculations!$B$11*Calculations!$B$4),1,0)</ns0:f>
        <ns0:v>0</ns0:v>
      </ns0:c>
    </ns0:row>
    <ns0:row r="351">
      <ns0:c r="A351" t="inlineStr">
        <ns0:is>
          <ns0:t>case_0350</ns0:t>
        </ns0:is>
      </ns0:c>
      <ns0:c r="B351" t="inlineStr">
        <ns0:is>
          <ns0:t>function_0059</ns0:t>
        </ns0:is>
      </ns0:c>
      <ns0:c r="C351" t="inlineStr">
        <ns0:is>
          <ns0:t>run_004</ns0:t>
        </ns0:is>
      </ns0:c>
      <ns0:c r="D351" t="inlineStr">
        <ns0:is>
          <ns0:t>humantime</ns0:t>
        </ns0:is>
      </ns0:c>
      <ns0:c r="E351" t="inlineStr">
        <ns0:is>
          <ns0:t>gemini-2.5-flash-thinking</ns0:t>
        </ns0:is>
      </ns0:c>
      <ns0:c r="F351" t="inlineStr">
        <ns0:is>
          <ns0:t>E0308,E0560,E0599</ns0:t>
        </ns0:is>
      </ns0:c>
      <ns0:c r="G351" t="n">
        <ns0:v>0</ns0:v>
      </ns0:c>
      <ns0:c r="H351" t="n">
        <ns0:v>12397</ns0:v>
      </ns0:c>
      <ns0:c r="I351" t="n">
        <ns0:v>6062</ns0:v>
      </ns0:c>
      <ns0:c r="J351" t="n">
        <ns0:v>18459</ns0:v>
      </ns0:c>
      <ns0:c r="K351" t="n">
        <ns0:v>3</ns0:v>
      </ns0:c>
      <ns0:c r="L351" t="n">
        <ns0:v>1</ns0:v>
      </ns0:c>
      <ns0:c r="M351" t="n">
        <ns0:v>169756</ns0:v>
      </ns0:c>
      <ns0:c r="N351" t="n">
        <ns0:v>4403</ns0:v>
      </ns0:c>
      <ns0:c r="O351" t="n">
        <ns0:v>174159</ns0:v>
      </ns0:c>
      <ns0:c r="P351" t="n">
        <ns0:v>10</ns0:v>
      </ns0:c>
      <ns0:c r="Q351">
        <ns0:f>IF(AND(L351=1,O351*Calculations!$B$2&lt;=Calculations!$B$10*Calculations!$B$4),1,0)</ns0:f>
        <ns0:v>0</ns0:v>
      </ns0:c>
      <ns0:c r="R351">
        <ns0:f>IF(AND(L351=1,O351*Calculations!$B$2&lt;=Calculations!$B$11*Calculations!$B$4),1,0)</ns0:f>
        <ns0:v>0</ns0:v>
      </ns0:c>
    </ns0:row>
    <ns0:row r="352">
      <ns0:c r="A352" t="inlineStr">
        <ns0:is>
          <ns0:t>case_0351</ns0:t>
        </ns0:is>
      </ns0:c>
      <ns0:c r="B352" t="inlineStr">
        <ns0:is>
          <ns0:t>function_0059</ns0:t>
        </ns0:is>
      </ns0:c>
      <ns0:c r="C352" t="inlineStr">
        <ns0:is>
          <ns0:t>run_004</ns0:t>
        </ns0:is>
      </ns0:c>
      <ns0:c r="D352" t="inlineStr">
        <ns0:is>
          <ns0:t>humantime</ns0:t>
        </ns0:is>
      </ns0:c>
      <ns0:c r="E352" t="inlineStr">
        <ns0:is>
          <ns0:t>gemini-2.5-flash-thinking</ns0:t>
        </ns0:is>
      </ns0:c>
      <ns0:c r="F352" t="inlineStr">
        <ns0:is>
          <ns0:t>E0599</ns0:t>
        </ns0:is>
      </ns0:c>
      <ns0:c r="G352" t="n">
        <ns0:v>0</ns0:v>
      </ns0:c>
      <ns0:c r="H352" t="n">
        <ns0:v>7799</ns0:v>
      </ns0:c>
      <ns0:c r="I352" t="n">
        <ns0:v>1455</ns0:v>
      </ns0:c>
      <ns0:c r="J352" t="n">
        <ns0:v>9254</ns0:v>
      </ns0:c>
      <ns0:c r="K352" t="n">
        <ns0:v>3</ns0:v>
      </ns0:c>
      <ns0:c r="L352" t="n">
        <ns0:v>1</ns0:v>
      </ns0:c>
      <ns0:c r="M352" t="n">
        <ns0:v>23305</ns0:v>
      </ns0:c>
      <ns0:c r="N352" t="n">
        <ns0:v>841</ns0:v>
      </ns0:c>
      <ns0:c r="O352" t="n">
        <ns0:v>24146</ns0:v>
      </ns0:c>
      <ns0:c r="P352" t="n">
        <ns0:v>3</ns0:v>
      </ns0:c>
      <ns0:c r="Q352">
        <ns0:f>IF(AND(L352=1,O352*Calculations!$B$2&lt;=Calculations!$B$10*Calculations!$B$4),1,0)</ns0:f>
        <ns0:v>0</ns0:v>
      </ns0:c>
      <ns0:c r="R352">
        <ns0:f>IF(AND(L352=1,O352*Calculations!$B$2&lt;=Calculations!$B$11*Calculations!$B$4),1,0)</ns0:f>
        <ns0:v>1</ns0:v>
      </ns0:c>
    </ns0:row>
    <ns0:row r="353">
      <ns0:c r="A353" t="inlineStr">
        <ns0:is>
          <ns0:t>case_0352</ns0:t>
        </ns0:is>
      </ns0:c>
      <ns0:c r="B353" t="inlineStr">
        <ns0:is>
          <ns0:t>function_0059</ns0:t>
        </ns0:is>
      </ns0:c>
      <ns0:c r="C353" t="inlineStr">
        <ns0:is>
          <ns0:t>run_004</ns0:t>
        </ns0:is>
      </ns0:c>
      <ns0:c r="D353" t="inlineStr">
        <ns0:is>
          <ns0:t>humantime</ns0:t>
        </ns0:is>
      </ns0:c>
      <ns0:c r="E353" t="inlineStr">
        <ns0:is>
          <ns0:t>gemini-2.5-flash-thinking</ns0:t>
        </ns0:is>
      </ns0:c>
      <ns0:c r="F353" t="inlineStr">
        <ns0:is>
          <ns0:t>E0560</ns0:t>
        </ns0:is>
      </ns0:c>
      <ns0:c r="G353" t="n">
        <ns0:v>1</ns0:v>
      </ns0:c>
      <ns0:c r="H353" t="n">
        <ns0:v>2203</ns0:v>
      </ns0:c>
      <ns0:c r="I353" t="n">
        <ns0:v>433</ns0:v>
      </ns0:c>
      <ns0:c r="J353" t="n">
        <ns0:v>2636</ns0:v>
      </ns0:c>
      <ns0:c r="K353" t="n">
        <ns0:v>1</ns0:v>
      </ns0:c>
      <ns0:c r="L353" t="n">
        <ns0:v>1</ns0:v>
      </ns0:c>
      <ns0:c r="M353" t="n">
        <ns0:v>28665</ns0:v>
      </ns0:c>
      <ns0:c r="N353" t="n">
        <ns0:v>435</ns0:v>
      </ns0:c>
      <ns0:c r="O353" t="n">
        <ns0:v>29100</ns0:v>
      </ns0:c>
      <ns0:c r="P353" t="n">
        <ns0:v>4</ns0:v>
      </ns0:c>
      <ns0:c r="Q353">
        <ns0:f>IF(AND(L353=1,O353*Calculations!$B$2&lt;=Calculations!$B$10*Calculations!$B$4),1,0)</ns0:f>
        <ns0:v>0</ns0:v>
      </ns0:c>
      <ns0:c r="R353">
        <ns0:f>IF(AND(L353=1,O353*Calculations!$B$2&lt;=Calculations!$B$11*Calculations!$B$4),1,0)</ns0:f>
        <ns0:v>1</ns0:v>
      </ns0:c>
    </ns0:row>
    <ns0:row r="354">
      <ns0:c r="A354" t="inlineStr">
        <ns0:is>
          <ns0:t>case_0353</ns0:t>
        </ns0:is>
      </ns0:c>
      <ns0:c r="B354" t="inlineStr">
        <ns0:is>
          <ns0:t>function_0059</ns0:t>
        </ns0:is>
      </ns0:c>
      <ns0:c r="C354" t="inlineStr">
        <ns0:is>
          <ns0:t>run_004</ns0:t>
        </ns0:is>
      </ns0:c>
      <ns0:c r="D354" t="inlineStr">
        <ns0:is>
          <ns0:t>humantime</ns0:t>
        </ns0:is>
      </ns0:c>
      <ns0:c r="E354" t="inlineStr">
        <ns0:is>
          <ns0:t>gemini-2.5-flash-thinking</ns0:t>
        </ns0:is>
      </ns0:c>
      <ns0:c r="F354" t="inlineStr">
        <ns0:is>
          <ns0:t>E0063</ns0:t>
        </ns0:is>
      </ns0:c>
      <ns0:c r="G354" t="n">
        <ns0:v>1</ns0:v>
      </ns0:c>
      <ns0:c r="H354" t="n">
        <ns0:v>2290</ns0:v>
      </ns0:c>
      <ns0:c r="I354" t="n">
        <ns0:v>535</ns0:v>
      </ns0:c>
      <ns0:c r="J354" t="n">
        <ns0:v>2825</ns0:v>
      </ns0:c>
      <ns0:c r="K354" t="n">
        <ns0:v>1</ns0:v>
      </ns0:c>
      <ns0:c r="L354" t="n">
        <ns0:v>1</ns0:v>
      </ns0:c>
      <ns0:c r="M354" t="n">
        <ns0:v>57116</ns0:v>
      </ns0:c>
      <ns0:c r="N354" t="n">
        <ns0:v>394</ns0:v>
      </ns0:c>
      <ns0:c r="O354" t="n">
        <ns0:v>57510</ns0:v>
      </ns0:c>
      <ns0:c r="P354" t="n">
        <ns0:v>4</ns0:v>
      </ns0:c>
      <ns0:c r="Q354">
        <ns0:f>IF(AND(L354=1,O354*Calculations!$B$2&lt;=Calculations!$B$10*Calculations!$B$4),1,0)</ns0:f>
        <ns0:v>0</ns0:v>
      </ns0:c>
      <ns0:c r="R354">
        <ns0:f>IF(AND(L354=1,O354*Calculations!$B$2&lt;=Calculations!$B$11*Calculations!$B$4),1,0)</ns0:f>
        <ns0:v>0</ns0:v>
      </ns0:c>
    </ns0:row>
    <ns0:row r="355">
      <ns0:c r="A355" t="inlineStr">
        <ns0:is>
          <ns0:t>case_0354</ns0:t>
        </ns0:is>
      </ns0:c>
      <ns0:c r="B355" t="inlineStr">
        <ns0:is>
          <ns0:t>function_0059</ns0:t>
        </ns0:is>
      </ns0:c>
      <ns0:c r="C355" t="inlineStr">
        <ns0:is>
          <ns0:t>run_004</ns0:t>
        </ns0:is>
      </ns0:c>
      <ns0:c r="D355" t="inlineStr">
        <ns0:is>
          <ns0:t>humantime</ns0:t>
        </ns0:is>
      </ns0:c>
      <ns0:c r="E355" t="inlineStr">
        <ns0:is>
          <ns0:t>gemini-2.5-flash-thinking</ns0:t>
        </ns0:is>
      </ns0:c>
      <ns0:c r="F355" t="inlineStr">
        <ns0:is>
          <ns0:t>E0433,E0560</ns0:t>
        </ns0:is>
      </ns0:c>
      <ns0:c r="G355" t="n">
        <ns0:v>1</ns0:v>
      </ns0:c>
      <ns0:c r="H355" t="n">
        <ns0:v>2134</ns0:v>
      </ns0:c>
      <ns0:c r="I355" t="n">
        <ns0:v>334</ns0:v>
      </ns0:c>
      <ns0:c r="J355" t="n">
        <ns0:v>2468</ns0:v>
      </ns0:c>
      <ns0:c r="K355" t="n">
        <ns0:v>1</ns0:v>
      </ns0:c>
      <ns0:c r="L355" t="n">
        <ns0:v>1</ns0:v>
      </ns0:c>
      <ns0:c r="M355" t="n">
        <ns0:v>22996</ns0:v>
      </ns0:c>
      <ns0:c r="N355" t="n">
        <ns0:v>941</ns0:v>
      </ns0:c>
      <ns0:c r="O355" t="n">
        <ns0:v>23937</ns0:v>
      </ns0:c>
      <ns0:c r="P355" t="n">
        <ns0:v>3</ns0:v>
      </ns0:c>
      <ns0:c r="Q355">
        <ns0:f>IF(AND(L355=1,O355*Calculations!$B$2&lt;=Calculations!$B$10*Calculations!$B$4),1,0)</ns0:f>
        <ns0:v>0</ns0:v>
      </ns0:c>
      <ns0:c r="R355">
        <ns0:f>IF(AND(L355=1,O355*Calculations!$B$2&lt;=Calculations!$B$11*Calculations!$B$4),1,0)</ns0:f>
        <ns0:v>1</ns0:v>
      </ns0:c>
    </ns0:row>
    <ns0:row r="356">
      <ns0:c r="A356" t="inlineStr">
        <ns0:is>
          <ns0:t>case_0355</ns0:t>
        </ns0:is>
      </ns0:c>
      <ns0:c r="B356" t="inlineStr">
        <ns0:is>
          <ns0:t>function_0059</ns0:t>
        </ns0:is>
      </ns0:c>
      <ns0:c r="C356" t="inlineStr">
        <ns0:is>
          <ns0:t>run_004</ns0:t>
        </ns0:is>
      </ns0:c>
      <ns0:c r="D356" t="inlineStr">
        <ns0:is>
          <ns0:t>humantime</ns0:t>
        </ns0:is>
      </ns0:c>
      <ns0:c r="E356" t="inlineStr">
        <ns0:is>
          <ns0:t>gemini-2.5-flash-thinking</ns0:t>
        </ns0:is>
      </ns0:c>
      <ns0:c r="F356" t="inlineStr">
        <ns0:is>
          <ns0:t>E0433,E0560</ns0:t>
        </ns0:is>
      </ns0:c>
      <ns0:c r="G356" t="n">
        <ns0:v>1</ns0:v>
      </ns0:c>
      <ns0:c r="H356" t="n">
        <ns0:v>2473</ns0:v>
      </ns0:c>
      <ns0:c r="I356" t="n">
        <ns0:v>479</ns0:v>
      </ns0:c>
      <ns0:c r="J356" t="n">
        <ns0:v>2952</ns0:v>
      </ns0:c>
      <ns0:c r="K356" t="n">
        <ns0:v>1</ns0:v>
      </ns0:c>
      <ns0:c r="L356" t="n">
        <ns0:v>1</ns0:v>
      </ns0:c>
      <ns0:c r="M356" t="n">
        <ns0:v>209548</ns0:v>
      </ns0:c>
      <ns0:c r="N356" t="n">
        <ns0:v>1169</ns0:v>
      </ns0:c>
      <ns0:c r="O356" t="n">
        <ns0:v>210717</ns0:v>
      </ns0:c>
      <ns0:c r="P356" t="n">
        <ns0:v>12</ns0:v>
      </ns0:c>
      <ns0:c r="Q356">
        <ns0:f>IF(AND(L356=1,O356*Calculations!$B$2&lt;=Calculations!$B$10*Calculations!$B$4),1,0)</ns0:f>
        <ns0:v>0</ns0:v>
      </ns0:c>
      <ns0:c r="R356">
        <ns0:f>IF(AND(L356=1,O356*Calculations!$B$2&lt;=Calculations!$B$11*Calculations!$B$4),1,0)</ns0:f>
        <ns0:v>0</ns0:v>
      </ns0:c>
    </ns0:row>
    <ns0:row r="357">
      <ns0:c r="A357" t="inlineStr">
        <ns0:is>
          <ns0:t>case_0356</ns0:t>
        </ns0:is>
      </ns0:c>
      <ns0:c r="B357" t="inlineStr">
        <ns0:is>
          <ns0:t>function_0059</ns0:t>
        </ns0:is>
      </ns0:c>
      <ns0:c r="C357" t="inlineStr">
        <ns0:is>
          <ns0:t>run_004</ns0:t>
        </ns0:is>
      </ns0:c>
      <ns0:c r="D357" t="inlineStr">
        <ns0:is>
          <ns0:t>humantime</ns0:t>
        </ns0:is>
      </ns0:c>
      <ns0:c r="E357" t="inlineStr">
        <ns0:is>
          <ns0:t>gemini-2.5-flash-thinking</ns0:t>
        </ns0:is>
      </ns0:c>
      <ns0:c r="F357" t="inlineStr">
        <ns0:is>
          <ns0:t>E0433,E0560,E0599</ns0:t>
        </ns0:is>
      </ns0:c>
      <ns0:c r="G357" t="n">
        <ns0:v>0</ns0:v>
      </ns0:c>
      <ns0:c r="H357" t="n">
        <ns0:v>18336</ns0:v>
      </ns0:c>
      <ns0:c r="I357" t="n">
        <ns0:v>2268</ns0:v>
      </ns0:c>
      <ns0:c r="J357" t="n">
        <ns0:v>20604</ns0:v>
      </ns0:c>
      <ns0:c r="K357" t="n">
        <ns0:v>8</ns0:v>
      </ns0:c>
      <ns0:c r="L357" t="n">
        <ns0:v>1</ns0:v>
      </ns0:c>
      <ns0:c r="M357" t="n">
        <ns0:v>182009</ns0:v>
      </ns0:c>
      <ns0:c r="N357" t="n">
        <ns0:v>1625</ns0:v>
      </ns0:c>
      <ns0:c r="O357" t="n">
        <ns0:v>183634</ns0:v>
      </ns0:c>
      <ns0:c r="P357" t="n">
        <ns0:v>9</ns0:v>
      </ns0:c>
      <ns0:c r="Q357">
        <ns0:f>IF(AND(L357=1,O357*Calculations!$B$2&lt;=Calculations!$B$10*Calculations!$B$4),1,0)</ns0:f>
        <ns0:v>0</ns0:v>
      </ns0:c>
      <ns0:c r="R357">
        <ns0:f>IF(AND(L357=1,O357*Calculations!$B$2&lt;=Calculations!$B$11*Calculations!$B$4),1,0)</ns0:f>
        <ns0:v>0</ns0:v>
      </ns0:c>
    </ns0:row>
    <ns0:row r="358">
      <ns0:c r="A358" t="inlineStr">
        <ns0:is>
          <ns0:t>case_0357</ns0:t>
        </ns0:is>
      </ns0:c>
      <ns0:c r="B358" t="inlineStr">
        <ns0:is>
          <ns0:t>function_0059</ns0:t>
        </ns0:is>
      </ns0:c>
      <ns0:c r="C358" t="inlineStr">
        <ns0:is>
          <ns0:t>run_004</ns0:t>
        </ns0:is>
      </ns0:c>
      <ns0:c r="D358" t="inlineStr">
        <ns0:is>
          <ns0:t>humantime</ns0:t>
        </ns0:is>
      </ns0:c>
      <ns0:c r="E358" t="inlineStr">
        <ns0:is>
          <ns0:t>gemini-2.5-flash-thinking</ns0:t>
        </ns0:is>
      </ns0:c>
      <ns0:c r="F358" t="inlineStr">
        <ns0:is>
          <ns0:t>E0432,E0433,E0560</ns0:t>
        </ns0:is>
      </ns0:c>
      <ns0:c r="G358" t="n">
        <ns0:v>0</ns0:v>
      </ns0:c>
      <ns0:c r="H358" t="n">
        <ns0:v>7143</ns0:v>
      </ns0:c>
      <ns0:c r="I358" t="n">
        <ns0:v>787</ns0:v>
      </ns0:c>
      <ns0:c r="J358" t="n">
        <ns0:v>7930</ns0:v>
      </ns0:c>
      <ns0:c r="K358" t="n">
        <ns0:v>3</ns0:v>
      </ns0:c>
      <ns0:c r="L358" t="n">
        <ns0:v>1</ns0:v>
      </ns0:c>
      <ns0:c r="M358" t="n">
        <ns0:v>115878</ns0:v>
      </ns0:c>
      <ns0:c r="N358" t="n">
        <ns0:v>1715</ns0:v>
      </ns0:c>
      <ns0:c r="O358" t="n">
        <ns0:v>117593</ns0:v>
      </ns0:c>
      <ns0:c r="P358" t="n">
        <ns0:v>11</ns0:v>
      </ns0:c>
      <ns0:c r="Q358">
        <ns0:f>IF(AND(L358=1,O358*Calculations!$B$2&lt;=Calculations!$B$10*Calculations!$B$4),1,0)</ns0:f>
        <ns0:v>0</ns0:v>
      </ns0:c>
      <ns0:c r="R358">
        <ns0:f>IF(AND(L358=1,O358*Calculations!$B$2&lt;=Calculations!$B$11*Calculations!$B$4),1,0)</ns0:f>
        <ns0:v>0</ns0:v>
      </ns0:c>
    </ns0:row>
    <ns0:row r="359">
      <ns0:c r="A359" t="inlineStr">
        <ns0:is>
          <ns0:t>case_0358</ns0:t>
        </ns0:is>
      </ns0:c>
      <ns0:c r="B359" t="inlineStr">
        <ns0:is>
          <ns0:t>function_0059</ns0:t>
        </ns0:is>
      </ns0:c>
      <ns0:c r="C359" t="inlineStr">
        <ns0:is>
          <ns0:t>run_004</ns0:t>
        </ns0:is>
      </ns0:c>
      <ns0:c r="D359" t="inlineStr">
        <ns0:is>
          <ns0:t>humantime</ns0:t>
        </ns0:is>
      </ns0:c>
      <ns0:c r="E359" t="inlineStr">
        <ns0:is>
          <ns0:t>gemini-2.5-flash-thinking</ns0:t>
        </ns0:is>
      </ns0:c>
      <ns0:c r="F359" t="inlineStr">
        <ns0:is>
          <ns0:t>E0599</ns0:t>
        </ns0:is>
      </ns0:c>
      <ns0:c r="G359" t="n">
        <ns0:v>1</ns0:v>
      </ns0:c>
      <ns0:c r="H359" t="n">
        <ns0:v>2210</ns0:v>
      </ns0:c>
      <ns0:c r="I359" t="n">
        <ns0:v>344</ns0:v>
      </ns0:c>
      <ns0:c r="J359" t="n">
        <ns0:v>2554</ns0:v>
      </ns0:c>
      <ns0:c r="K359" t="n">
        <ns0:v>1</ns0:v>
      </ns0:c>
      <ns0:c r="L359" t="n">
        <ns0:v>0</ns0:v>
      </ns0:c>
      <ns0:c r="M359" t="n">
        <ns0:v>55117</ns0:v>
      </ns0:c>
      <ns0:c r="N359" t="n">
        <ns0:v>793</ns0:v>
      </ns0:c>
      <ns0:c r="O359" t="n">
        <ns0:v>55910</ns0:v>
      </ns0:c>
      <ns0:c r="P359" t="n">
        <ns0:v>7</ns0:v>
      </ns0:c>
      <ns0:c r="Q359">
        <ns0:f>IF(AND(L359=1,O359*Calculations!$B$2&lt;=Calculations!$B$10*Calculations!$B$4),1,0)</ns0:f>
        <ns0:v>0</ns0:v>
      </ns0:c>
      <ns0:c r="R359">
        <ns0:f>IF(AND(L359=1,O359*Calculations!$B$2&lt;=Calculations!$B$11*Calculations!$B$4),1,0)</ns0:f>
        <ns0:v>0</ns0:v>
      </ns0:c>
    </ns0:row>
    <ns0:row r="360">
      <ns0:c r="A360" t="inlineStr">
        <ns0:is>
          <ns0:t>case_0359</ns0:t>
        </ns0:is>
      </ns0:c>
      <ns0:c r="B360" t="inlineStr">
        <ns0:is>
          <ns0:t>function_0060</ns0:t>
        </ns0:is>
      </ns0:c>
      <ns0:c r="C360" t="inlineStr">
        <ns0:is>
          <ns0:t>run_005</ns0:t>
        </ns0:is>
      </ns0:c>
      <ns0:c r="D360" t="inlineStr">
        <ns0:is>
          <ns0:t>humantime</ns0:t>
        </ns0:is>
      </ns0:c>
      <ns0:c r="E360" t="inlineStr">
        <ns0:is>
          <ns0:t>gpt-3.5-turbo</ns0:t>
        </ns0:is>
      </ns0:c>
      <ns0:c r="F360" t="inlineStr">
        <ns0:is>
          <ns0:t>E0433</ns0:t>
        </ns0:is>
      </ns0:c>
      <ns0:c r="G360" t="n">
        <ns0:v>1</ns0:v>
      </ns0:c>
      <ns0:c r="H360" t="n">
        <ns0:v>0</ns0:v>
      </ns0:c>
      <ns0:c r="I360" t="n">
        <ns0:v>0</ns0:v>
      </ns0:c>
      <ns0:c r="J360" t="n">
        <ns0:v>0</ns0:v>
      </ns0:c>
      <ns0:c r="K360" t="n">
        <ns0:v>0</ns0:v>
      </ns0:c>
      <ns0:c r="L360" t="n">
        <ns0:v>1</ns0:v>
      </ns0:c>
      <ns0:c r="M360" t="n">
        <ns0:v>27711</ns0:v>
      </ns0:c>
      <ns0:c r="N360" t="n">
        <ns0:v>1256</ns0:v>
      </ns0:c>
      <ns0:c r="O360" t="n">
        <ns0:v>28967</ns0:v>
      </ns0:c>
      <ns0:c r="P360" t="n">
        <ns0:v>4</ns0:v>
      </ns0:c>
      <ns0:c r="Q360">
        <ns0:f>IF(AND(L360=1,O360*Calculations!$B$2&lt;=Calculations!$B$10*Calculations!$B$4),1,0)</ns0:f>
        <ns0:v>0</ns0:v>
      </ns0:c>
      <ns0:c r="R360">
        <ns0:f>IF(AND(L360=1,O360*Calculations!$B$2&lt;=Calculations!$B$11*Calculations!$B$4),1,0)</ns0:f>
        <ns0:v>1</ns0:v>
      </ns0:c>
    </ns0:row>
    <ns0:row r="361">
      <ns0:c r="A361" t="inlineStr">
        <ns0:is>
          <ns0:t>case_0360</ns0:t>
        </ns0:is>
      </ns0:c>
      <ns0:c r="B361" t="inlineStr">
        <ns0:is>
          <ns0:t>function_0060</ns0:t>
        </ns0:is>
      </ns0:c>
      <ns0:c r="C361" t="inlineStr">
        <ns0:is>
          <ns0:t>run_005</ns0:t>
        </ns0:is>
      </ns0:c>
      <ns0:c r="D361" t="inlineStr">
        <ns0:is>
          <ns0:t>humantime</ns0:t>
        </ns0:is>
      </ns0:c>
      <ns0:c r="E361" t="inlineStr">
        <ns0:is>
          <ns0:t>gpt-3.5-turbo</ns0:t>
        </ns0:is>
      </ns0:c>
      <ns0:c r="F361" t="inlineStr">
        <ns0:is>
          <ns0:t>E0433</ns0:t>
        </ns0:is>
      </ns0:c>
      <ns0:c r="G361" t="n">
        <ns0:v>1</ns0:v>
      </ns0:c>
      <ns0:c r="H361" t="n">
        <ns0:v>0</ns0:v>
      </ns0:c>
      <ns0:c r="I361" t="n">
        <ns0:v>0</ns0:v>
      </ns0:c>
      <ns0:c r="J361" t="n">
        <ns0:v>0</ns0:v>
      </ns0:c>
      <ns0:c r="K361" t="n">
        <ns0:v>0</ns0:v>
      </ns0:c>
      <ns0:c r="L361" t="n">
        <ns0:v>1</ns0:v>
      </ns0:c>
      <ns0:c r="M361" t="n">
        <ns0:v>20575</ns0:v>
      </ns0:c>
      <ns0:c r="N361" t="n">
        <ns0:v>187</ns0:v>
      </ns0:c>
      <ns0:c r="O361" t="n">
        <ns0:v>20762</ns0:v>
      </ns0:c>
      <ns0:c r="P361" t="n">
        <ns0:v>3</ns0:v>
      </ns0:c>
      <ns0:c r="Q361">
        <ns0:f>IF(AND(L361=1,O361*Calculations!$B$2&lt;=Calculations!$B$10*Calculations!$B$4),1,0)</ns0:f>
        <ns0:v>1</ns0:v>
      </ns0:c>
      <ns0:c r="R361">
        <ns0:f>IF(AND(L361=1,O361*Calculations!$B$2&lt;=Calculations!$B$11*Calculations!$B$4),1,0)</ns0:f>
        <ns0:v>1</ns0:v>
      </ns0:c>
    </ns0:row>
    <ns0:row r="362">
      <ns0:c r="A362" t="inlineStr">
        <ns0:is>
          <ns0:t>case_0361</ns0:t>
        </ns0:is>
      </ns0:c>
      <ns0:c r="B362" t="inlineStr">
        <ns0:is>
          <ns0:t>function_0060</ns0:t>
        </ns0:is>
      </ns0:c>
      <ns0:c r="C362" t="inlineStr">
        <ns0:is>
          <ns0:t>run_005</ns0:t>
        </ns0:is>
      </ns0:c>
      <ns0:c r="D362" t="inlineStr">
        <ns0:is>
          <ns0:t>humantime</ns0:t>
        </ns0:is>
      </ns0:c>
      <ns0:c r="E362" t="inlineStr">
        <ns0:is>
          <ns0:t>gpt-3.5-turbo</ns0:t>
        </ns0:is>
      </ns0:c>
      <ns0:c r="F362" t="inlineStr">
        <ns0:is>
          <ns0:t>E0433</ns0:t>
        </ns0:is>
      </ns0:c>
      <ns0:c r="G362" t="n">
        <ns0:v>1</ns0:v>
      </ns0:c>
      <ns0:c r="H362" t="n">
        <ns0:v>0</ns0:v>
      </ns0:c>
      <ns0:c r="I362" t="n">
        <ns0:v>0</ns0:v>
      </ns0:c>
      <ns0:c r="J362" t="n">
        <ns0:v>0</ns0:v>
      </ns0:c>
      <ns0:c r="K362" t="n">
        <ns0:v>0</ns0:v>
      </ns0:c>
      <ns0:c r="L362" t="n">
        <ns0:v>1</ns0:v>
      </ns0:c>
      <ns0:c r="M362" t="n">
        <ns0:v>20613</ns0:v>
      </ns0:c>
      <ns0:c r="N362" t="n">
        <ns0:v>598</ns0:v>
      </ns0:c>
      <ns0:c r="O362" t="n">
        <ns0:v>21211</ns0:v>
      </ns0:c>
      <ns0:c r="P362" t="n">
        <ns0:v>3</ns0:v>
      </ns0:c>
      <ns0:c r="Q362">
        <ns0:f>IF(AND(L362=1,O362*Calculations!$B$2&lt;=Calculations!$B$10*Calculations!$B$4),1,0)</ns0:f>
        <ns0:v>1</ns0:v>
      </ns0:c>
      <ns0:c r="R362">
        <ns0:f>IF(AND(L362=1,O362*Calculations!$B$2&lt;=Calculations!$B$11*Calculations!$B$4),1,0)</ns0:f>
        <ns0:v>1</ns0:v>
      </ns0:c>
    </ns0:row>
    <ns0:row r="363">
      <ns0:c r="A363" t="inlineStr">
        <ns0:is>
          <ns0:t>case_0362</ns0:t>
        </ns0:is>
      </ns0:c>
      <ns0:c r="B363" t="inlineStr">
        <ns0:is>
          <ns0:t>function_0061</ns0:t>
        </ns0:is>
      </ns0:c>
      <ns0:c r="C363" t="inlineStr">
        <ns0:is>
          <ns0:t>run_005</ns0:t>
        </ns0:is>
      </ns0:c>
      <ns0:c r="D363" t="inlineStr">
        <ns0:is>
          <ns0:t>humantime</ns0:t>
        </ns0:is>
      </ns0:c>
      <ns0:c r="E363" t="inlineStr">
        <ns0:is>
          <ns0:t>gpt-3.5-turbo</ns0:t>
        </ns0:is>
      </ns0:c>
      <ns0:c r="F363" t="inlineStr">
        <ns0:is>
          <ns0:t>E0433</ns0:t>
        </ns0:is>
      </ns0:c>
      <ns0:c r="G363" t="n">
        <ns0:v>1</ns0:v>
      </ns0:c>
      <ns0:c r="H363" t="n">
        <ns0:v>0</ns0:v>
      </ns0:c>
      <ns0:c r="I363" t="n">
        <ns0:v>0</ns0:v>
      </ns0:c>
      <ns0:c r="J363" t="n">
        <ns0:v>0</ns0:v>
      </ns0:c>
      <ns0:c r="K363" t="n">
        <ns0:v>0</ns0:v>
      </ns0:c>
      <ns0:c r="L363" t="n">
        <ns0:v>1</ns0:v>
      </ns0:c>
      <ns0:c r="M363" t="n">
        <ns0:v>42308</ns0:v>
      </ns0:c>
      <ns0:c r="N363" t="n">
        <ns0:v>668</ns0:v>
      </ns0:c>
      <ns0:c r="O363" t="n">
        <ns0:v>42976</ns0:v>
      </ns0:c>
      <ns0:c r="P363" t="n">
        <ns0:v>6</ns0:v>
      </ns0:c>
      <ns0:c r="Q363">
        <ns0:f>IF(AND(L363=1,O363*Calculations!$B$2&lt;=Calculations!$B$10*Calculations!$B$4),1,0)</ns0:f>
        <ns0:v>0</ns0:v>
      </ns0:c>
      <ns0:c r="R363">
        <ns0:f>IF(AND(L363=1,O363*Calculations!$B$2&lt;=Calculations!$B$11*Calculations!$B$4),1,0)</ns0:f>
        <ns0:v>1</ns0:v>
      </ns0:c>
    </ns0:row>
    <ns0:row r="364">
      <ns0:c r="A364" t="inlineStr">
        <ns0:is>
          <ns0:t>case_0363</ns0:t>
        </ns0:is>
      </ns0:c>
      <ns0:c r="B364" t="inlineStr">
        <ns0:is>
          <ns0:t>function_0061</ns0:t>
        </ns0:is>
      </ns0:c>
      <ns0:c r="C364" t="inlineStr">
        <ns0:is>
          <ns0:t>run_005</ns0:t>
        </ns0:is>
      </ns0:c>
      <ns0:c r="D364" t="inlineStr">
        <ns0:is>
          <ns0:t>humantime</ns0:t>
        </ns0:is>
      </ns0:c>
      <ns0:c r="E364" t="inlineStr">
        <ns0:is>
          <ns0:t>gpt-3.5-turbo</ns0:t>
        </ns0:is>
      </ns0:c>
      <ns0:c r="F364" t="inlineStr">
        <ns0:is>
          <ns0:t>E0433,E0603</ns0:t>
        </ns0:is>
      </ns0:c>
      <ns0:c r="G364" t="n">
        <ns0:v>0</ns0:v>
      </ns0:c>
      <ns0:c r="H364" t="n">
        <ns0:v>3483</ns0:v>
      </ns0:c>
      <ns0:c r="I364" t="n">
        <ns0:v>198</ns0:v>
      </ns0:c>
      <ns0:c r="J364" t="n">
        <ns0:v>3681</ns0:v>
      </ns0:c>
      <ns0:c r="K364" t="n">
        <ns0:v>3</ns0:v>
      </ns0:c>
      <ns0:c r="L364" t="n">
        <ns0:v>1</ns0:v>
      </ns0:c>
      <ns0:c r="M364" t="n">
        <ns0:v>49548</ns0:v>
      </ns0:c>
      <ns0:c r="N364" t="n">
        <ns0:v>1679</ns0:v>
      </ns0:c>
      <ns0:c r="O364" t="n">
        <ns0:v>51227</ns0:v>
      </ns0:c>
      <ns0:c r="P364" t="n">
        <ns0:v>6</ns0:v>
      </ns0:c>
      <ns0:c r="Q364">
        <ns0:f>IF(AND(L364=1,O364*Calculations!$B$2&lt;=Calculations!$B$10*Calculations!$B$4),1,0)</ns0:f>
        <ns0:v>0</ns0:v>
      </ns0:c>
      <ns0:c r="R364">
        <ns0:f>IF(AND(L364=1,O364*Calculations!$B$2&lt;=Calculations!$B$11*Calculations!$B$4),1,0)</ns0:f>
        <ns0:v>0</ns0:v>
      </ns0:c>
    </ns0:row>
    <ns0:row r="365">
      <ns0:c r="A365" t="inlineStr">
        <ns0:is>
          <ns0:t>case_0364</ns0:t>
        </ns0:is>
      </ns0:c>
      <ns0:c r="B365" t="inlineStr">
        <ns0:is>
          <ns0:t>function_0061</ns0:t>
        </ns0:is>
      </ns0:c>
      <ns0:c r="C365" t="inlineStr">
        <ns0:is>
          <ns0:t>run_005</ns0:t>
        </ns0:is>
      </ns0:c>
      <ns0:c r="D365" t="inlineStr">
        <ns0:is>
          <ns0:t>humantime</ns0:t>
        </ns0:is>
      </ns0:c>
      <ns0:c r="E365" t="inlineStr">
        <ns0:is>
          <ns0:t>gpt-3.5-turbo</ns0:t>
        </ns0:is>
      </ns0:c>
      <ns0:c r="F365" t="inlineStr">
        <ns0:is>
          <ns0:t>E0433</ns0:t>
        </ns0:is>
      </ns0:c>
      <ns0:c r="G365" t="n">
        <ns0:v>1</ns0:v>
      </ns0:c>
      <ns0:c r="H365" t="n">
        <ns0:v>0</ns0:v>
      </ns0:c>
      <ns0:c r="I365" t="n">
        <ns0:v>0</ns0:v>
      </ns0:c>
      <ns0:c r="J365" t="n">
        <ns0:v>0</ns0:v>
      </ns0:c>
      <ns0:c r="K365" t="n">
        <ns0:v>0</ns0:v>
      </ns0:c>
      <ns0:c r="L365" t="n">
        <ns0:v>1</ns0:v>
      </ns0:c>
      <ns0:c r="M365" t="n">
        <ns0:v>20136</ns0:v>
      </ns0:c>
      <ns0:c r="N365" t="n">
        <ns0:v>448</ns0:v>
      </ns0:c>
      <ns0:c r="O365" t="n">
        <ns0:v>20584</ns0:v>
      </ns0:c>
      <ns0:c r="P365" t="n">
        <ns0:v>3</ns0:v>
      </ns0:c>
      <ns0:c r="Q365">
        <ns0:f>IF(AND(L365=1,O365*Calculations!$B$2&lt;=Calculations!$B$10*Calculations!$B$4),1,0)</ns0:f>
        <ns0:v>1</ns0:v>
      </ns0:c>
      <ns0:c r="R365">
        <ns0:f>IF(AND(L365=1,O365*Calculations!$B$2&lt;=Calculations!$B$11*Calculations!$B$4),1,0)</ns0:f>
        <ns0:v>1</ns0:v>
      </ns0:c>
    </ns0:row>
    <ns0:row r="366">
      <ns0:c r="A366" t="inlineStr">
        <ns0:is>
          <ns0:t>case_0365</ns0:t>
        </ns0:is>
      </ns0:c>
      <ns0:c r="B366" t="inlineStr">
        <ns0:is>
          <ns0:t>function_0061</ns0:t>
        </ns0:is>
      </ns0:c>
      <ns0:c r="C366" t="inlineStr">
        <ns0:is>
          <ns0:t>run_005</ns0:t>
        </ns0:is>
      </ns0:c>
      <ns0:c r="D366" t="inlineStr">
        <ns0:is>
          <ns0:t>humantime</ns0:t>
        </ns0:is>
      </ns0:c>
      <ns0:c r="E366" t="inlineStr">
        <ns0:is>
          <ns0:t>gpt-3.5-turbo</ns0:t>
        </ns0:is>
      </ns0:c>
      <ns0:c r="F366" t="inlineStr">
        <ns0:is>
          <ns0:t>E0433</ns0:t>
        </ns0:is>
      </ns0:c>
      <ns0:c r="G366" t="n">
        <ns0:v>1</ns0:v>
      </ns0:c>
      <ns0:c r="H366" t="n">
        <ns0:v>0</ns0:v>
      </ns0:c>
      <ns0:c r="I366" t="n">
        <ns0:v>0</ns0:v>
      </ns0:c>
      <ns0:c r="J366" t="n">
        <ns0:v>0</ns0:v>
      </ns0:c>
      <ns0:c r="K366" t="n">
        <ns0:v>0</ns0:v>
      </ns0:c>
      <ns0:c r="L366" t="n">
        <ns0:v>1</ns0:v>
      </ns0:c>
      <ns0:c r="M366" t="n">
        <ns0:v>20087</ns0:v>
      </ns0:c>
      <ns0:c r="N366" t="n">
        <ns0:v>204</ns0:v>
      </ns0:c>
      <ns0:c r="O366" t="n">
        <ns0:v>20291</ns0:v>
      </ns0:c>
      <ns0:c r="P366" t="n">
        <ns0:v>3</ns0:v>
      </ns0:c>
      <ns0:c r="Q366">
        <ns0:f>IF(AND(L366=1,O366*Calculations!$B$2&lt;=Calculations!$B$10*Calculations!$B$4),1,0)</ns0:f>
        <ns0:v>1</ns0:v>
      </ns0:c>
      <ns0:c r="R366">
        <ns0:f>IF(AND(L366=1,O366*Calculations!$B$2&lt;=Calculations!$B$11*Calculations!$B$4),1,0)</ns0:f>
        <ns0:v>1</ns0:v>
      </ns0:c>
    </ns0:row>
    <ns0:row r="367">
      <ns0:c r="A367" t="inlineStr">
        <ns0:is>
          <ns0:t>case_0366</ns0:t>
        </ns0:is>
      </ns0:c>
      <ns0:c r="B367" t="inlineStr">
        <ns0:is>
          <ns0:t>function_0062</ns0:t>
        </ns0:is>
      </ns0:c>
      <ns0:c r="C367" t="inlineStr">
        <ns0:is>
          <ns0:t>run_005</ns0:t>
        </ns0:is>
      </ns0:c>
      <ns0:c r="D367" t="inlineStr">
        <ns0:is>
          <ns0:t>humantime</ns0:t>
        </ns0:is>
      </ns0:c>
      <ns0:c r="E367" t="inlineStr">
        <ns0:is>
          <ns0:t>gpt-3.5-turbo</ns0:t>
        </ns0:is>
      </ns0:c>
      <ns0:c r="F367" t="inlineStr">
        <ns0:is>
          <ns0:t>E0433</ns0:t>
        </ns0:is>
      </ns0:c>
      <ns0:c r="G367" t="n">
        <ns0:v>1</ns0:v>
      </ns0:c>
      <ns0:c r="H367" t="n">
        <ns0:v>0</ns0:v>
      </ns0:c>
      <ns0:c r="I367" t="n">
        <ns0:v>0</ns0:v>
      </ns0:c>
      <ns0:c r="J367" t="n">
        <ns0:v>0</ns0:v>
      </ns0:c>
      <ns0:c r="K367" t="n">
        <ns0:v>0</ns0:v>
      </ns0:c>
      <ns0:c r="L367" t="n">
        <ns0:v>1</ns0:v>
      </ns0:c>
      <ns0:c r="M367" t="n">
        <ns0:v>32240</ns0:v>
      </ns0:c>
      <ns0:c r="N367" t="n">
        <ns0:v>701</ns0:v>
      </ns0:c>
      <ns0:c r="O367" t="n">
        <ns0:v>32941</ns0:v>
      </ns0:c>
      <ns0:c r="P367" t="n">
        <ns0:v>4</ns0:v>
      </ns0:c>
      <ns0:c r="Q367">
        <ns0:f>IF(AND(L367=1,O367*Calculations!$B$2&lt;=Calculations!$B$10*Calculations!$B$4),1,0)</ns0:f>
        <ns0:v>0</ns0:v>
      </ns0:c>
      <ns0:c r="R367">
        <ns0:f>IF(AND(L367=1,O367*Calculations!$B$2&lt;=Calculations!$B$11*Calculations!$B$4),1,0)</ns0:f>
        <ns0:v>1</ns0:v>
      </ns0:c>
    </ns0:row>
    <ns0:row r="368">
      <ns0:c r="A368" t="inlineStr">
        <ns0:is>
          <ns0:t>case_0367</ns0:t>
        </ns0:is>
      </ns0:c>
      <ns0:c r="B368" t="inlineStr">
        <ns0:is>
          <ns0:t>function_0062</ns0:t>
        </ns0:is>
      </ns0:c>
      <ns0:c r="C368" t="inlineStr">
        <ns0:is>
          <ns0:t>run_005</ns0:t>
        </ns0:is>
      </ns0:c>
      <ns0:c r="D368" t="inlineStr">
        <ns0:is>
          <ns0:t>humantime</ns0:t>
        </ns0:is>
      </ns0:c>
      <ns0:c r="E368" t="inlineStr">
        <ns0:is>
          <ns0:t>gpt-3.5-turbo</ns0:t>
        </ns0:is>
      </ns0:c>
      <ns0:c r="F368" t="inlineStr">
        <ns0:is>
          <ns0:t>E0252,E0433</ns0:t>
        </ns0:is>
      </ns0:c>
      <ns0:c r="G368" t="n">
        <ns0:v>0</ns0:v>
      </ns0:c>
      <ns0:c r="H368" t="n">
        <ns0:v>3510</ns0:v>
      </ns0:c>
      <ns0:c r="I368" t="n">
        <ns0:v>156</ns0:v>
      </ns0:c>
      <ns0:c r="J368" t="n">
        <ns0:v>3666</ns0:v>
      </ns0:c>
      <ns0:c r="K368" t="n">
        <ns0:v>3</ns0:v>
      </ns0:c>
      <ns0:c r="L368" t="n">
        <ns0:v>1</ns0:v>
      </ns0:c>
      <ns0:c r="M368" t="n">
        <ns0:v>54067</ns0:v>
      </ns0:c>
      <ns0:c r="N368" t="n">
        <ns0:v>919</ns0:v>
      </ns0:c>
      <ns0:c r="O368" t="n">
        <ns0:v>54986</ns0:v>
      </ns0:c>
      <ns0:c r="P368" t="n">
        <ns0:v>7</ns0:v>
      </ns0:c>
      <ns0:c r="Q368">
        <ns0:f>IF(AND(L368=1,O368*Calculations!$B$2&lt;=Calculations!$B$10*Calculations!$B$4),1,0)</ns0:f>
        <ns0:v>0</ns0:v>
      </ns0:c>
      <ns0:c r="R368">
        <ns0:f>IF(AND(L368=1,O368*Calculations!$B$2&lt;=Calculations!$B$11*Calculations!$B$4),1,0)</ns0:f>
        <ns0:v>0</ns0:v>
      </ns0:c>
    </ns0:row>
    <ns0:row r="369">
      <ns0:c r="A369" t="inlineStr">
        <ns0:is>
          <ns0:t>case_0368</ns0:t>
        </ns0:is>
      </ns0:c>
      <ns0:c r="B369" t="inlineStr">
        <ns0:is>
          <ns0:t>function_0062</ns0:t>
        </ns0:is>
      </ns0:c>
      <ns0:c r="C369" t="inlineStr">
        <ns0:is>
          <ns0:t>run_005</ns0:t>
        </ns0:is>
      </ns0:c>
      <ns0:c r="D369" t="inlineStr">
        <ns0:is>
          <ns0:t>humantime</ns0:t>
        </ns0:is>
      </ns0:c>
      <ns0:c r="E369" t="inlineStr">
        <ns0:is>
          <ns0:t>gpt-3.5-turbo</ns0:t>
        </ns0:is>
      </ns0:c>
      <ns0:c r="F369" t="inlineStr">
        <ns0:is>
          <ns0:t>E0433</ns0:t>
        </ns0:is>
      </ns0:c>
      <ns0:c r="G369" t="n">
        <ns0:v>1</ns0:v>
      </ns0:c>
      <ns0:c r="H369" t="n">
        <ns0:v>0</ns0:v>
      </ns0:c>
      <ns0:c r="I369" t="n">
        <ns0:v>0</ns0:v>
      </ns0:c>
      <ns0:c r="J369" t="n">
        <ns0:v>0</ns0:v>
      </ns0:c>
      <ns0:c r="K369" t="n">
        <ns0:v>0</ns0:v>
      </ns0:c>
      <ns0:c r="L369" t="n">
        <ns0:v>1</ns0:v>
      </ns0:c>
      <ns0:c r="M369" t="n">
        <ns0:v>27615</ns0:v>
      </ns0:c>
      <ns0:c r="N369" t="n">
        <ns0:v>331</ns0:v>
      </ns0:c>
      <ns0:c r="O369" t="n">
        <ns0:v>27946</ns0:v>
      </ns0:c>
      <ns0:c r="P369" t="n">
        <ns0:v>4</ns0:v>
      </ns0:c>
      <ns0:c r="Q369">
        <ns0:f>IF(AND(L369=1,O369*Calculations!$B$2&lt;=Calculations!$B$10*Calculations!$B$4),1,0)</ns0:f>
        <ns0:v>0</ns0:v>
      </ns0:c>
      <ns0:c r="R369">
        <ns0:f>IF(AND(L369=1,O369*Calculations!$B$2&lt;=Calculations!$B$11*Calculations!$B$4),1,0)</ns0:f>
        <ns0:v>1</ns0:v>
      </ns0:c>
    </ns0:row>
    <ns0:row r="370">
      <ns0:c r="A370" t="inlineStr">
        <ns0:is>
          <ns0:t>case_0369</ns0:t>
        </ns0:is>
      </ns0:c>
      <ns0:c r="B370" t="inlineStr">
        <ns0:is>
          <ns0:t>function_0063</ns0:t>
        </ns0:is>
      </ns0:c>
      <ns0:c r="C370" t="inlineStr">
        <ns0:is>
          <ns0:t>run_005</ns0:t>
        </ns0:is>
      </ns0:c>
      <ns0:c r="D370" t="inlineStr">
        <ns0:is>
          <ns0:t>humantime</ns0:t>
        </ns0:is>
      </ns0:c>
      <ns0:c r="E370" t="inlineStr">
        <ns0:is>
          <ns0:t>gpt-3.5-turbo</ns0:t>
        </ns0:is>
      </ns0:c>
      <ns0:c r="F370" t="inlineStr">
        <ns0:is>
          <ns0:t>E0433,E0599</ns0:t>
        </ns0:is>
      </ns0:c>
      <ns0:c r="G370" t="n">
        <ns0:v>1</ns0:v>
      </ns0:c>
      <ns0:c r="H370" t="n">
        <ns0:v>1275</ns0:v>
      </ns0:c>
      <ns0:c r="I370" t="n">
        <ns0:v>53</ns0:v>
      </ns0:c>
      <ns0:c r="J370" t="n">
        <ns0:v>1328</ns0:v>
      </ns0:c>
      <ns0:c r="K370" t="n">
        <ns0:v>1</ns0:v>
      </ns0:c>
      <ns0:c r="L370" t="n">
        <ns0:v>1</ns0:v>
      </ns0:c>
      <ns0:c r="M370" t="n">
        <ns0:v>51077</ns0:v>
      </ns0:c>
      <ns0:c r="N370" t="n">
        <ns0:v>640</ns0:v>
      </ns0:c>
      <ns0:c r="O370" t="n">
        <ns0:v>51717</ns0:v>
      </ns0:c>
      <ns0:c r="P370" t="n">
        <ns0:v>6</ns0:v>
      </ns0:c>
      <ns0:c r="Q370">
        <ns0:f>IF(AND(L370=1,O370*Calculations!$B$2&lt;=Calculations!$B$10*Calculations!$B$4),1,0)</ns0:f>
        <ns0:v>0</ns0:v>
      </ns0:c>
      <ns0:c r="R370">
        <ns0:f>IF(AND(L370=1,O370*Calculations!$B$2&lt;=Calculations!$B$11*Calculations!$B$4),1,0)</ns0:f>
        <ns0:v>0</ns0:v>
      </ns0:c>
    </ns0:row>
    <ns0:row r="371">
      <ns0:c r="A371" t="inlineStr">
        <ns0:is>
          <ns0:t>case_0370</ns0:t>
        </ns0:is>
      </ns0:c>
      <ns0:c r="B371" t="inlineStr">
        <ns0:is>
          <ns0:t>function_0063</ns0:t>
        </ns0:is>
      </ns0:c>
      <ns0:c r="C371" t="inlineStr">
        <ns0:is>
          <ns0:t>run_005</ns0:t>
        </ns0:is>
      </ns0:c>
      <ns0:c r="D371" t="inlineStr">
        <ns0:is>
          <ns0:t>humantime</ns0:t>
        </ns0:is>
      </ns0:c>
      <ns0:c r="E371" t="inlineStr">
        <ns0:is>
          <ns0:t>gpt-3.5-turbo</ns0:t>
        </ns0:is>
      </ns0:c>
      <ns0:c r="F371" t="inlineStr">
        <ns0:is>
          <ns0:t>E0433,E0599</ns0:t>
        </ns0:is>
      </ns0:c>
      <ns0:c r="G371" t="n">
        <ns0:v>0</ns0:v>
      </ns0:c>
      <ns0:c r="H371" t="n">
        <ns0:v>4490</ns0:v>
      </ns0:c>
      <ns0:c r="I371" t="n">
        <ns0:v>192</ns0:v>
      </ns0:c>
      <ns0:c r="J371" t="n">
        <ns0:v>4682</ns0:v>
      </ns0:c>
      <ns0:c r="K371" t="n">
        <ns0:v>3</ns0:v>
      </ns0:c>
      <ns0:c r="L371" t="n">
        <ns0:v>1</ns0:v>
      </ns0:c>
      <ns0:c r="M371" t="n">
        <ns0:v>72641</ns0:v>
      </ns0:c>
      <ns0:c r="N371" t="n">
        <ns0:v>954</ns0:v>
      </ns0:c>
      <ns0:c r="O371" t="n">
        <ns0:v>73595</ns0:v>
      </ns0:c>
      <ns0:c r="P371" t="n">
        <ns0:v>9</ns0:v>
      </ns0:c>
      <ns0:c r="Q371">
        <ns0:f>IF(AND(L371=1,O371*Calculations!$B$2&lt;=Calculations!$B$10*Calculations!$B$4),1,0)</ns0:f>
        <ns0:v>0</ns0:v>
      </ns0:c>
      <ns0:c r="R371">
        <ns0:f>IF(AND(L371=1,O371*Calculations!$B$2&lt;=Calculations!$B$11*Calculations!$B$4),1,0)</ns0:f>
        <ns0:v>0</ns0:v>
      </ns0:c>
    </ns0:row>
    <ns0:row r="372">
      <ns0:c r="A372" t="inlineStr">
        <ns0:is>
          <ns0:t>case_0371</ns0:t>
        </ns0:is>
      </ns0:c>
      <ns0:c r="B372" t="inlineStr">
        <ns0:is>
          <ns0:t>function_0063</ns0:t>
        </ns0:is>
      </ns0:c>
      <ns0:c r="C372" t="inlineStr">
        <ns0:is>
          <ns0:t>run_005</ns0:t>
        </ns0:is>
      </ns0:c>
      <ns0:c r="D372" t="inlineStr">
        <ns0:is>
          <ns0:t>humantime</ns0:t>
        </ns0:is>
      </ns0:c>
      <ns0:c r="E372" t="inlineStr">
        <ns0:is>
          <ns0:t>gpt-3.5-turbo</ns0:t>
        </ns0:is>
      </ns0:c>
      <ns0:c r="F372" t="inlineStr">
        <ns0:is>
          <ns0:t>E0433,E0599</ns0:t>
        </ns0:is>
      </ns0:c>
      <ns0:c r="G372" t="n">
        <ns0:v>0</ns0:v>
      </ns0:c>
      <ns0:c r="H372" t="n">
        <ns0:v>4316</ns0:v>
      </ns0:c>
      <ns0:c r="I372" t="n">
        <ns0:v>150</ns0:v>
      </ns0:c>
      <ns0:c r="J372" t="n">
        <ns0:v>4466</ns0:v>
      </ns0:c>
      <ns0:c r="K372" t="n">
        <ns0:v>3</ns0:v>
      </ns0:c>
      <ns0:c r="L372" t="n">
        <ns0:v>1</ns0:v>
      </ns0:c>
      <ns0:c r="M372" t="n">
        <ns0:v>81664</ns0:v>
      </ns0:c>
      <ns0:c r="N372" t="n">
        <ns0:v>966</ns0:v>
      </ns0:c>
      <ns0:c r="O372" t="n">
        <ns0:v>82630</ns0:v>
      </ns0:c>
      <ns0:c r="P372" t="n">
        <ns0:v>10</ns0:v>
      </ns0:c>
      <ns0:c r="Q372">
        <ns0:f>IF(AND(L372=1,O372*Calculations!$B$2&lt;=Calculations!$B$10*Calculations!$B$4),1,0)</ns0:f>
        <ns0:v>0</ns0:v>
      </ns0:c>
      <ns0:c r="R372">
        <ns0:f>IF(AND(L372=1,O372*Calculations!$B$2&lt;=Calculations!$B$11*Calculations!$B$4),1,0)</ns0:f>
        <ns0:v>0</ns0:v>
      </ns0:c>
    </ns0:row>
    <ns0:row r="373">
      <ns0:c r="A373" t="inlineStr">
        <ns0:is>
          <ns0:t>case_0372</ns0:t>
        </ns0:is>
      </ns0:c>
      <ns0:c r="B373" t="inlineStr">
        <ns0:is>
          <ns0:t>function_0063</ns0:t>
        </ns0:is>
      </ns0:c>
      <ns0:c r="C373" t="inlineStr">
        <ns0:is>
          <ns0:t>run_005</ns0:t>
        </ns0:is>
      </ns0:c>
      <ns0:c r="D373" t="inlineStr">
        <ns0:is>
          <ns0:t>humantime</ns0:t>
        </ns0:is>
      </ns0:c>
      <ns0:c r="E373" t="inlineStr">
        <ns0:is>
          <ns0:t>gpt-3.5-turbo</ns0:t>
        </ns0:is>
      </ns0:c>
      <ns0:c r="F373" t="inlineStr">
        <ns0:is>
          <ns0:t>E0599</ns0:t>
        </ns0:is>
      </ns0:c>
      <ns0:c r="G373" t="n">
        <ns0:v>0</ns0:v>
      </ns0:c>
      <ns0:c r="H373" t="n">
        <ns0:v>2754</ns0:v>
      </ns0:c>
      <ns0:c r="I373" t="n">
        <ns0:v>135</ns0:v>
      </ns0:c>
      <ns0:c r="J373" t="n">
        <ns0:v>2889</ns0:v>
      </ns0:c>
      <ns0:c r="K373" t="n">
        <ns0:v>3</ns0:v>
      </ns0:c>
      <ns0:c r="L373" t="n">
        <ns0:v>1</ns0:v>
      </ns0:c>
      <ns0:c r="M373" t="n">
        <ns0:v>84716</ns0:v>
      </ns0:c>
      <ns0:c r="N373" t="n">
        <ns0:v>796</ns0:v>
      </ns0:c>
      <ns0:c r="O373" t="n">
        <ns0:v>85512</ns0:v>
      </ns0:c>
      <ns0:c r="P373" t="n">
        <ns0:v>10</ns0:v>
      </ns0:c>
      <ns0:c r="Q373">
        <ns0:f>IF(AND(L373=1,O373*Calculations!$B$2&lt;=Calculations!$B$10*Calculations!$B$4),1,0)</ns0:f>
        <ns0:v>0</ns0:v>
      </ns0:c>
      <ns0:c r="R373">
        <ns0:f>IF(AND(L373=1,O373*Calculations!$B$2&lt;=Calculations!$B$11*Calculations!$B$4),1,0)</ns0:f>
        <ns0:v>0</ns0:v>
      </ns0:c>
    </ns0:row>
    <ns0:row r="374">
      <ns0:c r="A374" t="inlineStr">
        <ns0:is>
          <ns0:t>case_0373</ns0:t>
        </ns0:is>
      </ns0:c>
      <ns0:c r="B374" t="inlineStr">
        <ns0:is>
          <ns0:t>function_0063</ns0:t>
        </ns0:is>
      </ns0:c>
      <ns0:c r="C374" t="inlineStr">
        <ns0:is>
          <ns0:t>run_005</ns0:t>
        </ns0:is>
      </ns0:c>
      <ns0:c r="D374" t="inlineStr">
        <ns0:is>
          <ns0:t>humantime</ns0:t>
        </ns0:is>
      </ns0:c>
      <ns0:c r="E374" t="inlineStr">
        <ns0:is>
          <ns0:t>gpt-3.5-turbo</ns0:t>
        </ns0:is>
      </ns0:c>
      <ns0:c r="F374" t="inlineStr">
        <ns0:is>
          <ns0:t>E0433,E0599</ns0:t>
        </ns0:is>
      </ns0:c>
      <ns0:c r="G374" t="n">
        <ns0:v>0</ns0:v>
      </ns0:c>
      <ns0:c r="H374" t="n">
        <ns0:v>4186</ns0:v>
      </ns0:c>
      <ns0:c r="I374" t="n">
        <ns0:v>169</ns0:v>
      </ns0:c>
      <ns0:c r="J374" t="n">
        <ns0:v>4355</ns0:v>
      </ns0:c>
      <ns0:c r="K374" t="n">
        <ns0:v>3</ns0:v>
      </ns0:c>
      <ns0:c r="L374" t="n">
        <ns0:v>1</ns0:v>
      </ns0:c>
      <ns0:c r="M374" t="n">
        <ns0:v>59488</ns0:v>
      </ns0:c>
      <ns0:c r="N374" t="n">
        <ns0:v>1388</ns0:v>
      </ns0:c>
      <ns0:c r="O374" t="n">
        <ns0:v>60876</ns0:v>
      </ns0:c>
      <ns0:c r="P374" t="n">
        <ns0:v>7</ns0:v>
      </ns0:c>
      <ns0:c r="Q374">
        <ns0:f>IF(AND(L374=1,O374*Calculations!$B$2&lt;=Calculations!$B$10*Calculations!$B$4),1,0)</ns0:f>
        <ns0:v>0</ns0:v>
      </ns0:c>
      <ns0:c r="R374">
        <ns0:f>IF(AND(L374=1,O374*Calculations!$B$2&lt;=Calculations!$B$11*Calculations!$B$4),1,0)</ns0:f>
        <ns0:v>0</ns0:v>
      </ns0:c>
    </ns0:row>
    <ns0:row r="375">
      <ns0:c r="A375" t="inlineStr">
        <ns0:is>
          <ns0:t>case_0374</ns0:t>
        </ns0:is>
      </ns0:c>
      <ns0:c r="B375" t="inlineStr">
        <ns0:is>
          <ns0:t>function_0063</ns0:t>
        </ns0:is>
      </ns0:c>
      <ns0:c r="C375" t="inlineStr">
        <ns0:is>
          <ns0:t>run_005</ns0:t>
        </ns0:is>
      </ns0:c>
      <ns0:c r="D375" t="inlineStr">
        <ns0:is>
          <ns0:t>humantime</ns0:t>
        </ns0:is>
      </ns0:c>
      <ns0:c r="E375" t="inlineStr">
        <ns0:is>
          <ns0:t>gpt-3.5-turbo</ns0:t>
        </ns0:is>
      </ns0:c>
      <ns0:c r="F375" t="inlineStr">
        <ns0:is>
          <ns0:t>E0599</ns0:t>
        </ns0:is>
      </ns0:c>
      <ns0:c r="G375" t="n">
        <ns0:v>0</ns0:v>
      </ns0:c>
      <ns0:c r="H375" t="n">
        <ns0:v>2773</ns0:v>
      </ns0:c>
      <ns0:c r="I375" t="n">
        <ns0:v>128</ns0:v>
      </ns0:c>
      <ns0:c r="J375" t="n">
        <ns0:v>2901</ns0:v>
      </ns0:c>
      <ns0:c r="K375" t="n">
        <ns0:v>3</ns0:v>
      </ns0:c>
      <ns0:c r="L375" t="n">
        <ns0:v>1</ns0:v>
      </ns0:c>
      <ns0:c r="M375" t="n">
        <ns0:v>51534</ns0:v>
      </ns0:c>
      <ns0:c r="N375" t="n">
        <ns0:v>942</ns0:v>
      </ns0:c>
      <ns0:c r="O375" t="n">
        <ns0:v>52476</ns0:v>
      </ns0:c>
      <ns0:c r="P375" t="n">
        <ns0:v>7</ns0:v>
      </ns0:c>
      <ns0:c r="Q375">
        <ns0:f>IF(AND(L375=1,O375*Calculations!$B$2&lt;=Calculations!$B$10*Calculations!$B$4),1,0)</ns0:f>
        <ns0:v>0</ns0:v>
      </ns0:c>
      <ns0:c r="R375">
        <ns0:f>IF(AND(L375=1,O375*Calculations!$B$2&lt;=Calculations!$B$11*Calculations!$B$4),1,0)</ns0:f>
        <ns0:v>0</ns0:v>
      </ns0:c>
    </ns0:row>
    <ns0:row r="376">
      <ns0:c r="A376" t="inlineStr">
        <ns0:is>
          <ns0:t>case_0375</ns0:t>
        </ns0:is>
      </ns0:c>
      <ns0:c r="B376" t="inlineStr">
        <ns0:is>
          <ns0:t>function_0064</ns0:t>
        </ns0:is>
      </ns0:c>
      <ns0:c r="C376" t="inlineStr">
        <ns0:is>
          <ns0:t>run_005</ns0:t>
        </ns0:is>
      </ns0:c>
      <ns0:c r="D376" t="inlineStr">
        <ns0:is>
          <ns0:t>humantime</ns0:t>
        </ns0:is>
      </ns0:c>
      <ns0:c r="E376" t="inlineStr">
        <ns0:is>
          <ns0:t>gpt-3.5-turbo</ns0:t>
        </ns0:is>
      </ns0:c>
      <ns0:c r="F376" t="inlineStr">
        <ns0:is>
          <ns0:t>E0433,E0599</ns0:t>
        </ns0:is>
      </ns0:c>
      <ns0:c r="G376" t="n">
        <ns0:v>1</ns0:v>
      </ns0:c>
      <ns0:c r="H376" t="n">
        <ns0:v>0</ns0:v>
      </ns0:c>
      <ns0:c r="I376" t="n">
        <ns0:v>0</ns0:v>
      </ns0:c>
      <ns0:c r="J376" t="n">
        <ns0:v>0</ns0:v>
      </ns0:c>
      <ns0:c r="K376" t="n">
        <ns0:v>0</ns0:v>
      </ns0:c>
      <ns0:c r="L376" t="n">
        <ns0:v>1</ns0:v>
      </ns0:c>
      <ns0:c r="M376" t="n">
        <ns0:v>59615</ns0:v>
      </ns0:c>
      <ns0:c r="N376" t="n">
        <ns0:v>1496</ns0:v>
      </ns0:c>
      <ns0:c r="O376" t="n">
        <ns0:v>61111</ns0:v>
      </ns0:c>
      <ns0:c r="P376" t="n">
        <ns0:v>8</ns0:v>
      </ns0:c>
      <ns0:c r="Q376">
        <ns0:f>IF(AND(L376=1,O376*Calculations!$B$2&lt;=Calculations!$B$10*Calculations!$B$4),1,0)</ns0:f>
        <ns0:v>0</ns0:v>
      </ns0:c>
      <ns0:c r="R376">
        <ns0:f>IF(AND(L376=1,O376*Calculations!$B$2&lt;=Calculations!$B$11*Calculations!$B$4),1,0)</ns0:f>
        <ns0:v>0</ns0:v>
      </ns0:c>
    </ns0:row>
    <ns0:row r="377">
      <ns0:c r="A377" t="inlineStr">
        <ns0:is>
          <ns0:t>case_0376</ns0:t>
        </ns0:is>
      </ns0:c>
      <ns0:c r="B377" t="inlineStr">
        <ns0:is>
          <ns0:t>function_0064</ns0:t>
        </ns0:is>
      </ns0:c>
      <ns0:c r="C377" t="inlineStr">
        <ns0:is>
          <ns0:t>run_005</ns0:t>
        </ns0:is>
      </ns0:c>
      <ns0:c r="D377" t="inlineStr">
        <ns0:is>
          <ns0:t>humantime</ns0:t>
        </ns0:is>
      </ns0:c>
      <ns0:c r="E377" t="inlineStr">
        <ns0:is>
          <ns0:t>gpt-3.5-turbo</ns0:t>
        </ns0:is>
      </ns0:c>
      <ns0:c r="F377" t="inlineStr">
        <ns0:is>
          <ns0:t>E0433</ns0:t>
        </ns0:is>
      </ns0:c>
      <ns0:c r="G377" t="n">
        <ns0:v>1</ns0:v>
      </ns0:c>
      <ns0:c r="H377" t="n">
        <ns0:v>0</ns0:v>
      </ns0:c>
      <ns0:c r="I377" t="n">
        <ns0:v>0</ns0:v>
      </ns0:c>
      <ns0:c r="J377" t="n">
        <ns0:v>0</ns0:v>
      </ns0:c>
      <ns0:c r="K377" t="n">
        <ns0:v>0</ns0:v>
      </ns0:c>
      <ns0:c r="L377" t="n">
        <ns0:v>1</ns0:v>
      </ns0:c>
      <ns0:c r="M377" t="n">
        <ns0:v>27639</ns0:v>
      </ns0:c>
      <ns0:c r="N377" t="n">
        <ns0:v>706</ns0:v>
      </ns0:c>
      <ns0:c r="O377" t="n">
        <ns0:v>28345</ns0:v>
      </ns0:c>
      <ns0:c r="P377" t="n">
        <ns0:v>4</ns0:v>
      </ns0:c>
      <ns0:c r="Q377">
        <ns0:f>IF(AND(L377=1,O377*Calculations!$B$2&lt;=Calculations!$B$10*Calculations!$B$4),1,0)</ns0:f>
        <ns0:v>0</ns0:v>
      </ns0:c>
      <ns0:c r="R377">
        <ns0:f>IF(AND(L377=1,O377*Calculations!$B$2&lt;=Calculations!$B$11*Calculations!$B$4),1,0)</ns0:f>
        <ns0:v>1</ns0:v>
      </ns0:c>
    </ns0:row>
    <ns0:row r="378">
      <ns0:c r="A378" t="inlineStr">
        <ns0:is>
          <ns0:t>case_0377</ns0:t>
        </ns0:is>
      </ns0:c>
      <ns0:c r="B378" t="inlineStr">
        <ns0:is>
          <ns0:t>function_0064</ns0:t>
        </ns0:is>
      </ns0:c>
      <ns0:c r="C378" t="inlineStr">
        <ns0:is>
          <ns0:t>run_005</ns0:t>
        </ns0:is>
      </ns0:c>
      <ns0:c r="D378" t="inlineStr">
        <ns0:is>
          <ns0:t>humantime</ns0:t>
        </ns0:is>
      </ns0:c>
      <ns0:c r="E378" t="inlineStr">
        <ns0:is>
          <ns0:t>gpt-3.5-turbo</ns0:t>
        </ns0:is>
      </ns0:c>
      <ns0:c r="F378" t="inlineStr">
        <ns0:is>
          <ns0:t>E0432,E0433</ns0:t>
        </ns0:is>
      </ns0:c>
      <ns0:c r="G378" t="n">
        <ns0:v>1</ns0:v>
      </ns0:c>
      <ns0:c r="H378" t="n">
        <ns0:v>0</ns0:v>
      </ns0:c>
      <ns0:c r="I378" t="n">
        <ns0:v>0</ns0:v>
      </ns0:c>
      <ns0:c r="J378" t="n">
        <ns0:v>0</ns0:v>
      </ns0:c>
      <ns0:c r="K378" t="n">
        <ns0:v>0</ns0:v>
      </ns0:c>
      <ns0:c r="L378" t="n">
        <ns0:v>1</ns0:v>
      </ns0:c>
      <ns0:c r="M378" t="n">
        <ns0:v>58076</ns0:v>
      </ns0:c>
      <ns0:c r="N378" t="n">
        <ns0:v>720</ns0:v>
      </ns0:c>
      <ns0:c r="O378" t="n">
        <ns0:v>58796</ns0:v>
      </ns0:c>
      <ns0:c r="P378" t="n">
        <ns0:v>8</ns0:v>
      </ns0:c>
      <ns0:c r="Q378">
        <ns0:f>IF(AND(L378=1,O378*Calculations!$B$2&lt;=Calculations!$B$10*Calculations!$B$4),1,0)</ns0:f>
        <ns0:v>0</ns0:v>
      </ns0:c>
      <ns0:c r="R378">
        <ns0:f>IF(AND(L378=1,O378*Calculations!$B$2&lt;=Calculations!$B$11*Calculations!$B$4),1,0)</ns0:f>
        <ns0:v>0</ns0:v>
      </ns0:c>
    </ns0:row>
    <ns0:row r="379">
      <ns0:c r="A379" t="inlineStr">
        <ns0:is>
          <ns0:t>case_0378</ns0:t>
        </ns0:is>
      </ns0:c>
      <ns0:c r="B379" t="inlineStr">
        <ns0:is>
          <ns0:t>function_0064</ns0:t>
        </ns0:is>
      </ns0:c>
      <ns0:c r="C379" t="inlineStr">
        <ns0:is>
          <ns0:t>run_005</ns0:t>
        </ns0:is>
      </ns0:c>
      <ns0:c r="D379" t="inlineStr">
        <ns0:is>
          <ns0:t>humantime</ns0:t>
        </ns0:is>
      </ns0:c>
      <ns0:c r="E379" t="inlineStr">
        <ns0:is>
          <ns0:t>gpt-3.5-turbo</ns0:t>
        </ns0:is>
      </ns0:c>
      <ns0:c r="F379" t="inlineStr">
        <ns0:is>
          <ns0:t>E0432,E0433,E0599</ns0:t>
        </ns0:is>
      </ns0:c>
      <ns0:c r="G379" t="n">
        <ns0:v>0</ns0:v>
      </ns0:c>
      <ns0:c r="H379" t="n">
        <ns0:v>4252</ns0:v>
      </ns0:c>
      <ns0:c r="I379" t="n">
        <ns0:v>144</ns0:v>
      </ns0:c>
      <ns0:c r="J379" t="n">
        <ns0:v>4396</ns0:v>
      </ns0:c>
      <ns0:c r="K379" t="n">
        <ns0:v>3</ns0:v>
      </ns0:c>
      <ns0:c r="L379" t="n">
        <ns0:v>1</ns0:v>
      </ns0:c>
      <ns0:c r="M379" t="n">
        <ns0:v>67888</ns0:v>
      </ns0:c>
      <ns0:c r="N379" t="n">
        <ns0:v>736</ns0:v>
      </ns0:c>
      <ns0:c r="O379" t="n">
        <ns0:v>68624</ns0:v>
      </ns0:c>
      <ns0:c r="P379" t="n">
        <ns0:v>9</ns0:v>
      </ns0:c>
      <ns0:c r="Q379">
        <ns0:f>IF(AND(L379=1,O379*Calculations!$B$2&lt;=Calculations!$B$10*Calculations!$B$4),1,0)</ns0:f>
        <ns0:v>0</ns0:v>
      </ns0:c>
      <ns0:c r="R379">
        <ns0:f>IF(AND(L379=1,O379*Calculations!$B$2&lt;=Calculations!$B$11*Calculations!$B$4),1,0)</ns0:f>
        <ns0:v>0</ns0:v>
      </ns0:c>
    </ns0:row>
    <ns0:row r="380">
      <ns0:c r="A380" t="inlineStr">
        <ns0:is>
          <ns0:t>case_0379</ns0:t>
        </ns0:is>
      </ns0:c>
      <ns0:c r="B380" t="inlineStr">
        <ns0:is>
          <ns0:t>function_0064</ns0:t>
        </ns0:is>
      </ns0:c>
      <ns0:c r="C380" t="inlineStr">
        <ns0:is>
          <ns0:t>run_005</ns0:t>
        </ns0:is>
      </ns0:c>
      <ns0:c r="D380" t="inlineStr">
        <ns0:is>
          <ns0:t>humantime</ns0:t>
        </ns0:is>
      </ns0:c>
      <ns0:c r="E380" t="inlineStr">
        <ns0:is>
          <ns0:t>gpt-3.5-turbo</ns0:t>
        </ns0:is>
      </ns0:c>
      <ns0:c r="F380" t="inlineStr">
        <ns0:is>
          <ns0:t>E0432,E0433,E0599</ns0:t>
        </ns0:is>
      </ns0:c>
      <ns0:c r="G380" t="n">
        <ns0:v>0</ns0:v>
      </ns0:c>
      <ns0:c r="H380" t="n">
        <ns0:v>4233</ns0:v>
      </ns0:c>
      <ns0:c r="I380" t="n">
        <ns0:v>135</ns0:v>
      </ns0:c>
      <ns0:c r="J380" t="n">
        <ns0:v>4368</ns0:v>
      </ns0:c>
      <ns0:c r="K380" t="n">
        <ns0:v>3</ns0:v>
      </ns0:c>
      <ns0:c r="L380" t="n">
        <ns0:v>1</ns0:v>
      </ns0:c>
      <ns0:c r="M380" t="n">
        <ns0:v>35545</ns0:v>
      </ns0:c>
      <ns0:c r="N380" t="n">
        <ns0:v>776</ns0:v>
      </ns0:c>
      <ns0:c r="O380" t="n">
        <ns0:v>36321</ns0:v>
      </ns0:c>
      <ns0:c r="P380" t="n">
        <ns0:v>5</ns0:v>
      </ns0:c>
      <ns0:c r="Q380">
        <ns0:f>IF(AND(L380=1,O380*Calculations!$B$2&lt;=Calculations!$B$10*Calculations!$B$4),1,0)</ns0:f>
        <ns0:v>0</ns0:v>
      </ns0:c>
      <ns0:c r="R380">
        <ns0:f>IF(AND(L380=1,O380*Calculations!$B$2&lt;=Calculations!$B$11*Calculations!$B$4),1,0)</ns0:f>
        <ns0:v>1</ns0:v>
      </ns0:c>
    </ns0:row>
    <ns0:row r="381">
      <ns0:c r="A381" t="inlineStr">
        <ns0:is>
          <ns0:t>case_0380</ns0:t>
        </ns0:is>
      </ns0:c>
      <ns0:c r="B381" t="inlineStr">
        <ns0:is>
          <ns0:t>function_0064</ns0:t>
        </ns0:is>
      </ns0:c>
      <ns0:c r="C381" t="inlineStr">
        <ns0:is>
          <ns0:t>run_005</ns0:t>
        </ns0:is>
      </ns0:c>
      <ns0:c r="D381" t="inlineStr">
        <ns0:is>
          <ns0:t>humantime</ns0:t>
        </ns0:is>
      </ns0:c>
      <ns0:c r="E381" t="inlineStr">
        <ns0:is>
          <ns0:t>gpt-3.5-turbo</ns0:t>
        </ns0:is>
      </ns0:c>
      <ns0:c r="F381" t="inlineStr">
        <ns0:is>
          <ns0:t>E0599</ns0:t>
        </ns0:is>
      </ns0:c>
      <ns0:c r="G381" t="n">
        <ns0:v>0</ns0:v>
      </ns0:c>
      <ns0:c r="H381" t="n">
        <ns0:v>2731</ns0:v>
      </ns0:c>
      <ns0:c r="I381" t="n">
        <ns0:v>137</ns0:v>
      </ns0:c>
      <ns0:c r="J381" t="n">
        <ns0:v>2868</ns0:v>
      </ns0:c>
      <ns0:c r="K381" t="n">
        <ns0:v>3</ns0:v>
      </ns0:c>
      <ns0:c r="L381" t="n">
        <ns0:v>1</ns0:v>
      </ns0:c>
      <ns0:c r="M381" t="n">
        <ns0:v>46809</ns0:v>
      </ns0:c>
      <ns0:c r="N381" t="n">
        <ns0:v>674</ns0:v>
      </ns0:c>
      <ns0:c r="O381" t="n">
        <ns0:v>47483</ns0:v>
      </ns0:c>
      <ns0:c r="P381" t="n">
        <ns0:v>6</ns0:v>
      </ns0:c>
      <ns0:c r="Q381">
        <ns0:f>IF(AND(L381=1,O381*Calculations!$B$2&lt;=Calculations!$B$10*Calculations!$B$4),1,0)</ns0:f>
        <ns0:v>0</ns0:v>
      </ns0:c>
      <ns0:c r="R381">
        <ns0:f>IF(AND(L381=1,O381*Calculations!$B$2&lt;=Calculations!$B$11*Calculations!$B$4),1,0)</ns0:f>
        <ns0:v>0</ns0:v>
      </ns0:c>
    </ns0:row>
    <ns0:row r="382">
      <ns0:c r="A382" t="inlineStr">
        <ns0:is>
          <ns0:t>case_0381</ns0:t>
        </ns0:is>
      </ns0:c>
      <ns0:c r="B382" t="inlineStr">
        <ns0:is>
          <ns0:t>function_0065</ns0:t>
        </ns0:is>
      </ns0:c>
      <ns0:c r="C382" t="inlineStr">
        <ns0:is>
          <ns0:t>run_005</ns0:t>
        </ns0:is>
      </ns0:c>
      <ns0:c r="D382" t="inlineStr">
        <ns0:is>
          <ns0:t>humantime</ns0:t>
        </ns0:is>
      </ns0:c>
      <ns0:c r="E382" t="inlineStr">
        <ns0:is>
          <ns0:t>gpt-3.5-turbo</ns0:t>
        </ns0:is>
      </ns0:c>
      <ns0:c r="F382" t="inlineStr">
        <ns0:is>
          <ns0:t>E0433</ns0:t>
        </ns0:is>
      </ns0:c>
      <ns0:c r="G382" t="n">
        <ns0:v>1</ns0:v>
      </ns0:c>
      <ns0:c r="H382" t="n">
        <ns0:v>0</ns0:v>
      </ns0:c>
      <ns0:c r="I382" t="n">
        <ns0:v>0</ns0:v>
      </ns0:c>
      <ns0:c r="J382" t="n">
        <ns0:v>0</ns0:v>
      </ns0:c>
      <ns0:c r="K382" t="n">
        <ns0:v>0</ns0:v>
      </ns0:c>
      <ns0:c r="L382" t="n">
        <ns0:v>1</ns0:v>
      </ns0:c>
      <ns0:c r="M382" t="n">
        <ns0:v>20347</ns0:v>
      </ns0:c>
      <ns0:c r="N382" t="n">
        <ns0:v>619</ns0:v>
      </ns0:c>
      <ns0:c r="O382" t="n">
        <ns0:v>20966</ns0:v>
      </ns0:c>
      <ns0:c r="P382" t="n">
        <ns0:v>3</ns0:v>
      </ns0:c>
      <ns0:c r="Q382">
        <ns0:f>IF(AND(L382=1,O382*Calculations!$B$2&lt;=Calculations!$B$10*Calculations!$B$4),1,0)</ns0:f>
        <ns0:v>1</ns0:v>
      </ns0:c>
      <ns0:c r="R382">
        <ns0:f>IF(AND(L382=1,O382*Calculations!$B$2&lt;=Calculations!$B$11*Calculations!$B$4),1,0)</ns0:f>
        <ns0:v>1</ns0:v>
      </ns0:c>
    </ns0:row>
    <ns0:row r="383">
      <ns0:c r="A383" t="inlineStr">
        <ns0:is>
          <ns0:t>case_0382</ns0:t>
        </ns0:is>
      </ns0:c>
      <ns0:c r="B383" t="inlineStr">
        <ns0:is>
          <ns0:t>function_0065</ns0:t>
        </ns0:is>
      </ns0:c>
      <ns0:c r="C383" t="inlineStr">
        <ns0:is>
          <ns0:t>run_005</ns0:t>
        </ns0:is>
      </ns0:c>
      <ns0:c r="D383" t="inlineStr">
        <ns0:is>
          <ns0:t>humantime</ns0:t>
        </ns0:is>
      </ns0:c>
      <ns0:c r="E383" t="inlineStr">
        <ns0:is>
          <ns0:t>gpt-3.5-turbo</ns0:t>
        </ns0:is>
      </ns0:c>
      <ns0:c r="F383" t="inlineStr">
        <ns0:is>
          <ns0:t>E0433</ns0:t>
        </ns0:is>
      </ns0:c>
      <ns0:c r="G383" t="n">
        <ns0:v>1</ns0:v>
      </ns0:c>
      <ns0:c r="H383" t="n">
        <ns0:v>0</ns0:v>
      </ns0:c>
      <ns0:c r="I383" t="n">
        <ns0:v>0</ns0:v>
      </ns0:c>
      <ns0:c r="J383" t="n">
        <ns0:v>0</ns0:v>
      </ns0:c>
      <ns0:c r="K383" t="n">
        <ns0:v>0</ns0:v>
      </ns0:c>
      <ns0:c r="L383" t="n">
        <ns0:v>1</ns0:v>
      </ns0:c>
      <ns0:c r="M383" t="n">
        <ns0:v>20087</ns0:v>
      </ns0:c>
      <ns0:c r="N383" t="n">
        <ns0:v>194</ns0:v>
      </ns0:c>
      <ns0:c r="O383" t="n">
        <ns0:v>20281</ns0:v>
      </ns0:c>
      <ns0:c r="P383" t="n">
        <ns0:v>3</ns0:v>
      </ns0:c>
      <ns0:c r="Q383">
        <ns0:f>IF(AND(L383=1,O383*Calculations!$B$2&lt;=Calculations!$B$10*Calculations!$B$4),1,0)</ns0:f>
        <ns0:v>1</ns0:v>
      </ns0:c>
      <ns0:c r="R383">
        <ns0:f>IF(AND(L383=1,O383*Calculations!$B$2&lt;=Calculations!$B$11*Calculations!$B$4),1,0)</ns0:f>
        <ns0:v>1</ns0:v>
      </ns0:c>
    </ns0:row>
    <ns0:row r="384">
      <ns0:c r="A384" t="inlineStr">
        <ns0:is>
          <ns0:t>case_0383</ns0:t>
        </ns0:is>
      </ns0:c>
      <ns0:c r="B384" t="inlineStr">
        <ns0:is>
          <ns0:t>function_0065</ns0:t>
        </ns0:is>
      </ns0:c>
      <ns0:c r="C384" t="inlineStr">
        <ns0:is>
          <ns0:t>run_005</ns0:t>
        </ns0:is>
      </ns0:c>
      <ns0:c r="D384" t="inlineStr">
        <ns0:is>
          <ns0:t>humantime</ns0:t>
        </ns0:is>
      </ns0:c>
      <ns0:c r="E384" t="inlineStr">
        <ns0:is>
          <ns0:t>gpt-3.5-turbo</ns0:t>
        </ns0:is>
      </ns0:c>
      <ns0:c r="F384" t="inlineStr">
        <ns0:is>
          <ns0:t>E0433</ns0:t>
        </ns0:is>
      </ns0:c>
      <ns0:c r="G384" t="n">
        <ns0:v>1</ns0:v>
      </ns0:c>
      <ns0:c r="H384" t="n">
        <ns0:v>0</ns0:v>
      </ns0:c>
      <ns0:c r="I384" t="n">
        <ns0:v>0</ns0:v>
      </ns0:c>
      <ns0:c r="J384" t="n">
        <ns0:v>0</ns0:v>
      </ns0:c>
      <ns0:c r="K384" t="n">
        <ns0:v>0</ns0:v>
      </ns0:c>
      <ns0:c r="L384" t="n">
        <ns0:v>1</ns0:v>
      </ns0:c>
      <ns0:c r="M384" t="n">
        <ns0:v>27624</ns0:v>
      </ns0:c>
      <ns0:c r="N384" t="n">
        <ns0:v>794</ns0:v>
      </ns0:c>
      <ns0:c r="O384" t="n">
        <ns0:v>28418</ns0:v>
      </ns0:c>
      <ns0:c r="P384" t="n">
        <ns0:v>4</ns0:v>
      </ns0:c>
      <ns0:c r="Q384">
        <ns0:f>IF(AND(L384=1,O384*Calculations!$B$2&lt;=Calculations!$B$10*Calculations!$B$4),1,0)</ns0:f>
        <ns0:v>0</ns0:v>
      </ns0:c>
      <ns0:c r="R384">
        <ns0:f>IF(AND(L384=1,O384*Calculations!$B$2&lt;=Calculations!$B$11*Calculations!$B$4),1,0)</ns0:f>
        <ns0:v>1</ns0:v>
      </ns0:c>
    </ns0:row>
    <ns0:row r="385">
      <ns0:c r="A385" t="inlineStr">
        <ns0:is>
          <ns0:t>case_0384</ns0:t>
        </ns0:is>
      </ns0:c>
      <ns0:c r="B385" t="inlineStr">
        <ns0:is>
          <ns0:t>function_0066</ns0:t>
        </ns0:is>
      </ns0:c>
      <ns0:c r="C385" t="inlineStr">
        <ns0:is>
          <ns0:t>run_005</ns0:t>
        </ns0:is>
      </ns0:c>
      <ns0:c r="D385" t="inlineStr">
        <ns0:is>
          <ns0:t>humantime</ns0:t>
        </ns0:is>
      </ns0:c>
      <ns0:c r="E385" t="inlineStr">
        <ns0:is>
          <ns0:t>gpt-3.5-turbo</ns0:t>
        </ns0:is>
      </ns0:c>
      <ns0:c r="F385" t="inlineStr">
        <ns0:is>
          <ns0:t>E0433</ns0:t>
        </ns0:is>
      </ns0:c>
      <ns0:c r="G385" t="n">
        <ns0:v>1</ns0:v>
      </ns0:c>
      <ns0:c r="H385" t="n">
        <ns0:v>0</ns0:v>
      </ns0:c>
      <ns0:c r="I385" t="n">
        <ns0:v>0</ns0:v>
      </ns0:c>
      <ns0:c r="J385" t="n">
        <ns0:v>0</ns0:v>
      </ns0:c>
      <ns0:c r="K385" t="n">
        <ns0:v>0</ns0:v>
      </ns0:c>
      <ns0:c r="L385" t="n">
        <ns0:v>1</ns0:v>
      </ns0:c>
      <ns0:c r="M385" t="n">
        <ns0:v>21328</ns0:v>
      </ns0:c>
      <ns0:c r="N385" t="n">
        <ns0:v>337</ns0:v>
      </ns0:c>
      <ns0:c r="O385" t="n">
        <ns0:v>21665</ns0:v>
      </ns0:c>
      <ns0:c r="P385" t="n">
        <ns0:v>3</ns0:v>
      </ns0:c>
      <ns0:c r="Q385">
        <ns0:f>IF(AND(L385=1,O385*Calculations!$B$2&lt;=Calculations!$B$10*Calculations!$B$4),1,0)</ns0:f>
        <ns0:v>1</ns0:v>
      </ns0:c>
      <ns0:c r="R385">
        <ns0:f>IF(AND(L385=1,O385*Calculations!$B$2&lt;=Calculations!$B$11*Calculations!$B$4),1,0)</ns0:f>
        <ns0:v>1</ns0:v>
      </ns0:c>
    </ns0:row>
    <ns0:row r="386">
      <ns0:c r="A386" t="inlineStr">
        <ns0:is>
          <ns0:t>case_0385</ns0:t>
        </ns0:is>
      </ns0:c>
      <ns0:c r="B386" t="inlineStr">
        <ns0:is>
          <ns0:t>function_0066</ns0:t>
        </ns0:is>
      </ns0:c>
      <ns0:c r="C386" t="inlineStr">
        <ns0:is>
          <ns0:t>run_005</ns0:t>
        </ns0:is>
      </ns0:c>
      <ns0:c r="D386" t="inlineStr">
        <ns0:is>
          <ns0:t>humantime</ns0:t>
        </ns0:is>
      </ns0:c>
      <ns0:c r="E386" t="inlineStr">
        <ns0:is>
          <ns0:t>gpt-3.5-turbo</ns0:t>
        </ns0:is>
      </ns0:c>
      <ns0:c r="F386" t="inlineStr">
        <ns0:is>
          <ns0:t>E0433</ns0:t>
        </ns0:is>
      </ns0:c>
      <ns0:c r="G386" t="n">
        <ns0:v>1</ns0:v>
      </ns0:c>
      <ns0:c r="H386" t="n">
        <ns0:v>0</ns0:v>
      </ns0:c>
      <ns0:c r="I386" t="n">
        <ns0:v>0</ns0:v>
      </ns0:c>
      <ns0:c r="J386" t="n">
        <ns0:v>0</ns0:v>
      </ns0:c>
      <ns0:c r="K386" t="n">
        <ns0:v>0</ns0:v>
      </ns0:c>
      <ns0:c r="L386" t="n">
        <ns0:v>1</ns0:v>
      </ns0:c>
      <ns0:c r="M386" t="n">
        <ns0:v>35006</ns0:v>
      </ns0:c>
      <ns0:c r="N386" t="n">
        <ns0:v>299</ns0:v>
      </ns0:c>
      <ns0:c r="O386" t="n">
        <ns0:v>35305</ns0:v>
      </ns0:c>
      <ns0:c r="P386" t="n">
        <ns0:v>5</ns0:v>
      </ns0:c>
      <ns0:c r="Q386">
        <ns0:f>IF(AND(L386=1,O386*Calculations!$B$2&lt;=Calculations!$B$10*Calculations!$B$4),1,0)</ns0:f>
        <ns0:v>0</ns0:v>
      </ns0:c>
      <ns0:c r="R386">
        <ns0:f>IF(AND(L386=1,O386*Calculations!$B$2&lt;=Calculations!$B$11*Calculations!$B$4),1,0)</ns0:f>
        <ns0:v>1</ns0:v>
      </ns0:c>
    </ns0:row>
    <ns0:row r="387">
      <ns0:c r="A387" t="inlineStr">
        <ns0:is>
          <ns0:t>case_0386</ns0:t>
        </ns0:is>
      </ns0:c>
      <ns0:c r="B387" t="inlineStr">
        <ns0:is>
          <ns0:t>function_0066</ns0:t>
        </ns0:is>
      </ns0:c>
      <ns0:c r="C387" t="inlineStr">
        <ns0:is>
          <ns0:t>run_005</ns0:t>
        </ns0:is>
      </ns0:c>
      <ns0:c r="D387" t="inlineStr">
        <ns0:is>
          <ns0:t>humantime</ns0:t>
        </ns0:is>
      </ns0:c>
      <ns0:c r="E387" t="inlineStr">
        <ns0:is>
          <ns0:t>gpt-3.5-turbo</ns0:t>
        </ns0:is>
      </ns0:c>
      <ns0:c r="F387" t="inlineStr">
        <ns0:is>
          <ns0:t>E0433</ns0:t>
        </ns0:is>
      </ns0:c>
      <ns0:c r="G387" t="n">
        <ns0:v>1</ns0:v>
      </ns0:c>
      <ns0:c r="H387" t="n">
        <ns0:v>0</ns0:v>
      </ns0:c>
      <ns0:c r="I387" t="n">
        <ns0:v>0</ns0:v>
      </ns0:c>
      <ns0:c r="J387" t="n">
        <ns0:v>0</ns0:v>
      </ns0:c>
      <ns0:c r="K387" t="n">
        <ns0:v>0</ns0:v>
      </ns0:c>
      <ns0:c r="L387" t="n">
        <ns0:v>0</ns0:v>
      </ns0:c>
      <ns0:c r="M387" t="n">
        <ns0:v>167038</ns0:v>
      </ns0:c>
      <ns0:c r="N387" t="n">
        <ns0:v>2621</ns0:v>
      </ns0:c>
      <ns0:c r="O387" t="n">
        <ns0:v>169659</ns0:v>
      </ns0:c>
      <ns0:c r="P387" t="n">
        <ns0:v>20</ns0:v>
      </ns0:c>
      <ns0:c r="Q387">
        <ns0:f>IF(AND(L387=1,O387*Calculations!$B$2&lt;=Calculations!$B$10*Calculations!$B$4),1,0)</ns0:f>
        <ns0:v>0</ns0:v>
      </ns0:c>
      <ns0:c r="R387">
        <ns0:f>IF(AND(L387=1,O387*Calculations!$B$2&lt;=Calculations!$B$11*Calculations!$B$4),1,0)</ns0:f>
        <ns0:v>0</ns0:v>
      </ns0:c>
    </ns0:row>
    <ns0:row r="388">
      <ns0:c r="A388" t="inlineStr">
        <ns0:is>
          <ns0:t>case_0387</ns0:t>
        </ns0:is>
      </ns0:c>
      <ns0:c r="B388" t="inlineStr">
        <ns0:is>
          <ns0:t>function_0066</ns0:t>
        </ns0:is>
      </ns0:c>
      <ns0:c r="C388" t="inlineStr">
        <ns0:is>
          <ns0:t>run_005</ns0:t>
        </ns0:is>
      </ns0:c>
      <ns0:c r="D388" t="inlineStr">
        <ns0:is>
          <ns0:t>humantime</ns0:t>
        </ns0:is>
      </ns0:c>
      <ns0:c r="E388" t="inlineStr">
        <ns0:is>
          <ns0:t>gpt-3.5-turbo</ns0:t>
        </ns0:is>
      </ns0:c>
      <ns0:c r="F388" t="inlineStr">
        <ns0:is>
          <ns0:t>E0433</ns0:t>
        </ns0:is>
      </ns0:c>
      <ns0:c r="G388" t="n">
        <ns0:v>1</ns0:v>
      </ns0:c>
      <ns0:c r="H388" t="n">
        <ns0:v>0</ns0:v>
      </ns0:c>
      <ns0:c r="I388" t="n">
        <ns0:v>0</ns0:v>
      </ns0:c>
      <ns0:c r="J388" t="n">
        <ns0:v>0</ns0:v>
      </ns0:c>
      <ns0:c r="K388" t="n">
        <ns0:v>0</ns0:v>
      </ns0:c>
      <ns0:c r="L388" t="n">
        <ns0:v>1</ns0:v>
      </ns0:c>
      <ns0:c r="M388" t="n">
        <ns0:v>31433</ns0:v>
      </ns0:c>
      <ns0:c r="N388" t="n">
        <ns0:v>339</ns0:v>
      </ns0:c>
      <ns0:c r="O388" t="n">
        <ns0:v>31772</ns0:v>
      </ns0:c>
      <ns0:c r="P388" t="n">
        <ns0:v>4</ns0:v>
      </ns0:c>
      <ns0:c r="Q388">
        <ns0:f>IF(AND(L388=1,O388*Calculations!$B$2&lt;=Calculations!$B$10*Calculations!$B$4),1,0)</ns0:f>
        <ns0:v>0</ns0:v>
      </ns0:c>
      <ns0:c r="R388">
        <ns0:f>IF(AND(L388=1,O388*Calculations!$B$2&lt;=Calculations!$B$11*Calculations!$B$4),1,0)</ns0:f>
        <ns0:v>1</ns0:v>
      </ns0:c>
    </ns0:row>
    <ns0:row r="389">
      <ns0:c r="A389" t="inlineStr">
        <ns0:is>
          <ns0:t>case_0388</ns0:t>
        </ns0:is>
      </ns0:c>
      <ns0:c r="B389" t="inlineStr">
        <ns0:is>
          <ns0:t>function_0066</ns0:t>
        </ns0:is>
      </ns0:c>
      <ns0:c r="C389" t="inlineStr">
        <ns0:is>
          <ns0:t>run_005</ns0:t>
        </ns0:is>
      </ns0:c>
      <ns0:c r="D389" t="inlineStr">
        <ns0:is>
          <ns0:t>humantime</ns0:t>
        </ns0:is>
      </ns0:c>
      <ns0:c r="E389" t="inlineStr">
        <ns0:is>
          <ns0:t>gpt-3.5-turbo</ns0:t>
        </ns0:is>
      </ns0:c>
      <ns0:c r="F389" t="inlineStr">
        <ns0:is>
          <ns0:t>E0433</ns0:t>
        </ns0:is>
      </ns0:c>
      <ns0:c r="G389" t="n">
        <ns0:v>1</ns0:v>
      </ns0:c>
      <ns0:c r="H389" t="n">
        <ns0:v>0</ns0:v>
      </ns0:c>
      <ns0:c r="I389" t="n">
        <ns0:v>0</ns0:v>
      </ns0:c>
      <ns0:c r="J389" t="n">
        <ns0:v>0</ns0:v>
      </ns0:c>
      <ns0:c r="K389" t="n">
        <ns0:v>0</ns0:v>
      </ns0:c>
      <ns0:c r="L389" t="n">
        <ns0:v>1</ns0:v>
      </ns0:c>
      <ns0:c r="M389" t="n">
        <ns0:v>20177</ns0:v>
      </ns0:c>
      <ns0:c r="N389" t="n">
        <ns0:v>335</ns0:v>
      </ns0:c>
      <ns0:c r="O389" t="n">
        <ns0:v>20512</ns0:v>
      </ns0:c>
      <ns0:c r="P389" t="n">
        <ns0:v>3</ns0:v>
      </ns0:c>
      <ns0:c r="Q389">
        <ns0:f>IF(AND(L389=1,O389*Calculations!$B$2&lt;=Calculations!$B$10*Calculations!$B$4),1,0)</ns0:f>
        <ns0:v>1</ns0:v>
      </ns0:c>
      <ns0:c r="R389">
        <ns0:f>IF(AND(L389=1,O389*Calculations!$B$2&lt;=Calculations!$B$11*Calculations!$B$4),1,0)</ns0:f>
        <ns0:v>1</ns0:v>
      </ns0:c>
    </ns0:row>
    <ns0:row r="390">
      <ns0:c r="A390" t="inlineStr">
        <ns0:is>
          <ns0:t>case_0389</ns0:t>
        </ns0:is>
      </ns0:c>
      <ns0:c r="B390" t="inlineStr">
        <ns0:is>
          <ns0:t>function_0066</ns0:t>
        </ns0:is>
      </ns0:c>
      <ns0:c r="C390" t="inlineStr">
        <ns0:is>
          <ns0:t>run_005</ns0:t>
        </ns0:is>
      </ns0:c>
      <ns0:c r="D390" t="inlineStr">
        <ns0:is>
          <ns0:t>humantime</ns0:t>
        </ns0:is>
      </ns0:c>
      <ns0:c r="E390" t="inlineStr">
        <ns0:is>
          <ns0:t>gpt-3.5-turbo</ns0:t>
        </ns0:is>
      </ns0:c>
      <ns0:c r="F390" t="inlineStr">
        <ns0:is>
          <ns0:t>E0432,E0433</ns0:t>
        </ns0:is>
      </ns0:c>
      <ns0:c r="G390" t="n">
        <ns0:v>1</ns0:v>
      </ns0:c>
      <ns0:c r="H390" t="n">
        <ns0:v>0</ns0:v>
      </ns0:c>
      <ns0:c r="I390" t="n">
        <ns0:v>0</ns0:v>
      </ns0:c>
      <ns0:c r="J390" t="n">
        <ns0:v>0</ns0:v>
      </ns0:c>
      <ns0:c r="K390" t="n">
        <ns0:v>0</ns0:v>
      </ns0:c>
      <ns0:c r="L390" t="n">
        <ns0:v>1</ns0:v>
      </ns0:c>
      <ns0:c r="M390" t="n">
        <ns0:v>20456</ns0:v>
      </ns0:c>
      <ns0:c r="N390" t="n">
        <ns0:v>341</ns0:v>
      </ns0:c>
      <ns0:c r="O390" t="n">
        <ns0:v>20797</ns0:v>
      </ns0:c>
      <ns0:c r="P390" t="n">
        <ns0:v>3</ns0:v>
      </ns0:c>
      <ns0:c r="Q390">
        <ns0:f>IF(AND(L390=1,O390*Calculations!$B$2&lt;=Calculations!$B$10*Calculations!$B$4),1,0)</ns0:f>
        <ns0:v>1</ns0:v>
      </ns0:c>
      <ns0:c r="R390">
        <ns0:f>IF(AND(L390=1,O390*Calculations!$B$2&lt;=Calculations!$B$11*Calculations!$B$4),1,0)</ns0:f>
        <ns0:v>1</ns0:v>
      </ns0:c>
    </ns0:row>
    <ns0:row r="391">
      <ns0:c r="A391" t="inlineStr">
        <ns0:is>
          <ns0:t>case_0390</ns0:t>
        </ns0:is>
      </ns0:c>
      <ns0:c r="B391" t="inlineStr">
        <ns0:is>
          <ns0:t>function_0067</ns0:t>
        </ns0:is>
      </ns0:c>
      <ns0:c r="C391" t="inlineStr">
        <ns0:is>
          <ns0:t>run_005</ns0:t>
        </ns0:is>
      </ns0:c>
      <ns0:c r="D391" t="inlineStr">
        <ns0:is>
          <ns0:t>humantime</ns0:t>
        </ns0:is>
      </ns0:c>
      <ns0:c r="E391" t="inlineStr">
        <ns0:is>
          <ns0:t>gpt-3.5-turbo</ns0:t>
        </ns0:is>
      </ns0:c>
      <ns0:c r="F391" t="inlineStr">
        <ns0:is>
          <ns0:t>E0277,E0433</ns0:t>
        </ns0:is>
      </ns0:c>
      <ns0:c r="G391" t="n">
        <ns0:v>0</ns0:v>
      </ns0:c>
      <ns0:c r="H391" t="n">
        <ns0:v>2587</ns0:v>
      </ns0:c>
      <ns0:c r="I391" t="n">
        <ns0:v>378</ns0:v>
      </ns0:c>
      <ns0:c r="J391" t="n">
        <ns0:v>2965</ns0:v>
      </ns0:c>
      <ns0:c r="K391" t="n">
        <ns0:v>3</ns0:v>
      </ns0:c>
      <ns0:c r="L391" t="n">
        <ns0:v>1</ns0:v>
      </ns0:c>
      <ns0:c r="M391" t="n">
        <ns0:v>112736</ns0:v>
      </ns0:c>
      <ns0:c r="N391" t="n">
        <ns0:v>3103</ns0:v>
      </ns0:c>
      <ns0:c r="O391" t="n">
        <ns0:v>115839</ns0:v>
      </ns0:c>
      <ns0:c r="P391" t="n">
        <ns0:v>13</ns0:v>
      </ns0:c>
      <ns0:c r="Q391">
        <ns0:f>IF(AND(L391=1,O391*Calculations!$B$2&lt;=Calculations!$B$10*Calculations!$B$4),1,0)</ns0:f>
        <ns0:v>0</ns0:v>
      </ns0:c>
      <ns0:c r="R391">
        <ns0:f>IF(AND(L391=1,O391*Calculations!$B$2&lt;=Calculations!$B$11*Calculations!$B$4),1,0)</ns0:f>
        <ns0:v>0</ns0:v>
      </ns0:c>
    </ns0:row>
    <ns0:row r="392">
      <ns0:c r="A392" t="inlineStr">
        <ns0:is>
          <ns0:t>case_0391</ns0:t>
        </ns0:is>
      </ns0:c>
      <ns0:c r="B392" t="inlineStr">
        <ns0:is>
          <ns0:t>function_0067</ns0:t>
        </ns0:is>
      </ns0:c>
      <ns0:c r="C392" t="inlineStr">
        <ns0:is>
          <ns0:t>run_005</ns0:t>
        </ns0:is>
      </ns0:c>
      <ns0:c r="D392" t="inlineStr">
        <ns0:is>
          <ns0:t>humantime</ns0:t>
        </ns0:is>
      </ns0:c>
      <ns0:c r="E392" t="inlineStr">
        <ns0:is>
          <ns0:t>gpt-3.5-turbo</ns0:t>
        </ns0:is>
      </ns0:c>
      <ns0:c r="F392" t="inlineStr">
        <ns0:is>
          <ns0:t>E0433</ns0:t>
        </ns0:is>
      </ns0:c>
      <ns0:c r="G392" t="n">
        <ns0:v>0</ns0:v>
      </ns0:c>
      <ns0:c r="H392" t="n">
        <ns0:v>4528</ns0:v>
      </ns0:c>
      <ns0:c r="I392" t="n">
        <ns0:v>294</ns0:v>
      </ns0:c>
      <ns0:c r="J392" t="n">
        <ns0:v>4822</ns0:v>
      </ns0:c>
      <ns0:c r="K392" t="n">
        <ns0:v>3</ns0:v>
      </ns0:c>
      <ns0:c r="L392" t="n">
        <ns0:v>1</ns0:v>
      </ns0:c>
      <ns0:c r="M392" t="n">
        <ns0:v>219916</ns0:v>
      </ns0:c>
      <ns0:c r="N392" t="n">
        <ns0:v>2610</ns0:v>
      </ns0:c>
      <ns0:c r="O392" t="n">
        <ns0:v>222526</ns0:v>
      </ns0:c>
      <ns0:c r="P392" t="n">
        <ns0:v>23</ns0:v>
      </ns0:c>
      <ns0:c r="Q392">
        <ns0:f>IF(AND(L392=1,O392*Calculations!$B$2&lt;=Calculations!$B$10*Calculations!$B$4),1,0)</ns0:f>
        <ns0:v>0</ns0:v>
      </ns0:c>
      <ns0:c r="R392">
        <ns0:f>IF(AND(L392=1,O392*Calculations!$B$2&lt;=Calculations!$B$11*Calculations!$B$4),1,0)</ns0:f>
        <ns0:v>0</ns0:v>
      </ns0:c>
    </ns0:row>
    <ns0:row r="393">
      <ns0:c r="A393" t="inlineStr">
        <ns0:is>
          <ns0:t>case_0392</ns0:t>
        </ns0:is>
      </ns0:c>
      <ns0:c r="B393" t="inlineStr">
        <ns0:is>
          <ns0:t>function_0067</ns0:t>
        </ns0:is>
      </ns0:c>
      <ns0:c r="C393" t="inlineStr">
        <ns0:is>
          <ns0:t>run_005</ns0:t>
        </ns0:is>
      </ns0:c>
      <ns0:c r="D393" t="inlineStr">
        <ns0:is>
          <ns0:t>humantime</ns0:t>
        </ns0:is>
      </ns0:c>
      <ns0:c r="E393" t="inlineStr">
        <ns0:is>
          <ns0:t>gpt-3.5-turbo</ns0:t>
        </ns0:is>
      </ns0:c>
      <ns0:c r="F393" t="inlineStr">
        <ns0:is>
          <ns0:t>E0432,E0433</ns0:t>
        </ns0:is>
      </ns0:c>
      <ns0:c r="G393" t="n">
        <ns0:v>1</ns0:v>
      </ns0:c>
      <ns0:c r="H393" t="n">
        <ns0:v>0</ns0:v>
      </ns0:c>
      <ns0:c r="I393" t="n">
        <ns0:v>0</ns0:v>
      </ns0:c>
      <ns0:c r="J393" t="n">
        <ns0:v>0</ns0:v>
      </ns0:c>
      <ns0:c r="K393" t="n">
        <ns0:v>0</ns0:v>
      </ns0:c>
      <ns0:c r="L393" t="n">
        <ns0:v>1</ns0:v>
      </ns0:c>
      <ns0:c r="M393" t="n">
        <ns0:v>20420</ns0:v>
      </ns0:c>
      <ns0:c r="N393" t="n">
        <ns0:v>585</ns0:v>
      </ns0:c>
      <ns0:c r="O393" t="n">
        <ns0:v>21005</ns0:v>
      </ns0:c>
      <ns0:c r="P393" t="n">
        <ns0:v>3</ns0:v>
      </ns0:c>
      <ns0:c r="Q393">
        <ns0:f>IF(AND(L393=1,O393*Calculations!$B$2&lt;=Calculations!$B$10*Calculations!$B$4),1,0)</ns0:f>
        <ns0:v>1</ns0:v>
      </ns0:c>
      <ns0:c r="R393">
        <ns0:f>IF(AND(L393=1,O393*Calculations!$B$2&lt;=Calculations!$B$11*Calculations!$B$4),1,0)</ns0:f>
        <ns0:v>1</ns0:v>
      </ns0:c>
    </ns0:row>
    <ns0:row r="394">
      <ns0:c r="A394" t="inlineStr">
        <ns0:is>
          <ns0:t>case_0393</ns0:t>
        </ns0:is>
      </ns0:c>
      <ns0:c r="B394" t="inlineStr">
        <ns0:is>
          <ns0:t>function_0068</ns0:t>
        </ns0:is>
      </ns0:c>
      <ns0:c r="C394" t="inlineStr">
        <ns0:is>
          <ns0:t>run_005</ns0:t>
        </ns0:is>
      </ns0:c>
      <ns0:c r="D394" t="inlineStr">
        <ns0:is>
          <ns0:t>humantime</ns0:t>
        </ns0:is>
      </ns0:c>
      <ns0:c r="E394" t="inlineStr">
        <ns0:is>
          <ns0:t>gpt-3.5-turbo</ns0:t>
        </ns0:is>
      </ns0:c>
      <ns0:c r="F394" t="inlineStr">
        <ns0:is>
          <ns0:t>E0277,E0432,E0433</ns0:t>
        </ns0:is>
      </ns0:c>
      <ns0:c r="G394" t="n">
        <ns0:v>0</ns0:v>
      </ns0:c>
      <ns0:c r="H394" t="n">
        <ns0:v>3771</ns0:v>
      </ns0:c>
      <ns0:c r="I394" t="n">
        <ns0:v>231</ns0:v>
      </ns0:c>
      <ns0:c r="J394" t="n">
        <ns0:v>4002</ns0:v>
      </ns0:c>
      <ns0:c r="K394" t="n">
        <ns0:v>3</ns0:v>
      </ns0:c>
      <ns0:c r="L394" t="n">
        <ns0:v>1</ns0:v>
      </ns0:c>
      <ns0:c r="M394" t="n">
        <ns0:v>59065</ns0:v>
      </ns0:c>
      <ns0:c r="N394" t="n">
        <ns0:v>1332</ns0:v>
      </ns0:c>
      <ns0:c r="O394" t="n">
        <ns0:v>60397</ns0:v>
      </ns0:c>
      <ns0:c r="P394" t="n">
        <ns0:v>8</ns0:v>
      </ns0:c>
      <ns0:c r="Q394">
        <ns0:f>IF(AND(L394=1,O394*Calculations!$B$2&lt;=Calculations!$B$10*Calculations!$B$4),1,0)</ns0:f>
        <ns0:v>0</ns0:v>
      </ns0:c>
      <ns0:c r="R394">
        <ns0:f>IF(AND(L394=1,O394*Calculations!$B$2&lt;=Calculations!$B$11*Calculations!$B$4),1,0)</ns0:f>
        <ns0:v>0</ns0:v>
      </ns0:c>
    </ns0:row>
    <ns0:row r="395">
      <ns0:c r="A395" t="inlineStr">
        <ns0:is>
          <ns0:t>case_0394</ns0:t>
        </ns0:is>
      </ns0:c>
      <ns0:c r="B395" t="inlineStr">
        <ns0:is>
          <ns0:t>function_0069</ns0:t>
        </ns0:is>
      </ns0:c>
      <ns0:c r="C395" t="inlineStr">
        <ns0:is>
          <ns0:t>run_005</ns0:t>
        </ns0:is>
      </ns0:c>
      <ns0:c r="D395" t="inlineStr">
        <ns0:is>
          <ns0:t>humantime</ns0:t>
        </ns0:is>
      </ns0:c>
      <ns0:c r="E395" t="inlineStr">
        <ns0:is>
          <ns0:t>gpt-3.5-turbo</ns0:t>
        </ns0:is>
      </ns0:c>
      <ns0:c r="F395" t="inlineStr">
        <ns0:is>
          <ns0:t>E0433</ns0:t>
        </ns0:is>
      </ns0:c>
      <ns0:c r="G395" t="n">
        <ns0:v>1</ns0:v>
      </ns0:c>
      <ns0:c r="H395" t="n">
        <ns0:v>0</ns0:v>
      </ns0:c>
      <ns0:c r="I395" t="n">
        <ns0:v>0</ns0:v>
      </ns0:c>
      <ns0:c r="J395" t="n">
        <ns0:v>0</ns0:v>
      </ns0:c>
      <ns0:c r="K395" t="n">
        <ns0:v>0</ns0:v>
      </ns0:c>
      <ns0:c r="L395" t="n">
        <ns0:v>1</ns0:v>
      </ns0:c>
      <ns0:c r="M395" t="n">
        <ns0:v>27555</ns0:v>
      </ns0:c>
      <ns0:c r="N395" t="n">
        <ns0:v>463</ns0:v>
      </ns0:c>
      <ns0:c r="O395" t="n">
        <ns0:v>28018</ns0:v>
      </ns0:c>
      <ns0:c r="P395" t="n">
        <ns0:v>4</ns0:v>
      </ns0:c>
      <ns0:c r="Q395">
        <ns0:f>IF(AND(L395=1,O395*Calculations!$B$2&lt;=Calculations!$B$10*Calculations!$B$4),1,0)</ns0:f>
        <ns0:v>0</ns0:v>
      </ns0:c>
      <ns0:c r="R395">
        <ns0:f>IF(AND(L395=1,O395*Calculations!$B$2&lt;=Calculations!$B$11*Calculations!$B$4),1,0)</ns0:f>
        <ns0:v>1</ns0:v>
      </ns0:c>
    </ns0:row>
    <ns0:row r="396">
      <ns0:c r="A396" t="inlineStr">
        <ns0:is>
          <ns0:t>case_0395</ns0:t>
        </ns0:is>
      </ns0:c>
      <ns0:c r="B396" t="inlineStr">
        <ns0:is>
          <ns0:t>function_0070</ns0:t>
        </ns0:is>
      </ns0:c>
      <ns0:c r="C396" t="inlineStr">
        <ns0:is>
          <ns0:t>run_005</ns0:t>
        </ns0:is>
      </ns0:c>
      <ns0:c r="D396" t="inlineStr">
        <ns0:is>
          <ns0:t>humantime</ns0:t>
        </ns0:is>
      </ns0:c>
      <ns0:c r="E396" t="inlineStr">
        <ns0:is>
          <ns0:t>gpt-3.5-turbo</ns0:t>
        </ns0:is>
      </ns0:c>
      <ns0:c r="F396" t="inlineStr">
        <ns0:is>
          <ns0:t>E0432</ns0:t>
        </ns0:is>
      </ns0:c>
      <ns0:c r="G396" t="n">
        <ns0:v>1</ns0:v>
      </ns0:c>
      <ns0:c r="H396" t="n">
        <ns0:v>0</ns0:v>
      </ns0:c>
      <ns0:c r="I396" t="n">
        <ns0:v>0</ns0:v>
      </ns0:c>
      <ns0:c r="J396" t="n">
        <ns0:v>0</ns0:v>
      </ns0:c>
      <ns0:c r="K396" t="n">
        <ns0:v>0</ns0:v>
      </ns0:c>
      <ns0:c r="L396" t="n">
        <ns0:v>1</ns0:v>
      </ns0:c>
      <ns0:c r="M396" t="n">
        <ns0:v>21520</ns0:v>
      </ns0:c>
      <ns0:c r="N396" t="n">
        <ns0:v>230</ns0:v>
      </ns0:c>
      <ns0:c r="O396" t="n">
        <ns0:v>21750</ns0:v>
      </ns0:c>
      <ns0:c r="P396" t="n">
        <ns0:v>3</ns0:v>
      </ns0:c>
      <ns0:c r="Q396">
        <ns0:f>IF(AND(L396=1,O396*Calculations!$B$2&lt;=Calculations!$B$10*Calculations!$B$4),1,0)</ns0:f>
        <ns0:v>1</ns0:v>
      </ns0:c>
      <ns0:c r="R396">
        <ns0:f>IF(AND(L396=1,O396*Calculations!$B$2&lt;=Calculations!$B$11*Calculations!$B$4),1,0)</ns0:f>
        <ns0:v>1</ns0:v>
      </ns0:c>
    </ns0:row>
    <ns0:row r="397">
      <ns0:c r="A397" t="inlineStr">
        <ns0:is>
          <ns0:t>case_0396</ns0:t>
        </ns0:is>
      </ns0:c>
      <ns0:c r="B397" t="inlineStr">
        <ns0:is>
          <ns0:t>function_0070</ns0:t>
        </ns0:is>
      </ns0:c>
      <ns0:c r="C397" t="inlineStr">
        <ns0:is>
          <ns0:t>run_005</ns0:t>
        </ns0:is>
      </ns0:c>
      <ns0:c r="D397" t="inlineStr">
        <ns0:is>
          <ns0:t>humantime</ns0:t>
        </ns0:is>
      </ns0:c>
      <ns0:c r="E397" t="inlineStr">
        <ns0:is>
          <ns0:t>gpt-3.5-turbo</ns0:t>
        </ns0:is>
      </ns0:c>
      <ns0:c r="F397" t="inlineStr">
        <ns0:is>
          <ns0:t>E0433</ns0:t>
        </ns0:is>
      </ns0:c>
      <ns0:c r="G397" t="n">
        <ns0:v>1</ns0:v>
      </ns0:c>
      <ns0:c r="H397" t="n">
        <ns0:v>1848</ns0:v>
      </ns0:c>
      <ns0:c r="I397" t="n">
        <ns0:v>73</ns0:v>
      </ns0:c>
      <ns0:c r="J397" t="n">
        <ns0:v>1921</ns0:v>
      </ns0:c>
      <ns0:c r="K397" t="n">
        <ns0:v>1</ns0:v>
      </ns0:c>
      <ns0:c r="L397" t="n">
        <ns0:v>1</ns0:v>
      </ns0:c>
      <ns0:c r="M397" t="n">
        <ns0:v>63186</ns0:v>
      </ns0:c>
      <ns0:c r="N397" t="n">
        <ns0:v>779</ns0:v>
      </ns0:c>
      <ns0:c r="O397" t="n">
        <ns0:v>63965</ns0:v>
      </ns0:c>
      <ns0:c r="P397" t="n">
        <ns0:v>8</ns0:v>
      </ns0:c>
      <ns0:c r="Q397">
        <ns0:f>IF(AND(L397=1,O397*Calculations!$B$2&lt;=Calculations!$B$10*Calculations!$B$4),1,0)</ns0:f>
        <ns0:v>0</ns0:v>
      </ns0:c>
      <ns0:c r="R397">
        <ns0:f>IF(AND(L397=1,O397*Calculations!$B$2&lt;=Calculations!$B$11*Calculations!$B$4),1,0)</ns0:f>
        <ns0:v>0</ns0:v>
      </ns0:c>
    </ns0:row>
    <ns0:row r="398">
      <ns0:c r="A398" t="inlineStr">
        <ns0:is>
          <ns0:t>case_0397</ns0:t>
        </ns0:is>
      </ns0:c>
      <ns0:c r="B398" t="inlineStr">
        <ns0:is>
          <ns0:t>function_0070</ns0:t>
        </ns0:is>
      </ns0:c>
      <ns0:c r="C398" t="inlineStr">
        <ns0:is>
          <ns0:t>run_005</ns0:t>
        </ns0:is>
      </ns0:c>
      <ns0:c r="D398" t="inlineStr">
        <ns0:is>
          <ns0:t>humantime</ns0:t>
        </ns0:is>
      </ns0:c>
      <ns0:c r="E398" t="inlineStr">
        <ns0:is>
          <ns0:t>gpt-3.5-turbo</ns0:t>
        </ns0:is>
      </ns0:c>
      <ns0:c r="F398" t="inlineStr">
        <ns0:is>
          <ns0:t>E0432</ns0:t>
        </ns0:is>
      </ns0:c>
      <ns0:c r="G398" t="n">
        <ns0:v>1</ns0:v>
      </ns0:c>
      <ns0:c r="H398" t="n">
        <ns0:v>0</ns0:v>
      </ns0:c>
      <ns0:c r="I398" t="n">
        <ns0:v>0</ns0:v>
      </ns0:c>
      <ns0:c r="J398" t="n">
        <ns0:v>0</ns0:v>
      </ns0:c>
      <ns0:c r="K398" t="n">
        <ns0:v>0</ns0:v>
      </ns0:c>
      <ns0:c r="L398" t="n">
        <ns0:v>1</ns0:v>
      </ns0:c>
      <ns0:c r="M398" t="n">
        <ns0:v>20339</ns0:v>
      </ns0:c>
      <ns0:c r="N398" t="n">
        <ns0:v>230</ns0:v>
      </ns0:c>
      <ns0:c r="O398" t="n">
        <ns0:v>20569</ns0:v>
      </ns0:c>
      <ns0:c r="P398" t="n">
        <ns0:v>3</ns0:v>
      </ns0:c>
      <ns0:c r="Q398">
        <ns0:f>IF(AND(L398=1,O398*Calculations!$B$2&lt;=Calculations!$B$10*Calculations!$B$4),1,0)</ns0:f>
        <ns0:v>1</ns0:v>
      </ns0:c>
      <ns0:c r="R398">
        <ns0:f>IF(AND(L398=1,O398*Calculations!$B$2&lt;=Calculations!$B$11*Calculations!$B$4),1,0)</ns0:f>
        <ns0:v>1</ns0:v>
      </ns0:c>
    </ns0:row>
    <ns0:row r="399">
      <ns0:c r="A399" t="inlineStr">
        <ns0:is>
          <ns0:t>case_0398</ns0:t>
        </ns0:is>
      </ns0:c>
      <ns0:c r="B399" t="inlineStr">
        <ns0:is>
          <ns0:t>function_0071</ns0:t>
        </ns0:is>
      </ns0:c>
      <ns0:c r="C399" t="inlineStr">
        <ns0:is>
          <ns0:t>run_005</ns0:t>
        </ns0:is>
      </ns0:c>
      <ns0:c r="D399" t="inlineStr">
        <ns0:is>
          <ns0:t>humantime</ns0:t>
        </ns0:is>
      </ns0:c>
      <ns0:c r="E399" t="inlineStr">
        <ns0:is>
          <ns0:t>gpt-3.5-turbo</ns0:t>
        </ns0:is>
      </ns0:c>
      <ns0:c r="F399" t="inlineStr">
        <ns0:is>
          <ns0:t>E0433</ns0:t>
        </ns0:is>
      </ns0:c>
      <ns0:c r="G399" t="n">
        <ns0:v>1</ns0:v>
      </ns0:c>
      <ns0:c r="H399" t="n">
        <ns0:v>679</ns0:v>
      </ns0:c>
      <ns0:c r="I399" t="n">
        <ns0:v>68</ns0:v>
      </ns0:c>
      <ns0:c r="J399" t="n">
        <ns0:v>747</ns0:v>
      </ns0:c>
      <ns0:c r="K399" t="n">
        <ns0:v>1</ns0:v>
      </ns0:c>
      <ns0:c r="L399" t="n">
        <ns0:v>1</ns0:v>
      </ns0:c>
      <ns0:c r="M399" t="n">
        <ns0:v>60982</ns0:v>
      </ns0:c>
      <ns0:c r="N399" t="n">
        <ns0:v>771</ns0:v>
      </ns0:c>
      <ns0:c r="O399" t="n">
        <ns0:v>61753</ns0:v>
      </ns0:c>
      <ns0:c r="P399" t="n">
        <ns0:v>4</ns0:v>
      </ns0:c>
      <ns0:c r="Q399">
        <ns0:f>IF(AND(L399=1,O399*Calculations!$B$2&lt;=Calculations!$B$10*Calculations!$B$4),1,0)</ns0:f>
        <ns0:v>0</ns0:v>
      </ns0:c>
      <ns0:c r="R399">
        <ns0:f>IF(AND(L399=1,O399*Calculations!$B$2&lt;=Calculations!$B$11*Calculations!$B$4),1,0)</ns0:f>
        <ns0:v>0</ns0:v>
      </ns0:c>
    </ns0:row>
    <ns0:row r="400">
      <ns0:c r="A400" t="inlineStr">
        <ns0:is>
          <ns0:t>case_0399</ns0:t>
        </ns0:is>
      </ns0:c>
      <ns0:c r="B400" t="inlineStr">
        <ns0:is>
          <ns0:t>function_0071</ns0:t>
        </ns0:is>
      </ns0:c>
      <ns0:c r="C400" t="inlineStr">
        <ns0:is>
          <ns0:t>run_005</ns0:t>
        </ns0:is>
      </ns0:c>
      <ns0:c r="D400" t="inlineStr">
        <ns0:is>
          <ns0:t>humantime</ns0:t>
        </ns0:is>
      </ns0:c>
      <ns0:c r="E400" t="inlineStr">
        <ns0:is>
          <ns0:t>gpt-3.5-turbo</ns0:t>
        </ns0:is>
      </ns0:c>
      <ns0:c r="F400" t="inlineStr">
        <ns0:is>
          <ns0:t>E0433</ns0:t>
        </ns0:is>
      </ns0:c>
      <ns0:c r="G400" t="n">
        <ns0:v>1</ns0:v>
      </ns0:c>
      <ns0:c r="H400" t="n">
        <ns0:v>689</ns0:v>
      </ns0:c>
      <ns0:c r="I400" t="n">
        <ns0:v>140</ns0:v>
      </ns0:c>
      <ns0:c r="J400" t="n">
        <ns0:v>829</ns0:v>
      </ns0:c>
      <ns0:c r="K400" t="n">
        <ns0:v>1</ns0:v>
      </ns0:c>
      <ns0:c r="L400" t="n">
        <ns0:v>1</ns0:v>
      </ns0:c>
      <ns0:c r="M400" t="n">
        <ns0:v>166500</ns0:v>
      </ns0:c>
      <ns0:c r="N400" t="n">
        <ns0:v>2041</ns0:v>
      </ns0:c>
      <ns0:c r="O400" t="n">
        <ns0:v>168541</ns0:v>
      </ns0:c>
      <ns0:c r="P400" t="n">
        <ns0:v>19</ns0:v>
      </ns0:c>
      <ns0:c r="Q400">
        <ns0:f>IF(AND(L400=1,O400*Calculations!$B$2&lt;=Calculations!$B$10*Calculations!$B$4),1,0)</ns0:f>
        <ns0:v>0</ns0:v>
      </ns0:c>
      <ns0:c r="R400">
        <ns0:f>IF(AND(L400=1,O400*Calculations!$B$2&lt;=Calculations!$B$11*Calculations!$B$4),1,0)</ns0:f>
        <ns0:v>0</ns0:v>
      </ns0:c>
    </ns0:row>
    <ns0:row r="401">
      <ns0:c r="A401" t="inlineStr">
        <ns0:is>
          <ns0:t>case_0400</ns0:t>
        </ns0:is>
      </ns0:c>
      <ns0:c r="B401" t="inlineStr">
        <ns0:is>
          <ns0:t>function_0071</ns0:t>
        </ns0:is>
      </ns0:c>
      <ns0:c r="C401" t="inlineStr">
        <ns0:is>
          <ns0:t>run_005</ns0:t>
        </ns0:is>
      </ns0:c>
      <ns0:c r="D401" t="inlineStr">
        <ns0:is>
          <ns0:t>humantime</ns0:t>
        </ns0:is>
      </ns0:c>
      <ns0:c r="E401" t="inlineStr">
        <ns0:is>
          <ns0:t>gpt-3.5-turbo</ns0:t>
        </ns0:is>
      </ns0:c>
      <ns0:c r="F401" t="inlineStr">
        <ns0:is>
          <ns0:t>E0433</ns0:t>
        </ns0:is>
      </ns0:c>
      <ns0:c r="G401" t="n">
        <ns0:v>0</ns0:v>
      </ns0:c>
      <ns0:c r="H401" t="n">
        <ns0:v>2426</ns0:v>
      </ns0:c>
      <ns0:c r="I401" t="n">
        <ns0:v>180</ns0:v>
      </ns0:c>
      <ns0:c r="J401" t="n">
        <ns0:v>2606</ns0:v>
      </ns0:c>
      <ns0:c r="K401" t="n">
        <ns0:v>3</ns0:v>
      </ns0:c>
      <ns0:c r="L401" t="n">
        <ns0:v>1</ns0:v>
      </ns0:c>
      <ns0:c r="M401" t="n">
        <ns0:v>75585</ns0:v>
      </ns0:c>
      <ns0:c r="N401" t="n">
        <ns0:v>660</ns0:v>
      </ns0:c>
      <ns0:c r="O401" t="n">
        <ns0:v>76245</ns0:v>
      </ns0:c>
      <ns0:c r="P401" t="n">
        <ns0:v>6</ns0:v>
      </ns0:c>
      <ns0:c r="Q401">
        <ns0:f>IF(AND(L401=1,O401*Calculations!$B$2&lt;=Calculations!$B$10*Calculations!$B$4),1,0)</ns0:f>
        <ns0:v>0</ns0:v>
      </ns0:c>
      <ns0:c r="R401">
        <ns0:f>IF(AND(L401=1,O401*Calculations!$B$2&lt;=Calculations!$B$11*Calculations!$B$4),1,0)</ns0:f>
        <ns0:v>0</ns0:v>
      </ns0:c>
    </ns0:row>
    <ns0:row r="402">
      <ns0:c r="A402" t="inlineStr">
        <ns0:is>
          <ns0:t>case_0401</ns0:t>
        </ns0:is>
      </ns0:c>
      <ns0:c r="B402" t="inlineStr">
        <ns0:is>
          <ns0:t>function_0071</ns0:t>
        </ns0:is>
      </ns0:c>
      <ns0:c r="C402" t="inlineStr">
        <ns0:is>
          <ns0:t>run_005</ns0:t>
        </ns0:is>
      </ns0:c>
      <ns0:c r="D402" t="inlineStr">
        <ns0:is>
          <ns0:t>humantime</ns0:t>
        </ns0:is>
      </ns0:c>
      <ns0:c r="E402" t="inlineStr">
        <ns0:is>
          <ns0:t>gpt-3.5-turbo</ns0:t>
        </ns0:is>
      </ns0:c>
      <ns0:c r="F402" t="inlineStr">
        <ns0:is>
          <ns0:t>E0433</ns0:t>
        </ns0:is>
      </ns0:c>
      <ns0:c r="G402" t="n">
        <ns0:v>1</ns0:v>
      </ns0:c>
      <ns0:c r="H402" t="n">
        <ns0:v>661</ns0:v>
      </ns0:c>
      <ns0:c r="I402" t="n">
        <ns0:v>64</ns0:v>
      </ns0:c>
      <ns0:c r="J402" t="n">
        <ns0:v>725</ns0:v>
      </ns0:c>
      <ns0:c r="K402" t="n">
        <ns0:v>1</ns0:v>
      </ns0:c>
      <ns0:c r="L402" t="n">
        <ns0:v>1</ns0:v>
      </ns0:c>
      <ns0:c r="M402" t="n">
        <ns0:v>214181</ns0:v>
      </ns0:c>
      <ns0:c r="N402" t="n">
        <ns0:v>1800</ns0:v>
      </ns0:c>
      <ns0:c r="O402" t="n">
        <ns0:v>215981</ns0:v>
      </ns0:c>
      <ns0:c r="P402" t="n">
        <ns0:v>20</ns0:v>
      </ns0:c>
      <ns0:c r="Q402">
        <ns0:f>IF(AND(L402=1,O402*Calculations!$B$2&lt;=Calculations!$B$10*Calculations!$B$4),1,0)</ns0:f>
        <ns0:v>0</ns0:v>
      </ns0:c>
      <ns0:c r="R402">
        <ns0:f>IF(AND(L402=1,O402*Calculations!$B$2&lt;=Calculations!$B$11*Calculations!$B$4),1,0)</ns0:f>
        <ns0:v>0</ns0:v>
      </ns0:c>
    </ns0:row>
    <ns0:row r="403">
      <ns0:c r="A403" t="inlineStr">
        <ns0:is>
          <ns0:t>case_0402</ns0:t>
        </ns0:is>
      </ns0:c>
      <ns0:c r="B403" t="inlineStr">
        <ns0:is>
          <ns0:t>function_0071</ns0:t>
        </ns0:is>
      </ns0:c>
      <ns0:c r="C403" t="inlineStr">
        <ns0:is>
          <ns0:t>run_005</ns0:t>
        </ns0:is>
      </ns0:c>
      <ns0:c r="D403" t="inlineStr">
        <ns0:is>
          <ns0:t>humantime</ns0:t>
        </ns0:is>
      </ns0:c>
      <ns0:c r="E403" t="inlineStr">
        <ns0:is>
          <ns0:t>gpt-3.5-turbo</ns0:t>
        </ns0:is>
      </ns0:c>
      <ns0:c r="F403" t="inlineStr">
        <ns0:is>
          <ns0:t>E0432</ns0:t>
        </ns0:is>
      </ns0:c>
      <ns0:c r="G403" t="n">
        <ns0:v>0</ns0:v>
      </ns0:c>
      <ns0:c r="H403" t="n">
        <ns0:v>3359</ns0:v>
      </ns0:c>
      <ns0:c r="I403" t="n">
        <ns0:v>180</ns0:v>
      </ns0:c>
      <ns0:c r="J403" t="n">
        <ns0:v>3539</ns0:v>
      </ns0:c>
      <ns0:c r="K403" t="n">
        <ns0:v>3</ns0:v>
      </ns0:c>
      <ns0:c r="L403" t="n">
        <ns0:v>0</ns0:v>
      </ns0:c>
      <ns0:c r="M403" t="n">
        <ns0:v>178631</ns0:v>
      </ns0:c>
      <ns0:c r="N403" t="n">
        <ns0:v>4470</ns0:v>
      </ns0:c>
      <ns0:c r="O403" t="n">
        <ns0:v>183101</ns0:v>
      </ns0:c>
      <ns0:c r="P403" t="n">
        <ns0:v>20</ns0:v>
      </ns0:c>
      <ns0:c r="Q403">
        <ns0:f>IF(AND(L403=1,O403*Calculations!$B$2&lt;=Calculations!$B$10*Calculations!$B$4),1,0)</ns0:f>
        <ns0:v>0</ns0:v>
      </ns0:c>
      <ns0:c r="R403">
        <ns0:f>IF(AND(L403=1,O403*Calculations!$B$2&lt;=Calculations!$B$11*Calculations!$B$4),1,0)</ns0:f>
        <ns0:v>0</ns0:v>
      </ns0:c>
    </ns0:row>
    <ns0:row r="404">
      <ns0:c r="A404" t="inlineStr">
        <ns0:is>
          <ns0:t>case_0403</ns0:t>
        </ns0:is>
      </ns0:c>
      <ns0:c r="B404" t="inlineStr">
        <ns0:is>
          <ns0:t>function_0071</ns0:t>
        </ns0:is>
      </ns0:c>
      <ns0:c r="C404" t="inlineStr">
        <ns0:is>
          <ns0:t>run_005</ns0:t>
        </ns0:is>
      </ns0:c>
      <ns0:c r="D404" t="inlineStr">
        <ns0:is>
          <ns0:t>humantime</ns0:t>
        </ns0:is>
      </ns0:c>
      <ns0:c r="E404" t="inlineStr">
        <ns0:is>
          <ns0:t>gpt-3.5-turbo</ns0:t>
        </ns0:is>
      </ns0:c>
      <ns0:c r="F404" t="inlineStr">
        <ns0:is>
          <ns0:t>E0433</ns0:t>
        </ns0:is>
      </ns0:c>
      <ns0:c r="G404" t="n">
        <ns0:v>0</ns0:v>
      </ns0:c>
      <ns0:c r="H404" t="n">
        <ns0:v>4021</ns0:v>
      </ns0:c>
      <ns0:c r="I404" t="n">
        <ns0:v>420</ns0:v>
      </ns0:c>
      <ns0:c r="J404" t="n">
        <ns0:v>4441</ns0:v>
      </ns0:c>
      <ns0:c r="K404" t="n">
        <ns0:v>3</ns0:v>
      </ns0:c>
      <ns0:c r="L404" t="n">
        <ns0:v>1</ns0:v>
      </ns0:c>
      <ns0:c r="M404" t="n">
        <ns0:v>98545</ns0:v>
      </ns0:c>
      <ns0:c r="N404" t="n">
        <ns0:v>827</ns0:v>
      </ns0:c>
      <ns0:c r="O404" t="n">
        <ns0:v>99372</ns0:v>
      </ns0:c>
      <ns0:c r="P404" t="n">
        <ns0:v>6</ns0:v>
      </ns0:c>
      <ns0:c r="Q404">
        <ns0:f>IF(AND(L404=1,O404*Calculations!$B$2&lt;=Calculations!$B$10*Calculations!$B$4),1,0)</ns0:f>
        <ns0:v>0</ns0:v>
      </ns0:c>
      <ns0:c r="R404">
        <ns0:f>IF(AND(L404=1,O404*Calculations!$B$2&lt;=Calculations!$B$11*Calculations!$B$4),1,0)</ns0:f>
        <ns0:v>0</ns0:v>
      </ns0:c>
    </ns0:row>
    <ns0:row r="405">
      <ns0:c r="A405" t="inlineStr">
        <ns0:is>
          <ns0:t>case_0404</ns0:t>
        </ns0:is>
      </ns0:c>
      <ns0:c r="B405" t="inlineStr">
        <ns0:is>
          <ns0:t>function_0072</ns0:t>
        </ns0:is>
      </ns0:c>
      <ns0:c r="C405" t="inlineStr">
        <ns0:is>
          <ns0:t>run_005</ns0:t>
        </ns0:is>
      </ns0:c>
      <ns0:c r="D405" t="inlineStr">
        <ns0:is>
          <ns0:t>humantime</ns0:t>
        </ns0:is>
      </ns0:c>
      <ns0:c r="E405" t="inlineStr">
        <ns0:is>
          <ns0:t>gpt-3.5-turbo</ns0:t>
        </ns0:is>
      </ns0:c>
      <ns0:c r="F405" t="inlineStr">
        <ns0:is>
          <ns0:t>E0432</ns0:t>
        </ns0:is>
      </ns0:c>
      <ns0:c r="G405" t="n">
        <ns0:v>1</ns0:v>
      </ns0:c>
      <ns0:c r="H405" t="n">
        <ns0:v>0</ns0:v>
      </ns0:c>
      <ns0:c r="I405" t="n">
        <ns0:v>0</ns0:v>
      </ns0:c>
      <ns0:c r="J405" t="n">
        <ns0:v>0</ns0:v>
      </ns0:c>
      <ns0:c r="K405" t="n">
        <ns0:v>0</ns0:v>
      </ns0:c>
      <ns0:c r="L405" t="n">
        <ns0:v>1</ns0:v>
      </ns0:c>
      <ns0:c r="M405" t="n">
        <ns0:v>20188</ns0:v>
      </ns0:c>
      <ns0:c r="N405" t="n">
        <ns0:v>385</ns0:v>
      </ns0:c>
      <ns0:c r="O405" t="n">
        <ns0:v>20573</ns0:v>
      </ns0:c>
      <ns0:c r="P405" t="n">
        <ns0:v>3</ns0:v>
      </ns0:c>
      <ns0:c r="Q405">
        <ns0:f>IF(AND(L405=1,O405*Calculations!$B$2&lt;=Calculations!$B$10*Calculations!$B$4),1,0)</ns0:f>
        <ns0:v>1</ns0:v>
      </ns0:c>
      <ns0:c r="R405">
        <ns0:f>IF(AND(L405=1,O405*Calculations!$B$2&lt;=Calculations!$B$11*Calculations!$B$4),1,0)</ns0:f>
        <ns0:v>1</ns0:v>
      </ns0:c>
    </ns0:row>
    <ns0:row r="406">
      <ns0:c r="A406" t="inlineStr">
        <ns0:is>
          <ns0:t>case_0405</ns0:t>
        </ns0:is>
      </ns0:c>
      <ns0:c r="B406" t="inlineStr">
        <ns0:is>
          <ns0:t>function_0072</ns0:t>
        </ns0:is>
      </ns0:c>
      <ns0:c r="C406" t="inlineStr">
        <ns0:is>
          <ns0:t>run_005</ns0:t>
        </ns0:is>
      </ns0:c>
      <ns0:c r="D406" t="inlineStr">
        <ns0:is>
          <ns0:t>humantime</ns0:t>
        </ns0:is>
      </ns0:c>
      <ns0:c r="E406" t="inlineStr">
        <ns0:is>
          <ns0:t>gpt-3.5-turbo</ns0:t>
        </ns0:is>
      </ns0:c>
      <ns0:c r="F406" t="inlineStr">
        <ns0:is>
          <ns0:t>E0308,E0432</ns0:t>
        </ns0:is>
      </ns0:c>
      <ns0:c r="G406" t="n">
        <ns0:v>0</ns0:v>
      </ns0:c>
      <ns0:c r="H406" t="n">
        <ns0:v>3978</ns0:v>
      </ns0:c>
      <ns0:c r="I406" t="n">
        <ns0:v>264</ns0:v>
      </ns0:c>
      <ns0:c r="J406" t="n">
        <ns0:v>4242</ns0:v>
      </ns0:c>
      <ns0:c r="K406" t="n">
        <ns0:v>3</ns0:v>
      </ns0:c>
      <ns0:c r="L406" t="n">
        <ns0:v>1</ns0:v>
      </ns0:c>
      <ns0:c r="M406" t="n">
        <ns0:v>27717</ns0:v>
      </ns0:c>
      <ns0:c r="N406" t="n">
        <ns0:v>565</ns0:v>
      </ns0:c>
      <ns0:c r="O406" t="n">
        <ns0:v>28282</ns0:v>
      </ns0:c>
      <ns0:c r="P406" t="n">
        <ns0:v>4</ns0:v>
      </ns0:c>
      <ns0:c r="Q406">
        <ns0:f>IF(AND(L406=1,O406*Calculations!$B$2&lt;=Calculations!$B$10*Calculations!$B$4),1,0)</ns0:f>
        <ns0:v>0</ns0:v>
      </ns0:c>
      <ns0:c r="R406">
        <ns0:f>IF(AND(L406=1,O406*Calculations!$B$2&lt;=Calculations!$B$11*Calculations!$B$4),1,0)</ns0:f>
        <ns0:v>1</ns0:v>
      </ns0:c>
    </ns0:row>
    <ns0:row r="407">
      <ns0:c r="A407" t="inlineStr">
        <ns0:is>
          <ns0:t>case_0406</ns0:t>
        </ns0:is>
      </ns0:c>
      <ns0:c r="B407" t="inlineStr">
        <ns0:is>
          <ns0:t>function_0072</ns0:t>
        </ns0:is>
      </ns0:c>
      <ns0:c r="C407" t="inlineStr">
        <ns0:is>
          <ns0:t>run_005</ns0:t>
        </ns0:is>
      </ns0:c>
      <ns0:c r="D407" t="inlineStr">
        <ns0:is>
          <ns0:t>humantime</ns0:t>
        </ns0:is>
      </ns0:c>
      <ns0:c r="E407" t="inlineStr">
        <ns0:is>
          <ns0:t>gpt-3.5-turbo</ns0:t>
        </ns0:is>
      </ns0:c>
      <ns0:c r="F407" t="inlineStr">
        <ns0:is>
          <ns0:t>E0432</ns0:t>
        </ns0:is>
      </ns0:c>
      <ns0:c r="G407" t="n">
        <ns0:v>1</ns0:v>
      </ns0:c>
      <ns0:c r="H407" t="n">
        <ns0:v>0</ns0:v>
      </ns0:c>
      <ns0:c r="I407" t="n">
        <ns0:v>0</ns0:v>
      </ns0:c>
      <ns0:c r="J407" t="n">
        <ns0:v>0</ns0:v>
      </ns0:c>
      <ns0:c r="K407" t="n">
        <ns0:v>0</ns0:v>
      </ns0:c>
      <ns0:c r="L407" t="n">
        <ns0:v>1</ns0:v>
      </ns0:c>
      <ns0:c r="M407" t="n">
        <ns0:v>20214</ns0:v>
      </ns0:c>
      <ns0:c r="N407" t="n">
        <ns0:v>120</ns0:v>
      </ns0:c>
      <ns0:c r="O407" t="n">
        <ns0:v>20334</ns0:v>
      </ns0:c>
      <ns0:c r="P407" t="n">
        <ns0:v>3</ns0:v>
      </ns0:c>
      <ns0:c r="Q407">
        <ns0:f>IF(AND(L407=1,O407*Calculations!$B$2&lt;=Calculations!$B$10*Calculations!$B$4),1,0)</ns0:f>
        <ns0:v>1</ns0:v>
      </ns0:c>
      <ns0:c r="R407">
        <ns0:f>IF(AND(L407=1,O407*Calculations!$B$2&lt;=Calculations!$B$11*Calculations!$B$4),1,0)</ns0:f>
        <ns0:v>1</ns0:v>
      </ns0:c>
    </ns0:row>
    <ns0:row r="408">
      <ns0:c r="A408" t="inlineStr">
        <ns0:is>
          <ns0:t>case_0407</ns0:t>
        </ns0:is>
      </ns0:c>
      <ns0:c r="B408" t="inlineStr">
        <ns0:is>
          <ns0:t>function_0073</ns0:t>
        </ns0:is>
      </ns0:c>
      <ns0:c r="C408" t="inlineStr">
        <ns0:is>
          <ns0:t>run_005</ns0:t>
        </ns0:is>
      </ns0:c>
      <ns0:c r="D408" t="inlineStr">
        <ns0:is>
          <ns0:t>humantime</ns0:t>
        </ns0:is>
      </ns0:c>
      <ns0:c r="E408" t="inlineStr">
        <ns0:is>
          <ns0:t>gpt-3.5-turbo</ns0:t>
        </ns0:is>
      </ns0:c>
      <ns0:c r="F408" t="inlineStr"/>
      <ns0:c r="G408" t="n">
        <ns0:v>0</ns0:v>
      </ns0:c>
      <ns0:c r="H408" t="n">
        <ns0:v>0</ns0:v>
      </ns0:c>
      <ns0:c r="I408" t="n">
        <ns0:v>0</ns0:v>
      </ns0:c>
      <ns0:c r="J408" t="n">
        <ns0:v>0</ns0:v>
      </ns0:c>
      <ns0:c r="K408" t="n">
        <ns0:v>0</ns0:v>
      </ns0:c>
      <ns0:c r="L408" t="n">
        <ns0:v>1</ns0:v>
      </ns0:c>
      <ns0:c r="M408" t="n">
        <ns0:v>54422</ns0:v>
      </ns0:c>
      <ns0:c r="N408" t="n">
        <ns0:v>1706</ns0:v>
      </ns0:c>
      <ns0:c r="O408" t="n">
        <ns0:v>56128</ns0:v>
      </ns0:c>
      <ns0:c r="P408" t="n">
        <ns0:v>7</ns0:v>
      </ns0:c>
      <ns0:c r="Q408">
        <ns0:f>IF(AND(L408=1,O408*Calculations!$B$2&lt;=Calculations!$B$10*Calculations!$B$4),1,0)</ns0:f>
        <ns0:v>0</ns0:v>
      </ns0:c>
      <ns0:c r="R408">
        <ns0:f>IF(AND(L408=1,O408*Calculations!$B$2&lt;=Calculations!$B$11*Calculations!$B$4),1,0)</ns0:f>
        <ns0:v>0</ns0:v>
      </ns0:c>
    </ns0:row>
    <ns0:row r="409">
      <ns0:c r="A409" t="inlineStr">
        <ns0:is>
          <ns0:t>case_0408</ns0:t>
        </ns0:is>
      </ns0:c>
      <ns0:c r="B409" t="inlineStr">
        <ns0:is>
          <ns0:t>function_0073</ns0:t>
        </ns0:is>
      </ns0:c>
      <ns0:c r="C409" t="inlineStr">
        <ns0:is>
          <ns0:t>run_005</ns0:t>
        </ns0:is>
      </ns0:c>
      <ns0:c r="D409" t="inlineStr">
        <ns0:is>
          <ns0:t>humantime</ns0:t>
        </ns0:is>
      </ns0:c>
      <ns0:c r="E409" t="inlineStr">
        <ns0:is>
          <ns0:t>gpt-3.5-turbo</ns0:t>
        </ns0:is>
      </ns0:c>
      <ns0:c r="F409" t="inlineStr">
        <ns0:is>
          <ns0:t>E0063,E0308,E0433</ns0:t>
        </ns0:is>
      </ns0:c>
      <ns0:c r="G409" t="n">
        <ns0:v>0</ns0:v>
      </ns0:c>
      <ns0:c r="H409" t="n">
        <ns0:v>5469</ns0:v>
      </ns0:c>
      <ns0:c r="I409" t="n">
        <ns0:v>189</ns0:v>
      </ns0:c>
      <ns0:c r="J409" t="n">
        <ns0:v>5658</ns0:v>
      </ns0:c>
      <ns0:c r="K409" t="n">
        <ns0:v>3</ns0:v>
      </ns0:c>
      <ns0:c r="L409" t="n">
        <ns0:v>1</ns0:v>
      </ns0:c>
      <ns0:c r="M409" t="n">
        <ns0:v>70675</ns0:v>
      </ns0:c>
      <ns0:c r="N409" t="n">
        <ns0:v>1455</ns0:v>
      </ns0:c>
      <ns0:c r="O409" t="n">
        <ns0:v>72130</ns0:v>
      </ns0:c>
      <ns0:c r="P409" t="n">
        <ns0:v>9</ns0:v>
      </ns0:c>
      <ns0:c r="Q409">
        <ns0:f>IF(AND(L409=1,O409*Calculations!$B$2&lt;=Calculations!$B$10*Calculations!$B$4),1,0)</ns0:f>
        <ns0:v>0</ns0:v>
      </ns0:c>
      <ns0:c r="R409">
        <ns0:f>IF(AND(L409=1,O409*Calculations!$B$2&lt;=Calculations!$B$11*Calculations!$B$4),1,0)</ns0:f>
        <ns0:v>0</ns0:v>
      </ns0:c>
    </ns0:row>
    <ns0:row r="410">
      <ns0:c r="A410" t="inlineStr">
        <ns0:is>
          <ns0:t>case_0409</ns0:t>
        </ns0:is>
      </ns0:c>
      <ns0:c r="B410" t="inlineStr">
        <ns0:is>
          <ns0:t>function_0073</ns0:t>
        </ns0:is>
      </ns0:c>
      <ns0:c r="C410" t="inlineStr">
        <ns0:is>
          <ns0:t>run_005</ns0:t>
        </ns0:is>
      </ns0:c>
      <ns0:c r="D410" t="inlineStr">
        <ns0:is>
          <ns0:t>humantime</ns0:t>
        </ns0:is>
      </ns0:c>
      <ns0:c r="E410" t="inlineStr">
        <ns0:is>
          <ns0:t>gpt-3.5-turbo</ns0:t>
        </ns0:is>
      </ns0:c>
      <ns0:c r="F410" t="inlineStr">
        <ns0:is>
          <ns0:t>E0063,E0308</ns0:t>
        </ns0:is>
      </ns0:c>
      <ns0:c r="G410" t="n">
        <ns0:v>0</ns0:v>
      </ns0:c>
      <ns0:c r="H410" t="n">
        <ns0:v>5495</ns0:v>
      </ns0:c>
      <ns0:c r="I410" t="n">
        <ns0:v>222</ns0:v>
      </ns0:c>
      <ns0:c r="J410" t="n">
        <ns0:v>5717</ns0:v>
      </ns0:c>
      <ns0:c r="K410" t="n">
        <ns0:v>3</ns0:v>
      </ns0:c>
      <ns0:c r="L410" t="n">
        <ns0:v>1</ns0:v>
      </ns0:c>
      <ns0:c r="M410" t="n">
        <ns0:v>50749</ns0:v>
      </ns0:c>
      <ns0:c r="N410" t="n">
        <ns0:v>630</ns0:v>
      </ns0:c>
      <ns0:c r="O410" t="n">
        <ns0:v>51379</ns0:v>
      </ns0:c>
      <ns0:c r="P410" t="n">
        <ns0:v>7</ns0:v>
      </ns0:c>
      <ns0:c r="Q410">
        <ns0:f>IF(AND(L410=1,O410*Calculations!$B$2&lt;=Calculations!$B$10*Calculations!$B$4),1,0)</ns0:f>
        <ns0:v>0</ns0:v>
      </ns0:c>
      <ns0:c r="R410">
        <ns0:f>IF(AND(L410=1,O410*Calculations!$B$2&lt;=Calculations!$B$11*Calculations!$B$4),1,0)</ns0:f>
        <ns0:v>0</ns0:v>
      </ns0:c>
    </ns0:row>
    <ns0:row r="411">
      <ns0:c r="A411" t="inlineStr">
        <ns0:is>
          <ns0:t>case_0410</ns0:t>
        </ns0:is>
      </ns0:c>
      <ns0:c r="B411" t="inlineStr">
        <ns0:is>
          <ns0:t>function_0073</ns0:t>
        </ns0:is>
      </ns0:c>
      <ns0:c r="C411" t="inlineStr">
        <ns0:is>
          <ns0:t>run_005</ns0:t>
        </ns0:is>
      </ns0:c>
      <ns0:c r="D411" t="inlineStr">
        <ns0:is>
          <ns0:t>humantime</ns0:t>
        </ns0:is>
      </ns0:c>
      <ns0:c r="E411" t="inlineStr">
        <ns0:is>
          <ns0:t>gpt-3.5-turbo</ns0:t>
        </ns0:is>
      </ns0:c>
      <ns0:c r="F411" t="inlineStr">
        <ns0:is>
          <ns0:t>E0063,E0308,E0433</ns0:t>
        </ns0:is>
      </ns0:c>
      <ns0:c r="G411" t="n">
        <ns0:v>0</ns0:v>
      </ns0:c>
      <ns0:c r="H411" t="n">
        <ns0:v>5822</ns0:v>
      </ns0:c>
      <ns0:c r="I411" t="n">
        <ns0:v>216</ns0:v>
      </ns0:c>
      <ns0:c r="J411" t="n">
        <ns0:v>6038</ns0:v>
      </ns0:c>
      <ns0:c r="K411" t="n">
        <ns0:v>3</ns0:v>
      </ns0:c>
      <ns0:c r="L411" t="n">
        <ns0:v>1</ns0:v>
      </ns0:c>
      <ns0:c r="M411" t="n">
        <ns0:v>73787</ns0:v>
      </ns0:c>
      <ns0:c r="N411" t="n">
        <ns0:v>808</ns0:v>
      </ns0:c>
      <ns0:c r="O411" t="n">
        <ns0:v>74595</ns0:v>
      </ns0:c>
      <ns0:c r="P411" t="n">
        <ns0:v>7</ns0:v>
      </ns0:c>
      <ns0:c r="Q411">
        <ns0:f>IF(AND(L411=1,O411*Calculations!$B$2&lt;=Calculations!$B$10*Calculations!$B$4),1,0)</ns0:f>
        <ns0:v>0</ns0:v>
      </ns0:c>
      <ns0:c r="R411">
        <ns0:f>IF(AND(L411=1,O411*Calculations!$B$2&lt;=Calculations!$B$11*Calculations!$B$4),1,0)</ns0:f>
        <ns0:v>0</ns0:v>
      </ns0:c>
    </ns0:row>
    <ns0:row r="412">
      <ns0:c r="A412" t="inlineStr">
        <ns0:is>
          <ns0:t>case_0411</ns0:t>
        </ns0:is>
      </ns0:c>
      <ns0:c r="B412" t="inlineStr">
        <ns0:is>
          <ns0:t>function_0073</ns0:t>
        </ns0:is>
      </ns0:c>
      <ns0:c r="C412" t="inlineStr">
        <ns0:is>
          <ns0:t>run_005</ns0:t>
        </ns0:is>
      </ns0:c>
      <ns0:c r="D412" t="inlineStr">
        <ns0:is>
          <ns0:t>humantime</ns0:t>
        </ns0:is>
      </ns0:c>
      <ns0:c r="E412" t="inlineStr">
        <ns0:is>
          <ns0:t>gpt-3.5-turbo</ns0:t>
        </ns0:is>
      </ns0:c>
      <ns0:c r="F412" t="inlineStr">
        <ns0:is>
          <ns0:t>E0063,E0308,E0433</ns0:t>
        </ns0:is>
      </ns0:c>
      <ns0:c r="G412" t="n">
        <ns0:v>0</ns0:v>
      </ns0:c>
      <ns0:c r="H412" t="n">
        <ns0:v>5821</ns0:v>
      </ns0:c>
      <ns0:c r="I412" t="n">
        <ns0:v>307</ns0:v>
      </ns0:c>
      <ns0:c r="J412" t="n">
        <ns0:v>6128</ns0:v>
      </ns0:c>
      <ns0:c r="K412" t="n">
        <ns0:v>3</ns0:v>
      </ns0:c>
      <ns0:c r="L412" t="n">
        <ns0:v>1</ns0:v>
      </ns0:c>
      <ns0:c r="M412" t="n">
        <ns0:v>69999</ns0:v>
      </ns0:c>
      <ns0:c r="N412" t="n">
        <ns0:v>1241</ns0:v>
      </ns0:c>
      <ns0:c r="O412" t="n">
        <ns0:v>71240</ns0:v>
      </ns0:c>
      <ns0:c r="P412" t="n">
        <ns0:v>9</ns0:v>
      </ns0:c>
      <ns0:c r="Q412">
        <ns0:f>IF(AND(L412=1,O412*Calculations!$B$2&lt;=Calculations!$B$10*Calculations!$B$4),1,0)</ns0:f>
        <ns0:v>0</ns0:v>
      </ns0:c>
      <ns0:c r="R412">
        <ns0:f>IF(AND(L412=1,O412*Calculations!$B$2&lt;=Calculations!$B$11*Calculations!$B$4),1,0)</ns0:f>
        <ns0:v>0</ns0:v>
      </ns0:c>
    </ns0:row>
    <ns0:row r="413">
      <ns0:c r="A413" t="inlineStr">
        <ns0:is>
          <ns0:t>case_0412</ns0:t>
        </ns0:is>
      </ns0:c>
      <ns0:c r="B413" t="inlineStr">
        <ns0:is>
          <ns0:t>function_0073</ns0:t>
        </ns0:is>
      </ns0:c>
      <ns0:c r="C413" t="inlineStr">
        <ns0:is>
          <ns0:t>run_005</ns0:t>
        </ns0:is>
      </ns0:c>
      <ns0:c r="D413" t="inlineStr">
        <ns0:is>
          <ns0:t>humantime</ns0:t>
        </ns0:is>
      </ns0:c>
      <ns0:c r="E413" t="inlineStr">
        <ns0:is>
          <ns0:t>gpt-3.5-turbo</ns0:t>
        </ns0:is>
      </ns0:c>
      <ns0:c r="F413" t="inlineStr">
        <ns0:is>
          <ns0:t>E0599</ns0:t>
        </ns0:is>
      </ns0:c>
      <ns0:c r="G413" t="n">
        <ns0:v>1</ns0:v>
      </ns0:c>
      <ns0:c r="H413" t="n">
        <ns0:v>1780</ns0:v>
      </ns0:c>
      <ns0:c r="I413" t="n">
        <ns0:v>99</ns0:v>
      </ns0:c>
      <ns0:c r="J413" t="n">
        <ns0:v>1879</ns0:v>
      </ns0:c>
      <ns0:c r="K413" t="n">
        <ns0:v>1</ns0:v>
      </ns0:c>
      <ns0:c r="L413" t="n">
        <ns0:v>0</ns0:v>
      </ns0:c>
      <ns0:c r="M413" t="n">
        <ns0:v>28817</ns0:v>
      </ns0:c>
      <ns0:c r="N413" t="n">
        <ns0:v>834</ns0:v>
      </ns0:c>
      <ns0:c r="O413" t="n">
        <ns0:v>29651</ns0:v>
      </ns0:c>
      <ns0:c r="P413" t="n">
        <ns0:v>4</ns0:v>
      </ns0:c>
      <ns0:c r="Q413">
        <ns0:f>IF(AND(L413=1,O413*Calculations!$B$2&lt;=Calculations!$B$10*Calculations!$B$4),1,0)</ns0:f>
        <ns0:v>0</ns0:v>
      </ns0:c>
      <ns0:c r="R413">
        <ns0:f>IF(AND(L413=1,O413*Calculations!$B$2&lt;=Calculations!$B$11*Calculations!$B$4),1,0)</ns0:f>
        <ns0:v>0</ns0:v>
      </ns0:c>
    </ns0:row>
    <ns0:row r="414">
      <ns0:c r="A414" t="inlineStr">
        <ns0:is>
          <ns0:t>case_0413</ns0:t>
        </ns0:is>
      </ns0:c>
      <ns0:c r="B414" t="inlineStr">
        <ns0:is>
          <ns0:t>function_0073</ns0:t>
        </ns0:is>
      </ns0:c>
      <ns0:c r="C414" t="inlineStr">
        <ns0:is>
          <ns0:t>run_005</ns0:t>
        </ns0:is>
      </ns0:c>
      <ns0:c r="D414" t="inlineStr">
        <ns0:is>
          <ns0:t>humantime</ns0:t>
        </ns0:is>
      </ns0:c>
      <ns0:c r="E414" t="inlineStr">
        <ns0:is>
          <ns0:t>gpt-3.5-turbo</ns0:t>
        </ns0:is>
      </ns0:c>
      <ns0:c r="F414" t="inlineStr">
        <ns0:is>
          <ns0:t>E0063,E0308,E0433</ns0:t>
        </ns0:is>
      </ns0:c>
      <ns0:c r="G414" t="n">
        <ns0:v>0</ns0:v>
      </ns0:c>
      <ns0:c r="H414" t="n">
        <ns0:v>5688</ns0:v>
      </ns0:c>
      <ns0:c r="I414" t="n">
        <ns0:v>268</ns0:v>
      </ns0:c>
      <ns0:c r="J414" t="n">
        <ns0:v>5956</ns0:v>
      </ns0:c>
      <ns0:c r="K414" t="n">
        <ns0:v>3</ns0:v>
      </ns0:c>
      <ns0:c r="L414" t="n">
        <ns0:v>1</ns0:v>
      </ns0:c>
      <ns0:c r="M414" t="n">
        <ns0:v>35859</ns0:v>
      </ns0:c>
      <ns0:c r="N414" t="n">
        <ns0:v>1498</ns0:v>
      </ns0:c>
      <ns0:c r="O414" t="n">
        <ns0:v>37357</ns0:v>
      </ns0:c>
      <ns0:c r="P414" t="n">
        <ns0:v>5</ns0:v>
      </ns0:c>
      <ns0:c r="Q414">
        <ns0:f>IF(AND(L414=1,O414*Calculations!$B$2&lt;=Calculations!$B$10*Calculations!$B$4),1,0)</ns0:f>
        <ns0:v>0</ns0:v>
      </ns0:c>
      <ns0:c r="R414">
        <ns0:f>IF(AND(L414=1,O414*Calculations!$B$2&lt;=Calculations!$B$11*Calculations!$B$4),1,0)</ns0:f>
        <ns0:v>1</ns0:v>
      </ns0:c>
    </ns0:row>
    <ns0:row r="415">
      <ns0:c r="A415" t="inlineStr">
        <ns0:is>
          <ns0:t>case_0414</ns0:t>
        </ns0:is>
      </ns0:c>
      <ns0:c r="B415" t="inlineStr">
        <ns0:is>
          <ns0:t>function_0073</ns0:t>
        </ns0:is>
      </ns0:c>
      <ns0:c r="C415" t="inlineStr">
        <ns0:is>
          <ns0:t>run_005</ns0:t>
        </ns0:is>
      </ns0:c>
      <ns0:c r="D415" t="inlineStr">
        <ns0:is>
          <ns0:t>humantime</ns0:t>
        </ns0:is>
      </ns0:c>
      <ns0:c r="E415" t="inlineStr">
        <ns0:is>
          <ns0:t>gpt-3.5-turbo</ns0:t>
        </ns0:is>
      </ns0:c>
      <ns0:c r="F415" t="inlineStr">
        <ns0:is>
          <ns0:t>E0063,E0308,E0433</ns0:t>
        </ns0:is>
      </ns0:c>
      <ns0:c r="G415" t="n">
        <ns0:v>0</ns0:v>
      </ns0:c>
      <ns0:c r="H415" t="n">
        <ns0:v>5824</ns0:v>
      </ns0:c>
      <ns0:c r="I415" t="n">
        <ns0:v>237</ns0:v>
      </ns0:c>
      <ns0:c r="J415" t="n">
        <ns0:v>6061</ns0:v>
      </ns0:c>
      <ns0:c r="K415" t="n">
        <ns0:v>3</ns0:v>
      </ns0:c>
      <ns0:c r="L415" t="n">
        <ns0:v>1</ns0:v>
      </ns0:c>
      <ns0:c r="M415" t="n">
        <ns0:v>52740</ns0:v>
      </ns0:c>
      <ns0:c r="N415" t="n">
        <ns0:v>767</ns0:v>
      </ns0:c>
      <ns0:c r="O415" t="n">
        <ns0:v>53507</ns0:v>
      </ns0:c>
      <ns0:c r="P415" t="n">
        <ns0:v>6</ns0:v>
      </ns0:c>
      <ns0:c r="Q415">
        <ns0:f>IF(AND(L415=1,O415*Calculations!$B$2&lt;=Calculations!$B$10*Calculations!$B$4),1,0)</ns0:f>
        <ns0:v>0</ns0:v>
      </ns0:c>
      <ns0:c r="R415">
        <ns0:f>IF(AND(L415=1,O415*Calculations!$B$2&lt;=Calculations!$B$11*Calculations!$B$4),1,0)</ns0:f>
        <ns0:v>0</ns0:v>
      </ns0:c>
    </ns0:row>
    <ns0:row r="416">
      <ns0:c r="A416" t="inlineStr">
        <ns0:is>
          <ns0:t>case_0415</ns0:t>
        </ns0:is>
      </ns0:c>
      <ns0:c r="B416" t="inlineStr">
        <ns0:is>
          <ns0:t>function_0073</ns0:t>
        </ns0:is>
      </ns0:c>
      <ns0:c r="C416" t="inlineStr">
        <ns0:is>
          <ns0:t>run_005</ns0:t>
        </ns0:is>
      </ns0:c>
      <ns0:c r="D416" t="inlineStr">
        <ns0:is>
          <ns0:t>humantime</ns0:t>
        </ns0:is>
      </ns0:c>
      <ns0:c r="E416" t="inlineStr">
        <ns0:is>
          <ns0:t>gpt-3.5-turbo</ns0:t>
        </ns0:is>
      </ns0:c>
      <ns0:c r="F416" t="inlineStr">
        <ns0:is>
          <ns0:t>E0063,E0308,E0432</ns0:t>
        </ns0:is>
      </ns0:c>
      <ns0:c r="G416" t="n">
        <ns0:v>0</ns0:v>
      </ns0:c>
      <ns0:c r="H416" t="n">
        <ns0:v>7583</ns0:v>
      </ns0:c>
      <ns0:c r="I416" t="n">
        <ns0:v>234</ns0:v>
      </ns0:c>
      <ns0:c r="J416" t="n">
        <ns0:v>7817</ns0:v>
      </ns0:c>
      <ns0:c r="K416" t="n">
        <ns0:v>3</ns0:v>
      </ns0:c>
      <ns0:c r="L416" t="n">
        <ns0:v>1</ns0:v>
      </ns0:c>
      <ns0:c r="M416" t="n">
        <ns0:v>104372</ns0:v>
      </ns0:c>
      <ns0:c r="N416" t="n">
        <ns0:v>2162</ns0:v>
      </ns0:c>
      <ns0:c r="O416" t="n">
        <ns0:v>106534</ns0:v>
      </ns0:c>
      <ns0:c r="P416" t="n">
        <ns0:v>8</ns0:v>
      </ns0:c>
      <ns0:c r="Q416">
        <ns0:f>IF(AND(L416=1,O416*Calculations!$B$2&lt;=Calculations!$B$10*Calculations!$B$4),1,0)</ns0:f>
        <ns0:v>0</ns0:v>
      </ns0:c>
      <ns0:c r="R416">
        <ns0:f>IF(AND(L416=1,O416*Calculations!$B$2&lt;=Calculations!$B$11*Calculations!$B$4),1,0)</ns0:f>
        <ns0:v>0</ns0:v>
      </ns0:c>
    </ns0:row>
    <ns0:row r="417">
      <ns0:c r="A417" t="inlineStr">
        <ns0:is>
          <ns0:t>case_0416</ns0:t>
        </ns0:is>
      </ns0:c>
      <ns0:c r="B417" t="inlineStr">
        <ns0:is>
          <ns0:t>function_0073</ns0:t>
        </ns0:is>
      </ns0:c>
      <ns0:c r="C417" t="inlineStr">
        <ns0:is>
          <ns0:t>run_005</ns0:t>
        </ns0:is>
      </ns0:c>
      <ns0:c r="D417" t="inlineStr">
        <ns0:is>
          <ns0:t>humantime</ns0:t>
        </ns0:is>
      </ns0:c>
      <ns0:c r="E417" t="inlineStr">
        <ns0:is>
          <ns0:t>gpt-3.5-turbo</ns0:t>
        </ns0:is>
      </ns0:c>
      <ns0:c r="F417" t="inlineStr">
        <ns0:is>
          <ns0:t>E0063,E0433</ns0:t>
        </ns0:is>
      </ns0:c>
      <ns0:c r="G417" t="n">
        <ns0:v>0</ns0:v>
      </ns0:c>
      <ns0:c r="H417" t="n">
        <ns0:v>5423</ns0:v>
      </ns0:c>
      <ns0:c r="I417" t="n">
        <ns0:v>276</ns0:v>
      </ns0:c>
      <ns0:c r="J417" t="n">
        <ns0:v>5699</ns0:v>
      </ns0:c>
      <ns0:c r="K417" t="n">
        <ns0:v>3</ns0:v>
      </ns0:c>
      <ns0:c r="L417" t="n">
        <ns0:v>1</ns0:v>
      </ns0:c>
      <ns0:c r="M417" t="n">
        <ns0:v>113526</ns0:v>
      </ns0:c>
      <ns0:c r="N417" t="n">
        <ns0:v>1017</ns0:v>
      </ns0:c>
      <ns0:c r="O417" t="n">
        <ns0:v>114543</ns0:v>
      </ns0:c>
      <ns0:c r="P417" t="n">
        <ns0:v>12</ns0:v>
      </ns0:c>
      <ns0:c r="Q417">
        <ns0:f>IF(AND(L417=1,O417*Calculations!$B$2&lt;=Calculations!$B$10*Calculations!$B$4),1,0)</ns0:f>
        <ns0:v>0</ns0:v>
      </ns0:c>
      <ns0:c r="R417">
        <ns0:f>IF(AND(L417=1,O417*Calculations!$B$2&lt;=Calculations!$B$11*Calculations!$B$4),1,0)</ns0:f>
        <ns0:v>0</ns0:v>
      </ns0:c>
    </ns0:row>
    <ns0:row r="418">
      <ns0:c r="A418" t="inlineStr">
        <ns0:is>
          <ns0:t>case_0417</ns0:t>
        </ns0:is>
      </ns0:c>
      <ns0:c r="B418" t="inlineStr">
        <ns0:is>
          <ns0:t>function_0073</ns0:t>
        </ns0:is>
      </ns0:c>
      <ns0:c r="C418" t="inlineStr">
        <ns0:is>
          <ns0:t>run_005</ns0:t>
        </ns0:is>
      </ns0:c>
      <ns0:c r="D418" t="inlineStr">
        <ns0:is>
          <ns0:t>humantime</ns0:t>
        </ns0:is>
      </ns0:c>
      <ns0:c r="E418" t="inlineStr">
        <ns0:is>
          <ns0:t>gpt-3.5-turbo</ns0:t>
        </ns0:is>
      </ns0:c>
      <ns0:c r="F418" t="inlineStr">
        <ns0:is>
          <ns0:t>E0063,E0308,E0433</ns0:t>
        </ns0:is>
      </ns0:c>
      <ns0:c r="G418" t="n">
        <ns0:v>0</ns0:v>
      </ns0:c>
      <ns0:c r="H418" t="n">
        <ns0:v>5696</ns0:v>
      </ns0:c>
      <ns0:c r="I418" t="n">
        <ns0:v>268</ns0:v>
      </ns0:c>
      <ns0:c r="J418" t="n">
        <ns0:v>5964</ns0:v>
      </ns0:c>
      <ns0:c r="K418" t="n">
        <ns0:v>3</ns0:v>
      </ns0:c>
      <ns0:c r="L418" t="n">
        <ns0:v>1</ns0:v>
      </ns0:c>
      <ns0:c r="M418" t="n">
        <ns0:v>73480</ns0:v>
      </ns0:c>
      <ns0:c r="N418" t="n">
        <ns0:v>760</ns0:v>
      </ns0:c>
      <ns0:c r="O418" t="n">
        <ns0:v>74240</ns0:v>
      </ns0:c>
      <ns0:c r="P418" t="n">
        <ns0:v>7</ns0:v>
      </ns0:c>
      <ns0:c r="Q418">
        <ns0:f>IF(AND(L418=1,O418*Calculations!$B$2&lt;=Calculations!$B$10*Calculations!$B$4),1,0)</ns0:f>
        <ns0:v>0</ns0:v>
      </ns0:c>
      <ns0:c r="R418">
        <ns0:f>IF(AND(L418=1,O418*Calculations!$B$2&lt;=Calculations!$B$11*Calculations!$B$4),1,0)</ns0:f>
        <ns0:v>0</ns0:v>
      </ns0:c>
    </ns0:row>
    <ns0:row r="419">
      <ns0:c r="A419" t="inlineStr">
        <ns0:is>
          <ns0:t>case_0418</ns0:t>
        </ns0:is>
      </ns0:c>
      <ns0:c r="B419" t="inlineStr">
        <ns0:is>
          <ns0:t>function_0073</ns0:t>
        </ns0:is>
      </ns0:c>
      <ns0:c r="C419" t="inlineStr">
        <ns0:is>
          <ns0:t>run_005</ns0:t>
        </ns0:is>
      </ns0:c>
      <ns0:c r="D419" t="inlineStr">
        <ns0:is>
          <ns0:t>humantime</ns0:t>
        </ns0:is>
      </ns0:c>
      <ns0:c r="E419" t="inlineStr">
        <ns0:is>
          <ns0:t>gpt-3.5-turbo</ns0:t>
        </ns0:is>
      </ns0:c>
      <ns0:c r="F419" t="inlineStr">
        <ns0:is>
          <ns0:t>E0063,E0308,E0433</ns0:t>
        </ns0:is>
      </ns0:c>
      <ns0:c r="G419" t="n">
        <ns0:v>0</ns0:v>
      </ns0:c>
      <ns0:c r="H419" t="n">
        <ns0:v>5562</ns0:v>
      </ns0:c>
      <ns0:c r="I419" t="n">
        <ns0:v>200</ns0:v>
      </ns0:c>
      <ns0:c r="J419" t="n">
        <ns0:v>5762</ns0:v>
      </ns0:c>
      <ns0:c r="K419" t="n">
        <ns0:v>3</ns0:v>
      </ns0:c>
      <ns0:c r="L419" t="n">
        <ns0:v>1</ns0:v>
      </ns0:c>
      <ns0:c r="M419" t="n">
        <ns0:v>71419</ns0:v>
      </ns0:c>
      <ns0:c r="N419" t="n">
        <ns0:v>806</ns0:v>
      </ns0:c>
      <ns0:c r="O419" t="n">
        <ns0:v>72225</ns0:v>
      </ns0:c>
      <ns0:c r="P419" t="n">
        <ns0:v>6</ns0:v>
      </ns0:c>
      <ns0:c r="Q419">
        <ns0:f>IF(AND(L419=1,O419*Calculations!$B$2&lt;=Calculations!$B$10*Calculations!$B$4),1,0)</ns0:f>
        <ns0:v>0</ns0:v>
      </ns0:c>
      <ns0:c r="R419">
        <ns0:f>IF(AND(L419=1,O419*Calculations!$B$2&lt;=Calculations!$B$11*Calculations!$B$4),1,0)</ns0:f>
        <ns0:v>0</ns0:v>
      </ns0:c>
    </ns0:row>
    <ns0:row r="420">
      <ns0:c r="A420" t="inlineStr">
        <ns0:is>
          <ns0:t>case_0419</ns0:t>
        </ns0:is>
      </ns0:c>
      <ns0:c r="B420" t="inlineStr">
        <ns0:is>
          <ns0:t>function_0074</ns0:t>
        </ns0:is>
      </ns0:c>
      <ns0:c r="C420" t="inlineStr">
        <ns0:is>
          <ns0:t>run_005</ns0:t>
        </ns0:is>
      </ns0:c>
      <ns0:c r="D420" t="inlineStr">
        <ns0:is>
          <ns0:t>humantime</ns0:t>
        </ns0:is>
      </ns0:c>
      <ns0:c r="E420" t="inlineStr">
        <ns0:is>
          <ns0:t>gpt-3.5-turbo</ns0:t>
        </ns0:is>
      </ns0:c>
      <ns0:c r="F420" t="inlineStr">
        <ns0:is>
          <ns0:t>E0063,E0425,E0433</ns0:t>
        </ns0:is>
      </ns0:c>
      <ns0:c r="G420" t="n">
        <ns0:v>0</ns0:v>
      </ns0:c>
      <ns0:c r="H420" t="n">
        <ns0:v>5645</ns0:v>
      </ns0:c>
      <ns0:c r="I420" t="n">
        <ns0:v>273</ns0:v>
      </ns0:c>
      <ns0:c r="J420" t="n">
        <ns0:v>5918</ns0:v>
      </ns0:c>
      <ns0:c r="K420" t="n">
        <ns0:v>3</ns0:v>
      </ns0:c>
      <ns0:c r="L420" t="n">
        <ns0:v>1</ns0:v>
      </ns0:c>
      <ns0:c r="M420" t="n">
        <ns0:v>67593</ns0:v>
      </ns0:c>
      <ns0:c r="N420" t="n">
        <ns0:v>965</ns0:v>
      </ns0:c>
      <ns0:c r="O420" t="n">
        <ns0:v>68558</ns0:v>
      </ns0:c>
      <ns0:c r="P420" t="n">
        <ns0:v>5</ns0:v>
      </ns0:c>
      <ns0:c r="Q420">
        <ns0:f>IF(AND(L420=1,O420*Calculations!$B$2&lt;=Calculations!$B$10*Calculations!$B$4),1,0)</ns0:f>
        <ns0:v>0</ns0:v>
      </ns0:c>
      <ns0:c r="R420">
        <ns0:f>IF(AND(L420=1,O420*Calculations!$B$2&lt;=Calculations!$B$11*Calculations!$B$4),1,0)</ns0:f>
        <ns0:v>0</ns0:v>
      </ns0:c>
    </ns0:row>
    <ns0:row r="421">
      <ns0:c r="A421" t="inlineStr">
        <ns0:is>
          <ns0:t>case_0420</ns0:t>
        </ns0:is>
      </ns0:c>
      <ns0:c r="B421" t="inlineStr">
        <ns0:is>
          <ns0:t>function_0074</ns0:t>
        </ns0:is>
      </ns0:c>
      <ns0:c r="C421" t="inlineStr">
        <ns0:is>
          <ns0:t>run_005</ns0:t>
        </ns0:is>
      </ns0:c>
      <ns0:c r="D421" t="inlineStr">
        <ns0:is>
          <ns0:t>humantime</ns0:t>
        </ns0:is>
      </ns0:c>
      <ns0:c r="E421" t="inlineStr">
        <ns0:is>
          <ns0:t>gpt-3.5-turbo</ns0:t>
        </ns0:is>
      </ns0:c>
      <ns0:c r="F421" t="inlineStr">
        <ns0:is>
          <ns0:t>E0425,E0433,E0599</ns0:t>
        </ns0:is>
      </ns0:c>
      <ns0:c r="G421" t="n">
        <ns0:v>0</ns0:v>
      </ns0:c>
      <ns0:c r="H421" t="n">
        <ns0:v>6290</ns0:v>
      </ns0:c>
      <ns0:c r="I421" t="n">
        <ns0:v>160</ns0:v>
      </ns0:c>
      <ns0:c r="J421" t="n">
        <ns0:v>6450</ns0:v>
      </ns0:c>
      <ns0:c r="K421" t="n">
        <ns0:v>3</ns0:v>
      </ns0:c>
      <ns0:c r="L421" t="n">
        <ns0:v>1</ns0:v>
      </ns0:c>
      <ns0:c r="M421" t="n">
        <ns0:v>60669</ns0:v>
      </ns0:c>
      <ns0:c r="N421" t="n">
        <ns0:v>3004</ns0:v>
      </ns0:c>
      <ns0:c r="O421" t="n">
        <ns0:v>63673</ns0:v>
      </ns0:c>
      <ns0:c r="P421" t="n">
        <ns0:v>8</ns0:v>
      </ns0:c>
      <ns0:c r="Q421">
        <ns0:f>IF(AND(L421=1,O421*Calculations!$B$2&lt;=Calculations!$B$10*Calculations!$B$4),1,0)</ns0:f>
        <ns0:v>0</ns0:v>
      </ns0:c>
      <ns0:c r="R421">
        <ns0:f>IF(AND(L421=1,O421*Calculations!$B$2&lt;=Calculations!$B$11*Calculations!$B$4),1,0)</ns0:f>
        <ns0:v>0</ns0:v>
      </ns0:c>
    </ns0:row>
    <ns0:row r="422">
      <ns0:c r="A422" t="inlineStr">
        <ns0:is>
          <ns0:t>case_0421</ns0:t>
        </ns0:is>
      </ns0:c>
      <ns0:c r="B422" t="inlineStr">
        <ns0:is>
          <ns0:t>function_0074</ns0:t>
        </ns0:is>
      </ns0:c>
      <ns0:c r="C422" t="inlineStr">
        <ns0:is>
          <ns0:t>run_005</ns0:t>
        </ns0:is>
      </ns0:c>
      <ns0:c r="D422" t="inlineStr">
        <ns0:is>
          <ns0:t>humantime</ns0:t>
        </ns0:is>
      </ns0:c>
      <ns0:c r="E422" t="inlineStr">
        <ns0:is>
          <ns0:t>gpt-3.5-turbo</ns0:t>
        </ns0:is>
      </ns0:c>
      <ns0:c r="F422" t="inlineStr">
        <ns0:is>
          <ns0:t>E0433,E0599</ns0:t>
        </ns0:is>
      </ns0:c>
      <ns0:c r="G422" t="n">
        <ns0:v>0</ns0:v>
      </ns0:c>
      <ns0:c r="H422" t="n">
        <ns0:v>5824</ns0:v>
      </ns0:c>
      <ns0:c r="I422" t="n">
        <ns0:v>217</ns0:v>
      </ns0:c>
      <ns0:c r="J422" t="n">
        <ns0:v>6041</ns0:v>
      </ns0:c>
      <ns0:c r="K422" t="n">
        <ns0:v>3</ns0:v>
      </ns0:c>
      <ns0:c r="L422" t="n">
        <ns0:v>1</ns0:v>
      </ns0:c>
      <ns0:c r="M422" t="n">
        <ns0:v>36389</ns0:v>
      </ns0:c>
      <ns0:c r="N422" t="n">
        <ns0:v>1003</ns0:v>
      </ns0:c>
      <ns0:c r="O422" t="n">
        <ns0:v>37392</ns0:v>
      </ns0:c>
      <ns0:c r="P422" t="n">
        <ns0:v>5</ns0:v>
      </ns0:c>
      <ns0:c r="Q422">
        <ns0:f>IF(AND(L422=1,O422*Calculations!$B$2&lt;=Calculations!$B$10*Calculations!$B$4),1,0)</ns0:f>
        <ns0:v>0</ns0:v>
      </ns0:c>
      <ns0:c r="R422">
        <ns0:f>IF(AND(L422=1,O422*Calculations!$B$2&lt;=Calculations!$B$11*Calculations!$B$4),1,0)</ns0:f>
        <ns0:v>1</ns0:v>
      </ns0:c>
    </ns0:row>
    <ns0:row r="423">
      <ns0:c r="A423" t="inlineStr">
        <ns0:is>
          <ns0:t>case_0422</ns0:t>
        </ns0:is>
      </ns0:c>
      <ns0:c r="B423" t="inlineStr">
        <ns0:is>
          <ns0:t>function_0074</ns0:t>
        </ns0:is>
      </ns0:c>
      <ns0:c r="C423" t="inlineStr">
        <ns0:is>
          <ns0:t>run_005</ns0:t>
        </ns0:is>
      </ns0:c>
      <ns0:c r="D423" t="inlineStr">
        <ns0:is>
          <ns0:t>humantime</ns0:t>
        </ns0:is>
      </ns0:c>
      <ns0:c r="E423" t="inlineStr">
        <ns0:is>
          <ns0:t>gpt-3.5-turbo</ns0:t>
        </ns0:is>
      </ns0:c>
      <ns0:c r="F423" t="inlineStr">
        <ns0:is>
          <ns0:t>E0063,E0433</ns0:t>
        </ns0:is>
      </ns0:c>
      <ns0:c r="G423" t="n">
        <ns0:v>0</ns0:v>
      </ns0:c>
      <ns0:c r="H423" t="n">
        <ns0:v>5420</ns0:v>
      </ns0:c>
      <ns0:c r="I423" t="n">
        <ns0:v>264</ns0:v>
      </ns0:c>
      <ns0:c r="J423" t="n">
        <ns0:v>5684</ns0:v>
      </ns0:c>
      <ns0:c r="K423" t="n">
        <ns0:v>3</ns0:v>
      </ns0:c>
      <ns0:c r="L423" t="n">
        <ns0:v>1</ns0:v>
      </ns0:c>
      <ns0:c r="M423" t="n">
        <ns0:v>43692</ns0:v>
      </ns0:c>
      <ns0:c r="N423" t="n">
        <ns0:v>496</ns0:v>
      </ns0:c>
      <ns0:c r="O423" t="n">
        <ns0:v>44188</ns0:v>
      </ns0:c>
      <ns0:c r="P423" t="n">
        <ns0:v>6</ns0:v>
      </ns0:c>
      <ns0:c r="Q423">
        <ns0:f>IF(AND(L423=1,O423*Calculations!$B$2&lt;=Calculations!$B$10*Calculations!$B$4),1,0)</ns0:f>
        <ns0:v>0</ns0:v>
      </ns0:c>
      <ns0:c r="R423">
        <ns0:f>IF(AND(L423=1,O423*Calculations!$B$2&lt;=Calculations!$B$11*Calculations!$B$4),1,0)</ns0:f>
        <ns0:v>1</ns0:v>
      </ns0:c>
    </ns0:row>
    <ns0:row r="424">
      <ns0:c r="A424" t="inlineStr">
        <ns0:is>
          <ns0:t>case_0423</ns0:t>
        </ns0:is>
      </ns0:c>
      <ns0:c r="B424" t="inlineStr">
        <ns0:is>
          <ns0:t>function_0074</ns0:t>
        </ns0:is>
      </ns0:c>
      <ns0:c r="C424" t="inlineStr">
        <ns0:is>
          <ns0:t>run_005</ns0:t>
        </ns0:is>
      </ns0:c>
      <ns0:c r="D424" t="inlineStr">
        <ns0:is>
          <ns0:t>humantime</ns0:t>
        </ns0:is>
      </ns0:c>
      <ns0:c r="E424" t="inlineStr">
        <ns0:is>
          <ns0:t>gpt-3.5-turbo</ns0:t>
        </ns0:is>
      </ns0:c>
      <ns0:c r="F424" t="inlineStr">
        <ns0:is>
          <ns0:t>E0063,E0433</ns0:t>
        </ns0:is>
      </ns0:c>
      <ns0:c r="G424" t="n">
        <ns0:v>0</ns0:v>
      </ns0:c>
      <ns0:c r="H424" t="n">
        <ns0:v>5419</ns0:v>
      </ns0:c>
      <ns0:c r="I424" t="n">
        <ns0:v>240</ns0:v>
      </ns0:c>
      <ns0:c r="J424" t="n">
        <ns0:v>5659</ns0:v>
      </ns0:c>
      <ns0:c r="K424" t="n">
        <ns0:v>3</ns0:v>
      </ns0:c>
      <ns0:c r="L424" t="n">
        <ns0:v>1</ns0:v>
      </ns0:c>
      <ns0:c r="M424" t="n">
        <ns0:v>65361</ns0:v>
      </ns0:c>
      <ns0:c r="N424" t="n">
        <ns0:v>732</ns0:v>
      </ns0:c>
      <ns0:c r="O424" t="n">
        <ns0:v>66093</ns0:v>
      </ns0:c>
      <ns0:c r="P424" t="n">
        <ns0:v>5</ns0:v>
      </ns0:c>
      <ns0:c r="Q424">
        <ns0:f>IF(AND(L424=1,O424*Calculations!$B$2&lt;=Calculations!$B$10*Calculations!$B$4),1,0)</ns0:f>
        <ns0:v>0</ns0:v>
      </ns0:c>
      <ns0:c r="R424">
        <ns0:f>IF(AND(L424=1,O424*Calculations!$B$2&lt;=Calculations!$B$11*Calculations!$B$4),1,0)</ns0:f>
        <ns0:v>0</ns0:v>
      </ns0:c>
    </ns0:row>
    <ns0:row r="425">
      <ns0:c r="A425" t="inlineStr">
        <ns0:is>
          <ns0:t>case_0424</ns0:t>
        </ns0:is>
      </ns0:c>
      <ns0:c r="B425" t="inlineStr">
        <ns0:is>
          <ns0:t>function_0074</ns0:t>
        </ns0:is>
      </ns0:c>
      <ns0:c r="C425" t="inlineStr">
        <ns0:is>
          <ns0:t>run_005</ns0:t>
        </ns0:is>
      </ns0:c>
      <ns0:c r="D425" t="inlineStr">
        <ns0:is>
          <ns0:t>humantime</ns0:t>
        </ns0:is>
      </ns0:c>
      <ns0:c r="E425" t="inlineStr">
        <ns0:is>
          <ns0:t>gpt-3.5-turbo</ns0:t>
        </ns0:is>
      </ns0:c>
      <ns0:c r="F425" t="inlineStr">
        <ns0:is>
          <ns0:t>E0061,E0261,E0308,E0433</ns0:t>
        </ns0:is>
      </ns0:c>
      <ns0:c r="G425" t="n">
        <ns0:v>0</ns0:v>
      </ns0:c>
      <ns0:c r="H425" t="n">
        <ns0:v>5962</ns0:v>
      </ns0:c>
      <ns0:c r="I425" t="n">
        <ns0:v>138</ns0:v>
      </ns0:c>
      <ns0:c r="J425" t="n">
        <ns0:v>6100</ns0:v>
      </ns0:c>
      <ns0:c r="K425" t="n">
        <ns0:v>3</ns0:v>
      </ns0:c>
      <ns0:c r="L425" t="n">
        <ns0:v>1</ns0:v>
      </ns0:c>
      <ns0:c r="M425" t="n">
        <ns0:v>129207</ns0:v>
      </ns0:c>
      <ns0:c r="N425" t="n">
        <ns0:v>2005</ns0:v>
      </ns0:c>
      <ns0:c r="O425" t="n">
        <ns0:v>131212</ns0:v>
      </ns0:c>
      <ns0:c r="P425" t="n">
        <ns0:v>9</ns0:v>
      </ns0:c>
      <ns0:c r="Q425">
        <ns0:f>IF(AND(L425=1,O425*Calculations!$B$2&lt;=Calculations!$B$10*Calculations!$B$4),1,0)</ns0:f>
        <ns0:v>0</ns0:v>
      </ns0:c>
      <ns0:c r="R425">
        <ns0:f>IF(AND(L425=1,O425*Calculations!$B$2&lt;=Calculations!$B$11*Calculations!$B$4),1,0)</ns0:f>
        <ns0:v>0</ns0:v>
      </ns0:c>
    </ns0:row>
    <ns0:row r="426">
      <ns0:c r="A426" t="inlineStr">
        <ns0:is>
          <ns0:t>case_0425</ns0:t>
        </ns0:is>
      </ns0:c>
      <ns0:c r="B426" t="inlineStr">
        <ns0:is>
          <ns0:t>function_0074</ns0:t>
        </ns0:is>
      </ns0:c>
      <ns0:c r="C426" t="inlineStr">
        <ns0:is>
          <ns0:t>run_005</ns0:t>
        </ns0:is>
      </ns0:c>
      <ns0:c r="D426" t="inlineStr">
        <ns0:is>
          <ns0:t>humantime</ns0:t>
        </ns0:is>
      </ns0:c>
      <ns0:c r="E426" t="inlineStr">
        <ns0:is>
          <ns0:t>gpt-3.5-turbo</ns0:t>
        </ns0:is>
      </ns0:c>
      <ns0:c r="F426" t="inlineStr">
        <ns0:is>
          <ns0:t>E0433</ns0:t>
        </ns0:is>
      </ns0:c>
      <ns0:c r="G426" t="n">
        <ns0:v>1</ns0:v>
      </ns0:c>
      <ns0:c r="H426" t="n">
        <ns0:v>2387</ns0:v>
      </ns0:c>
      <ns0:c r="I426" t="n">
        <ns0:v>146</ns0:v>
      </ns0:c>
      <ns0:c r="J426" t="n">
        <ns0:v>2533</ns0:v>
      </ns0:c>
      <ns0:c r="K426" t="n">
        <ns0:v>1</ns0:v>
      </ns0:c>
      <ns0:c r="L426" t="n">
        <ns0:v>0</ns0:v>
      </ns0:c>
      <ns0:c r="M426" t="n">
        <ns0:v>158023</ns0:v>
      </ns0:c>
      <ns0:c r="N426" t="n">
        <ns0:v>2805</ns0:v>
      </ns0:c>
      <ns0:c r="O426" t="n">
        <ns0:v>160828</ns0:v>
      </ns0:c>
      <ns0:c r="P426" t="n">
        <ns0:v>20</ns0:v>
      </ns0:c>
      <ns0:c r="Q426">
        <ns0:f>IF(AND(L426=1,O426*Calculations!$B$2&lt;=Calculations!$B$10*Calculations!$B$4),1,0)</ns0:f>
        <ns0:v>0</ns0:v>
      </ns0:c>
      <ns0:c r="R426">
        <ns0:f>IF(AND(L426=1,O426*Calculations!$B$2&lt;=Calculations!$B$11*Calculations!$B$4),1,0)</ns0:f>
        <ns0:v>0</ns0:v>
      </ns0:c>
    </ns0:row>
    <ns0:row r="427">
      <ns0:c r="A427" t="inlineStr">
        <ns0:is>
          <ns0:t>case_0426</ns0:t>
        </ns0:is>
      </ns0:c>
      <ns0:c r="B427" t="inlineStr">
        <ns0:is>
          <ns0:t>function_0074</ns0:t>
        </ns0:is>
      </ns0:c>
      <ns0:c r="C427" t="inlineStr">
        <ns0:is>
          <ns0:t>run_005</ns0:t>
        </ns0:is>
      </ns0:c>
      <ns0:c r="D427" t="inlineStr">
        <ns0:is>
          <ns0:t>humantime</ns0:t>
        </ns0:is>
      </ns0:c>
      <ns0:c r="E427" t="inlineStr">
        <ns0:is>
          <ns0:t>gpt-3.5-turbo</ns0:t>
        </ns0:is>
      </ns0:c>
      <ns0:c r="F427" t="inlineStr">
        <ns0:is>
          <ns0:t>E0433,E0599</ns0:t>
        </ns0:is>
      </ns0:c>
      <ns0:c r="G427" t="n">
        <ns0:v>0</ns0:v>
      </ns0:c>
      <ns0:c r="H427" t="n">
        <ns0:v>5794</ns0:v>
      </ns0:c>
      <ns0:c r="I427" t="n">
        <ns0:v>201</ns0:v>
      </ns0:c>
      <ns0:c r="J427" t="n">
        <ns0:v>5995</ns0:v>
      </ns0:c>
      <ns0:c r="K427" t="n">
        <ns0:v>3</ns0:v>
      </ns0:c>
      <ns0:c r="L427" t="n">
        <ns0:v>1</ns0:v>
      </ns0:c>
      <ns0:c r="M427" t="n">
        <ns0:v>44407</ns0:v>
      </ns0:c>
      <ns0:c r="N427" t="n">
        <ns0:v>1232</ns0:v>
      </ns0:c>
      <ns0:c r="O427" t="n">
        <ns0:v>45639</ns0:v>
      </ns0:c>
      <ns0:c r="P427" t="n">
        <ns0:v>6</ns0:v>
      </ns0:c>
      <ns0:c r="Q427">
        <ns0:f>IF(AND(L427=1,O427*Calculations!$B$2&lt;=Calculations!$B$10*Calculations!$B$4),1,0)</ns0:f>
        <ns0:v>0</ns0:v>
      </ns0:c>
      <ns0:c r="R427">
        <ns0:f>IF(AND(L427=1,O427*Calculations!$B$2&lt;=Calculations!$B$11*Calculations!$B$4),1,0)</ns0:f>
        <ns0:v>1</ns0:v>
      </ns0:c>
    </ns0:row>
    <ns0:row r="428">
      <ns0:c r="A428" t="inlineStr">
        <ns0:is>
          <ns0:t>case_0427</ns0:t>
        </ns0:is>
      </ns0:c>
      <ns0:c r="B428" t="inlineStr">
        <ns0:is>
          <ns0:t>function_0074</ns0:t>
        </ns0:is>
      </ns0:c>
      <ns0:c r="C428" t="inlineStr">
        <ns0:is>
          <ns0:t>run_005</ns0:t>
        </ns0:is>
      </ns0:c>
      <ns0:c r="D428" t="inlineStr">
        <ns0:is>
          <ns0:t>humantime</ns0:t>
        </ns0:is>
      </ns0:c>
      <ns0:c r="E428" t="inlineStr">
        <ns0:is>
          <ns0:t>gpt-3.5-turbo</ns0:t>
        </ns0:is>
      </ns0:c>
      <ns0:c r="F428" t="inlineStr">
        <ns0:is>
          <ns0:t>E0261,E0425,E0599</ns0:t>
        </ns0:is>
      </ns0:c>
      <ns0:c r="G428" t="n">
        <ns0:v>1</ns0:v>
      </ns0:c>
      <ns0:c r="H428" t="n">
        <ns0:v>1889</ns0:v>
      </ns0:c>
      <ns0:c r="I428" t="n">
        <ns0:v>73</ns0:v>
      </ns0:c>
      <ns0:c r="J428" t="n">
        <ns0:v>1962</ns0:v>
      </ns0:c>
      <ns0:c r="K428" t="n">
        <ns0:v>1</ns0:v>
      </ns0:c>
      <ns0:c r="L428" t="n">
        <ns0:v>1</ns0:v>
      </ns0:c>
      <ns0:c r="M428" t="n">
        <ns0:v>51036</ns0:v>
      </ns0:c>
      <ns0:c r="N428" t="n">
        <ns0:v>557</ns0:v>
      </ns0:c>
      <ns0:c r="O428" t="n">
        <ns0:v>51593</ns0:v>
      </ns0:c>
      <ns0:c r="P428" t="n">
        <ns0:v>4</ns0:v>
      </ns0:c>
      <ns0:c r="Q428">
        <ns0:f>IF(AND(L428=1,O428*Calculations!$B$2&lt;=Calculations!$B$10*Calculations!$B$4),1,0)</ns0:f>
        <ns0:v>0</ns0:v>
      </ns0:c>
      <ns0:c r="R428">
        <ns0:f>IF(AND(L428=1,O428*Calculations!$B$2&lt;=Calculations!$B$11*Calculations!$B$4),1,0)</ns0:f>
        <ns0:v>0</ns0:v>
      </ns0:c>
    </ns0:row>
    <ns0:row r="429">
      <ns0:c r="A429" t="inlineStr">
        <ns0:is>
          <ns0:t>case_0428</ns0:t>
        </ns0:is>
      </ns0:c>
      <ns0:c r="B429" t="inlineStr">
        <ns0:is>
          <ns0:t>function_0074</ns0:t>
        </ns0:is>
      </ns0:c>
      <ns0:c r="C429" t="inlineStr">
        <ns0:is>
          <ns0:t>run_005</ns0:t>
        </ns0:is>
      </ns0:c>
      <ns0:c r="D429" t="inlineStr">
        <ns0:is>
          <ns0:t>humantime</ns0:t>
        </ns0:is>
      </ns0:c>
      <ns0:c r="E429" t="inlineStr">
        <ns0:is>
          <ns0:t>gpt-3.5-turbo</ns0:t>
        </ns0:is>
      </ns0:c>
      <ns0:c r="F429" t="inlineStr">
        <ns0:is>
          <ns0:t>E0432</ns0:t>
        </ns0:is>
      </ns0:c>
      <ns0:c r="G429" t="n">
        <ns0:v>0</ns0:v>
      </ns0:c>
      <ns0:c r="H429" t="n">
        <ns0:v>6501</ns0:v>
      </ns0:c>
      <ns0:c r="I429" t="n">
        <ns0:v>198</ns0:v>
      </ns0:c>
      <ns0:c r="J429" t="n">
        <ns0:v>6699</ns0:v>
      </ns0:c>
      <ns0:c r="K429" t="n">
        <ns0:v>3</ns0:v>
      </ns0:c>
      <ns0:c r="L429" t="n">
        <ns0:v>1</ns0:v>
      </ns0:c>
      <ns0:c r="M429" t="n">
        <ns0:v>78129</ns0:v>
      </ns0:c>
      <ns0:c r="N429" t="n">
        <ns0:v>899</ns0:v>
      </ns0:c>
      <ns0:c r="O429" t="n">
        <ns0:v>79028</ns0:v>
      </ns0:c>
      <ns0:c r="P429" t="n">
        <ns0:v>6</ns0:v>
      </ns0:c>
      <ns0:c r="Q429">
        <ns0:f>IF(AND(L429=1,O429*Calculations!$B$2&lt;=Calculations!$B$10*Calculations!$B$4),1,0)</ns0:f>
        <ns0:v>0</ns0:v>
      </ns0:c>
      <ns0:c r="R429">
        <ns0:f>IF(AND(L429=1,O429*Calculations!$B$2&lt;=Calculations!$B$11*Calculations!$B$4),1,0)</ns0:f>
        <ns0:v>0</ns0:v>
      </ns0:c>
    </ns0:row>
    <ns0:row r="430">
      <ns0:c r="A430" t="inlineStr">
        <ns0:is>
          <ns0:t>case_0429</ns0:t>
        </ns0:is>
      </ns0:c>
      <ns0:c r="B430" t="inlineStr">
        <ns0:is>
          <ns0:t>function_0074</ns0:t>
        </ns0:is>
      </ns0:c>
      <ns0:c r="C430" t="inlineStr">
        <ns0:is>
          <ns0:t>run_005</ns0:t>
        </ns0:is>
      </ns0:c>
      <ns0:c r="D430" t="inlineStr">
        <ns0:is>
          <ns0:t>humantime</ns0:t>
        </ns0:is>
      </ns0:c>
      <ns0:c r="E430" t="inlineStr">
        <ns0:is>
          <ns0:t>gpt-3.5-turbo</ns0:t>
        </ns0:is>
      </ns0:c>
      <ns0:c r="F430" t="inlineStr">
        <ns0:is>
          <ns0:t>E0433,E0599</ns0:t>
        </ns0:is>
      </ns0:c>
      <ns0:c r="G430" t="n">
        <ns0:v>0</ns0:v>
      </ns0:c>
      <ns0:c r="H430" t="n">
        <ns0:v>5870</ns0:v>
      </ns0:c>
      <ns0:c r="I430" t="n">
        <ns0:v>226</ns0:v>
      </ns0:c>
      <ns0:c r="J430" t="n">
        <ns0:v>6096</ns0:v>
      </ns0:c>
      <ns0:c r="K430" t="n">
        <ns0:v>3</ns0:v>
      </ns0:c>
      <ns0:c r="L430" t="n">
        <ns0:v>1</ns0:v>
      </ns0:c>
      <ns0:c r="M430" t="n">
        <ns0:v>57151</ns0:v>
      </ns0:c>
      <ns0:c r="N430" t="n">
        <ns0:v>1686</ns0:v>
      </ns0:c>
      <ns0:c r="O430" t="n">
        <ns0:v>58837</ns0:v>
      </ns0:c>
      <ns0:c r="P430" t="n">
        <ns0:v>7</ns0:v>
      </ns0:c>
      <ns0:c r="Q430">
        <ns0:f>IF(AND(L430=1,O430*Calculations!$B$2&lt;=Calculations!$B$10*Calculations!$B$4),1,0)</ns0:f>
        <ns0:v>0</ns0:v>
      </ns0:c>
      <ns0:c r="R430">
        <ns0:f>IF(AND(L430=1,O430*Calculations!$B$2&lt;=Calculations!$B$11*Calculations!$B$4),1,0)</ns0:f>
        <ns0:v>0</ns0:v>
      </ns0:c>
    </ns0:row>
    <ns0:row r="431">
      <ns0:c r="A431" t="inlineStr">
        <ns0:is>
          <ns0:t>case_0430</ns0:t>
        </ns0:is>
      </ns0:c>
      <ns0:c r="B431" t="inlineStr">
        <ns0:is>
          <ns0:t>function_0074</ns0:t>
        </ns0:is>
      </ns0:c>
      <ns0:c r="C431" t="inlineStr">
        <ns0:is>
          <ns0:t>run_005</ns0:t>
        </ns0:is>
      </ns0:c>
      <ns0:c r="D431" t="inlineStr">
        <ns0:is>
          <ns0:t>humantime</ns0:t>
        </ns0:is>
      </ns0:c>
      <ns0:c r="E431" t="inlineStr">
        <ns0:is>
          <ns0:t>gpt-3.5-turbo</ns0:t>
        </ns0:is>
      </ns0:c>
      <ns0:c r="F431" t="inlineStr">
        <ns0:is>
          <ns0:t>E0433,E0599</ns0:t>
        </ns0:is>
      </ns0:c>
      <ns0:c r="G431" t="n">
        <ns0:v>0</ns0:v>
      </ns0:c>
      <ns0:c r="H431" t="n">
        <ns0:v>5812</ns0:v>
      </ns0:c>
      <ns0:c r="I431" t="n">
        <ns0:v>143</ns0:v>
      </ns0:c>
      <ns0:c r="J431" t="n">
        <ns0:v>5955</ns0:v>
      </ns0:c>
      <ns0:c r="K431" t="n">
        <ns0:v>3</ns0:v>
      </ns0:c>
      <ns0:c r="L431" t="n">
        <ns0:v>1</ns0:v>
      </ns0:c>
      <ns0:c r="M431" t="n">
        <ns0:v>97198</ns0:v>
      </ns0:c>
      <ns0:c r="N431" t="n">
        <ns0:v>1245</ns0:v>
      </ns0:c>
      <ns0:c r="O431" t="n">
        <ns0:v>98443</ns0:v>
      </ns0:c>
      <ns0:c r="P431" t="n">
        <ns0:v>12</ns0:v>
      </ns0:c>
      <ns0:c r="Q431">
        <ns0:f>IF(AND(L431=1,O431*Calculations!$B$2&lt;=Calculations!$B$10*Calculations!$B$4),1,0)</ns0:f>
        <ns0:v>0</ns0:v>
      </ns0:c>
      <ns0:c r="R431">
        <ns0:f>IF(AND(L431=1,O431*Calculations!$B$2&lt;=Calculations!$B$11*Calculations!$B$4),1,0)</ns0:f>
        <ns0:v>0</ns0:v>
      </ns0:c>
    </ns0:row>
    <ns0:row r="432">
      <ns0:c r="A432" t="inlineStr">
        <ns0:is>
          <ns0:t>case_0431</ns0:t>
        </ns0:is>
      </ns0:c>
      <ns0:c r="B432" t="inlineStr">
        <ns0:is>
          <ns0:t>function_0075</ns0:t>
        </ns0:is>
      </ns0:c>
      <ns0:c r="C432" t="inlineStr">
        <ns0:is>
          <ns0:t>run_005</ns0:t>
        </ns0:is>
      </ns0:c>
      <ns0:c r="D432" t="inlineStr">
        <ns0:is>
          <ns0:t>humantime</ns0:t>
        </ns0:is>
      </ns0:c>
      <ns0:c r="E432" t="inlineStr">
        <ns0:is>
          <ns0:t>gpt-3.5-turbo</ns0:t>
        </ns0:is>
      </ns0:c>
      <ns0:c r="F432" t="inlineStr"/>
      <ns0:c r="G432" t="n">
        <ns0:v>0</ns0:v>
      </ns0:c>
      <ns0:c r="H432" t="n">
        <ns0:v>0</ns0:v>
      </ns0:c>
      <ns0:c r="I432" t="n">
        <ns0:v>0</ns0:v>
      </ns0:c>
      <ns0:c r="J432" t="n">
        <ns0:v>0</ns0:v>
      </ns0:c>
      <ns0:c r="K432" t="n">
        <ns0:v>0</ns0:v>
      </ns0:c>
      <ns0:c r="L432" t="n">
        <ns0:v>1</ns0:v>
      </ns0:c>
      <ns0:c r="M432" t="n">
        <ns0:v>76361</ns0:v>
      </ns0:c>
      <ns0:c r="N432" t="n">
        <ns0:v>1266</ns0:v>
      </ns0:c>
      <ns0:c r="O432" t="n">
        <ns0:v>77627</ns0:v>
      </ns0:c>
      <ns0:c r="P432" t="n">
        <ns0:v>7</ns0:v>
      </ns0:c>
      <ns0:c r="Q432">
        <ns0:f>IF(AND(L432=1,O432*Calculations!$B$2&lt;=Calculations!$B$10*Calculations!$B$4),1,0)</ns0:f>
        <ns0:v>0</ns0:v>
      </ns0:c>
      <ns0:c r="R432">
        <ns0:f>IF(AND(L432=1,O432*Calculations!$B$2&lt;=Calculations!$B$11*Calculations!$B$4),1,0)</ns0:f>
        <ns0:v>0</ns0:v>
      </ns0:c>
    </ns0:row>
    <ns0:row r="433">
      <ns0:c r="A433" t="inlineStr">
        <ns0:is>
          <ns0:t>case_0432</ns0:t>
        </ns0:is>
      </ns0:c>
      <ns0:c r="B433" t="inlineStr">
        <ns0:is>
          <ns0:t>function_0075</ns0:t>
        </ns0:is>
      </ns0:c>
      <ns0:c r="C433" t="inlineStr">
        <ns0:is>
          <ns0:t>run_005</ns0:t>
        </ns0:is>
      </ns0:c>
      <ns0:c r="D433" t="inlineStr">
        <ns0:is>
          <ns0:t>humantime</ns0:t>
        </ns0:is>
      </ns0:c>
      <ns0:c r="E433" t="inlineStr">
        <ns0:is>
          <ns0:t>gpt-3.5-turbo</ns0:t>
        </ns0:is>
      </ns0:c>
      <ns0:c r="F433" t="inlineStr">
        <ns0:is>
          <ns0:t>E0599</ns0:t>
        </ns0:is>
      </ns0:c>
      <ns0:c r="G433" t="n">
        <ns0:v>0</ns0:v>
      </ns0:c>
      <ns0:c r="H433" t="n">
        <ns0:v>5615</ns0:v>
      </ns0:c>
      <ns0:c r="I433" t="n">
        <ns0:v>157</ns0:v>
      </ns0:c>
      <ns0:c r="J433" t="n">
        <ns0:v>5772</ns0:v>
      </ns0:c>
      <ns0:c r="K433" t="n">
        <ns0:v>3</ns0:v>
      </ns0:c>
      <ns0:c r="L433" t="n">
        <ns0:v>1</ns0:v>
      </ns0:c>
      <ns0:c r="M433" t="n">
        <ns0:v>27592</ns0:v>
      </ns0:c>
      <ns0:c r="N433" t="n">
        <ns0:v>477</ns0:v>
      </ns0:c>
      <ns0:c r="O433" t="n">
        <ns0:v>28069</ns0:v>
      </ns0:c>
      <ns0:c r="P433" t="n">
        <ns0:v>4</ns0:v>
      </ns0:c>
      <ns0:c r="Q433">
        <ns0:f>IF(AND(L433=1,O433*Calculations!$B$2&lt;=Calculations!$B$10*Calculations!$B$4),1,0)</ns0:f>
        <ns0:v>0</ns0:v>
      </ns0:c>
      <ns0:c r="R433">
        <ns0:f>IF(AND(L433=1,O433*Calculations!$B$2&lt;=Calculations!$B$11*Calculations!$B$4),1,0)</ns0:f>
        <ns0:v>1</ns0:v>
      </ns0:c>
    </ns0:row>
    <ns0:row r="434">
      <ns0:c r="A434" t="inlineStr">
        <ns0:is>
          <ns0:t>case_0433</ns0:t>
        </ns0:is>
      </ns0:c>
      <ns0:c r="B434" t="inlineStr">
        <ns0:is>
          <ns0:t>function_0075</ns0:t>
        </ns0:is>
      </ns0:c>
      <ns0:c r="C434" t="inlineStr">
        <ns0:is>
          <ns0:t>run_005</ns0:t>
        </ns0:is>
      </ns0:c>
      <ns0:c r="D434" t="inlineStr">
        <ns0:is>
          <ns0:t>humantime</ns0:t>
        </ns0:is>
      </ns0:c>
      <ns0:c r="E434" t="inlineStr">
        <ns0:is>
          <ns0:t>gpt-3.5-turbo</ns0:t>
        </ns0:is>
      </ns0:c>
      <ns0:c r="F434" t="inlineStr">
        <ns0:is>
          <ns0:t>E0599</ns0:t>
        </ns0:is>
      </ns0:c>
      <ns0:c r="G434" t="n">
        <ns0:v>1</ns0:v>
      </ns0:c>
      <ns0:c r="H434" t="n">
        <ns0:v>3705</ns0:v>
      </ns0:c>
      <ns0:c r="I434" t="n">
        <ns0:v>140</ns0:v>
      </ns0:c>
      <ns0:c r="J434" t="n">
        <ns0:v>3845</ns0:v>
      </ns0:c>
      <ns0:c r="K434" t="n">
        <ns0:v>2</ns0:v>
      </ns0:c>
      <ns0:c r="L434" t="n">
        <ns0:v>1</ns0:v>
      </ns0:c>
      <ns0:c r="M434" t="n">
        <ns0:v>45955</ns0:v>
      </ns0:c>
      <ns0:c r="N434" t="n">
        <ns0:v>655</ns0:v>
      </ns0:c>
      <ns0:c r="O434" t="n">
        <ns0:v>46610</ns0:v>
      </ns0:c>
      <ns0:c r="P434" t="n">
        <ns0:v>4</ns0:v>
      </ns0:c>
      <ns0:c r="Q434">
        <ns0:f>IF(AND(L434=1,O434*Calculations!$B$2&lt;=Calculations!$B$10*Calculations!$B$4),1,0)</ns0:f>
        <ns0:v>0</ns0:v>
      </ns0:c>
      <ns0:c r="R434">
        <ns0:f>IF(AND(L434=1,O434*Calculations!$B$2&lt;=Calculations!$B$11*Calculations!$B$4),1,0)</ns0:f>
        <ns0:v>1</ns0:v>
      </ns0:c>
    </ns0:row>
    <ns0:row r="435">
      <ns0:c r="A435" t="inlineStr">
        <ns0:is>
          <ns0:t>case_0434</ns0:t>
        </ns0:is>
      </ns0:c>
      <ns0:c r="B435" t="inlineStr">
        <ns0:is>
          <ns0:t>function_0075</ns0:t>
        </ns0:is>
      </ns0:c>
      <ns0:c r="C435" t="inlineStr">
        <ns0:is>
          <ns0:t>run_005</ns0:t>
        </ns0:is>
      </ns0:c>
      <ns0:c r="D435" t="inlineStr">
        <ns0:is>
          <ns0:t>humantime</ns0:t>
        </ns0:is>
      </ns0:c>
      <ns0:c r="E435" t="inlineStr">
        <ns0:is>
          <ns0:t>gpt-3.5-turbo</ns0:t>
        </ns0:is>
      </ns0:c>
      <ns0:c r="F435" t="inlineStr">
        <ns0:is>
          <ns0:t>E0586</ns0:t>
        </ns0:is>
      </ns0:c>
      <ns0:c r="G435" t="n">
        <ns0:v>0</ns0:v>
      </ns0:c>
      <ns0:c r="H435" t="n">
        <ns0:v>0</ns0:v>
      </ns0:c>
      <ns0:c r="I435" t="n">
        <ns0:v>0</ns0:v>
      </ns0:c>
      <ns0:c r="J435" t="n">
        <ns0:v>0</ns0:v>
      </ns0:c>
      <ns0:c r="K435" t="n">
        <ns0:v>0</ns0:v>
      </ns0:c>
      <ns0:c r="L435" t="n">
        <ns0:v>1</ns0:v>
      </ns0:c>
      <ns0:c r="M435" t="n">
        <ns0:v>52111</ns0:v>
      </ns0:c>
      <ns0:c r="N435" t="n">
        <ns0:v>936</ns0:v>
      </ns0:c>
      <ns0:c r="O435" t="n">
        <ns0:v>53047</ns0:v>
      </ns0:c>
      <ns0:c r="P435" t="n">
        <ns0:v>4</ns0:v>
      </ns0:c>
      <ns0:c r="Q435">
        <ns0:f>IF(AND(L435=1,O435*Calculations!$B$2&lt;=Calculations!$B$10*Calculations!$B$4),1,0)</ns0:f>
        <ns0:v>0</ns0:v>
      </ns0:c>
      <ns0:c r="R435">
        <ns0:f>IF(AND(L435=1,O435*Calculations!$B$2&lt;=Calculations!$B$11*Calculations!$B$4),1,0)</ns0:f>
        <ns0:v>0</ns0:v>
      </ns0:c>
    </ns0:row>
    <ns0:row r="436">
      <ns0:c r="A436" t="inlineStr">
        <ns0:is>
          <ns0:t>case_0435</ns0:t>
        </ns0:is>
      </ns0:c>
      <ns0:c r="B436" t="inlineStr">
        <ns0:is>
          <ns0:t>function_0075</ns0:t>
        </ns0:is>
      </ns0:c>
      <ns0:c r="C436" t="inlineStr">
        <ns0:is>
          <ns0:t>run_005</ns0:t>
        </ns0:is>
      </ns0:c>
      <ns0:c r="D436" t="inlineStr">
        <ns0:is>
          <ns0:t>humantime</ns0:t>
        </ns0:is>
      </ns0:c>
      <ns0:c r="E436" t="inlineStr">
        <ns0:is>
          <ns0:t>gpt-3.5-turbo</ns0:t>
        </ns0:is>
      </ns0:c>
      <ns0:c r="F436" t="inlineStr">
        <ns0:is>
          <ns0:t>E0261,E0308,E0586</ns0:t>
        </ns0:is>
      </ns0:c>
      <ns0:c r="G436" t="n">
        <ns0:v>0</ns0:v>
      </ns0:c>
      <ns0:c r="H436" t="n">
        <ns0:v>0</ns0:v>
      </ns0:c>
      <ns0:c r="I436" t="n">
        <ns0:v>0</ns0:v>
      </ns0:c>
      <ns0:c r="J436" t="n">
        <ns0:v>0</ns0:v>
      </ns0:c>
      <ns0:c r="K436" t="n">
        <ns0:v>0</ns0:v>
      </ns0:c>
      <ns0:c r="L436" t="n">
        <ns0:v>0</ns0:v>
      </ns0:c>
      <ns0:c r="M436" t="n">
        <ns0:v>86262</ns0:v>
      </ns0:c>
      <ns0:c r="N436" t="n">
        <ns0:v>1469</ns0:v>
      </ns0:c>
      <ns0:c r="O436" t="n">
        <ns0:v>87731</ns0:v>
      </ns0:c>
      <ns0:c r="P436" t="n">
        <ns0:v>8</ns0:v>
      </ns0:c>
      <ns0:c r="Q436">
        <ns0:f>IF(AND(L436=1,O436*Calculations!$B$2&lt;=Calculations!$B$10*Calculations!$B$4),1,0)</ns0:f>
        <ns0:v>0</ns0:v>
      </ns0:c>
      <ns0:c r="R436">
        <ns0:f>IF(AND(L436=1,O436*Calculations!$B$2&lt;=Calculations!$B$11*Calculations!$B$4),1,0)</ns0:f>
        <ns0:v>0</ns0:v>
      </ns0:c>
    </ns0:row>
    <ns0:row r="437">
      <ns0:c r="A437" t="inlineStr">
        <ns0:is>
          <ns0:t>case_0436</ns0:t>
        </ns0:is>
      </ns0:c>
      <ns0:c r="B437" t="inlineStr">
        <ns0:is>
          <ns0:t>function_0075</ns0:t>
        </ns0:is>
      </ns0:c>
      <ns0:c r="C437" t="inlineStr">
        <ns0:is>
          <ns0:t>run_005</ns0:t>
        </ns0:is>
      </ns0:c>
      <ns0:c r="D437" t="inlineStr">
        <ns0:is>
          <ns0:t>humantime</ns0:t>
        </ns0:is>
      </ns0:c>
      <ns0:c r="E437" t="inlineStr">
        <ns0:is>
          <ns0:t>gpt-3.5-turbo</ns0:t>
        </ns0:is>
      </ns0:c>
      <ns0:c r="F437" t="inlineStr">
        <ns0:is>
          <ns0:t>E0261,E0433,E0586</ns0:t>
        </ns0:is>
      </ns0:c>
      <ns0:c r="G437" t="n">
        <ns0:v>0</ns0:v>
      </ns0:c>
      <ns0:c r="H437" t="n">
        <ns0:v>0</ns0:v>
      </ns0:c>
      <ns0:c r="I437" t="n">
        <ns0:v>0</ns0:v>
      </ns0:c>
      <ns0:c r="J437" t="n">
        <ns0:v>0</ns0:v>
      </ns0:c>
      <ns0:c r="K437" t="n">
        <ns0:v>0</ns0:v>
      </ns0:c>
      <ns0:c r="L437" t="n">
        <ns0:v>0</ns0:v>
      </ns0:c>
      <ns0:c r="M437" t="n">
        <ns0:v>96384</ns0:v>
      </ns0:c>
      <ns0:c r="N437" t="n">
        <ns0:v>1192</ns0:v>
      </ns0:c>
      <ns0:c r="O437" t="n">
        <ns0:v>97576</ns0:v>
      </ns0:c>
      <ns0:c r="P437" t="n">
        <ns0:v>11</ns0:v>
      </ns0:c>
      <ns0:c r="Q437">
        <ns0:f>IF(AND(L437=1,O437*Calculations!$B$2&lt;=Calculations!$B$10*Calculations!$B$4),1,0)</ns0:f>
        <ns0:v>0</ns0:v>
      </ns0:c>
      <ns0:c r="R437">
        <ns0:f>IF(AND(L437=1,O437*Calculations!$B$2&lt;=Calculations!$B$11*Calculations!$B$4),1,0)</ns0:f>
        <ns0:v>0</ns0:v>
      </ns0:c>
    </ns0:row>
    <ns0:row r="438">
      <ns0:c r="A438" t="inlineStr">
        <ns0:is>
          <ns0:t>case_0437</ns0:t>
        </ns0:is>
      </ns0:c>
      <ns0:c r="B438" t="inlineStr">
        <ns0:is>
          <ns0:t>function_0075</ns0:t>
        </ns0:is>
      </ns0:c>
      <ns0:c r="C438" t="inlineStr">
        <ns0:is>
          <ns0:t>run_005</ns0:t>
        </ns0:is>
      </ns0:c>
      <ns0:c r="D438" t="inlineStr">
        <ns0:is>
          <ns0:t>humantime</ns0:t>
        </ns0:is>
      </ns0:c>
      <ns0:c r="E438" t="inlineStr">
        <ns0:is>
          <ns0:t>gpt-3.5-turbo</ns0:t>
        </ns0:is>
      </ns0:c>
      <ns0:c r="F438" t="inlineStr">
        <ns0:is>
          <ns0:t>E0061,E0261,E0308,E0433</ns0:t>
        </ns0:is>
      </ns0:c>
      <ns0:c r="G438" t="n">
        <ns0:v>0</ns0:v>
      </ns0:c>
      <ns0:c r="H438" t="n">
        <ns0:v>5881</ns0:v>
      </ns0:c>
      <ns0:c r="I438" t="n">
        <ns0:v>141</ns0:v>
      </ns0:c>
      <ns0:c r="J438" t="n">
        <ns0:v>6022</ns0:v>
      </ns0:c>
      <ns0:c r="K438" t="n">
        <ns0:v>3</ns0:v>
      </ns0:c>
      <ns0:c r="L438" t="n">
        <ns0:v>0</ns0:v>
      </ns0:c>
      <ns0:c r="M438" t="n">
        <ns0:v>121747</ns0:v>
      </ns0:c>
      <ns0:c r="N438" t="n">
        <ns0:v>2608</ns0:v>
      </ns0:c>
      <ns0:c r="O438" t="n">
        <ns0:v>124355</ns0:v>
      </ns0:c>
      <ns0:c r="P438" t="n">
        <ns0:v>15</ns0:v>
      </ns0:c>
      <ns0:c r="Q438">
        <ns0:f>IF(AND(L438=1,O438*Calculations!$B$2&lt;=Calculations!$B$10*Calculations!$B$4),1,0)</ns0:f>
        <ns0:v>0</ns0:v>
      </ns0:c>
      <ns0:c r="R438">
        <ns0:f>IF(AND(L438=1,O438*Calculations!$B$2&lt;=Calculations!$B$11*Calculations!$B$4),1,0)</ns0:f>
        <ns0:v>0</ns0:v>
      </ns0:c>
    </ns0:row>
    <ns0:row r="439">
      <ns0:c r="A439" t="inlineStr">
        <ns0:is>
          <ns0:t>case_0438</ns0:t>
        </ns0:is>
      </ns0:c>
      <ns0:c r="B439" t="inlineStr">
        <ns0:is>
          <ns0:t>function_0075</ns0:t>
        </ns0:is>
      </ns0:c>
      <ns0:c r="C439" t="inlineStr">
        <ns0:is>
          <ns0:t>run_005</ns0:t>
        </ns0:is>
      </ns0:c>
      <ns0:c r="D439" t="inlineStr">
        <ns0:is>
          <ns0:t>humantime</ns0:t>
        </ns0:is>
      </ns0:c>
      <ns0:c r="E439" t="inlineStr">
        <ns0:is>
          <ns0:t>gpt-3.5-turbo</ns0:t>
        </ns0:is>
      </ns0:c>
      <ns0:c r="F439" t="inlineStr">
        <ns0:is>
          <ns0:t>E0432</ns0:t>
        </ns0:is>
      </ns0:c>
      <ns0:c r="G439" t="n">
        <ns0:v>0</ns0:v>
      </ns0:c>
      <ns0:c r="H439" t="n">
        <ns0:v>7197</ns0:v>
      </ns0:c>
      <ns0:c r="I439" t="n">
        <ns0:v>267</ns0:v>
      </ns0:c>
      <ns0:c r="J439" t="n">
        <ns0:v>7464</ns0:v>
      </ns0:c>
      <ns0:c r="K439" t="n">
        <ns0:v>3</ns0:v>
      </ns0:c>
      <ns0:c r="L439" t="n">
        <ns0:v>1</ns0:v>
      </ns0:c>
      <ns0:c r="M439" t="n">
        <ns0:v>122304</ns0:v>
      </ns0:c>
      <ns0:c r="N439" t="n">
        <ns0:v>1129</ns0:v>
      </ns0:c>
      <ns0:c r="O439" t="n">
        <ns0:v>123433</ns0:v>
      </ns0:c>
      <ns0:c r="P439" t="n">
        <ns0:v>8</ns0:v>
      </ns0:c>
      <ns0:c r="Q439">
        <ns0:f>IF(AND(L439=1,O439*Calculations!$B$2&lt;=Calculations!$B$10*Calculations!$B$4),1,0)</ns0:f>
        <ns0:v>0</ns0:v>
      </ns0:c>
      <ns0:c r="R439">
        <ns0:f>IF(AND(L439=1,O439*Calculations!$B$2&lt;=Calculations!$B$11*Calculations!$B$4),1,0)</ns0:f>
        <ns0:v>0</ns0:v>
      </ns0:c>
    </ns0:row>
    <ns0:row r="440">
      <ns0:c r="A440" t="inlineStr">
        <ns0:is>
          <ns0:t>case_0439</ns0:t>
        </ns0:is>
      </ns0:c>
      <ns0:c r="B440" t="inlineStr">
        <ns0:is>
          <ns0:t>function_0075</ns0:t>
        </ns0:is>
      </ns0:c>
      <ns0:c r="C440" t="inlineStr">
        <ns0:is>
          <ns0:t>run_005</ns0:t>
        </ns0:is>
      </ns0:c>
      <ns0:c r="D440" t="inlineStr">
        <ns0:is>
          <ns0:t>humantime</ns0:t>
        </ns0:is>
      </ns0:c>
      <ns0:c r="E440" t="inlineStr">
        <ns0:is>
          <ns0:t>gpt-3.5-turbo</ns0:t>
        </ns0:is>
      </ns0:c>
      <ns0:c r="F440" t="inlineStr"/>
      <ns0:c r="G440" t="n">
        <ns0:v>0</ns0:v>
      </ns0:c>
      <ns0:c r="H440" t="n">
        <ns0:v>0</ns0:v>
      </ns0:c>
      <ns0:c r="I440" t="n">
        <ns0:v>0</ns0:v>
      </ns0:c>
      <ns0:c r="J440" t="n">
        <ns0:v>0</ns0:v>
      </ns0:c>
      <ns0:c r="K440" t="n">
        <ns0:v>0</ns0:v>
      </ns0:c>
      <ns0:c r="L440" t="n">
        <ns0:v>1</ns0:v>
      </ns0:c>
      <ns0:c r="M440" t="n">
        <ns0:v>65573</ns0:v>
      </ns0:c>
      <ns0:c r="N440" t="n">
        <ns0:v>1088</ns0:v>
      </ns0:c>
      <ns0:c r="O440" t="n">
        <ns0:v>66661</ns0:v>
      </ns0:c>
      <ns0:c r="P440" t="n">
        <ns0:v>9</ns0:v>
      </ns0:c>
      <ns0:c r="Q440">
        <ns0:f>IF(AND(L440=1,O440*Calculations!$B$2&lt;=Calculations!$B$10*Calculations!$B$4),1,0)</ns0:f>
        <ns0:v>0</ns0:v>
      </ns0:c>
      <ns0:c r="R440">
        <ns0:f>IF(AND(L440=1,O440*Calculations!$B$2&lt;=Calculations!$B$11*Calculations!$B$4),1,0)</ns0:f>
        <ns0:v>0</ns0:v>
      </ns0:c>
    </ns0:row>
    <ns0:row r="441">
      <ns0:c r="A441" t="inlineStr">
        <ns0:is>
          <ns0:t>case_0440</ns0:t>
        </ns0:is>
      </ns0:c>
      <ns0:c r="B441" t="inlineStr">
        <ns0:is>
          <ns0:t>function_0075</ns0:t>
        </ns0:is>
      </ns0:c>
      <ns0:c r="C441" t="inlineStr">
        <ns0:is>
          <ns0:t>run_005</ns0:t>
        </ns0:is>
      </ns0:c>
      <ns0:c r="D441" t="inlineStr">
        <ns0:is>
          <ns0:t>humantime</ns0:t>
        </ns0:is>
      </ns0:c>
      <ns0:c r="E441" t="inlineStr">
        <ns0:is>
          <ns0:t>gpt-3.5-turbo</ns0:t>
        </ns0:is>
      </ns0:c>
      <ns0:c r="F441" t="inlineStr">
        <ns0:is>
          <ns0:t>E0599</ns0:t>
        </ns0:is>
      </ns0:c>
      <ns0:c r="G441" t="n">
        <ns0:v>0</ns0:v>
      </ns0:c>
      <ns0:c r="H441" t="n">
        <ns0:v>5635</ns0:v>
      </ns0:c>
      <ns0:c r="I441" t="n">
        <ns0:v>162</ns0:v>
      </ns0:c>
      <ns0:c r="J441" t="n">
        <ns0:v>5797</ns0:v>
      </ns0:c>
      <ns0:c r="K441" t="n">
        <ns0:v>3</ns0:v>
      </ns0:c>
      <ns0:c r="L441" t="n">
        <ns0:v>1</ns0:v>
      </ns0:c>
      <ns0:c r="M441" t="n">
        <ns0:v>49721</ns0:v>
      </ns0:c>
      <ns0:c r="N441" t="n">
        <ns0:v>435</ns0:v>
      </ns0:c>
      <ns0:c r="O441" t="n">
        <ns0:v>50156</ns0:v>
      </ns0:c>
      <ns0:c r="P441" t="n">
        <ns0:v>4</ns0:v>
      </ns0:c>
      <ns0:c r="Q441">
        <ns0:f>IF(AND(L441=1,O441*Calculations!$B$2&lt;=Calculations!$B$10*Calculations!$B$4),1,0)</ns0:f>
        <ns0:v>0</ns0:v>
      </ns0:c>
      <ns0:c r="R441">
        <ns0:f>IF(AND(L441=1,O441*Calculations!$B$2&lt;=Calculations!$B$11*Calculations!$B$4),1,0)</ns0:f>
        <ns0:v>0</ns0:v>
      </ns0:c>
    </ns0:row>
    <ns0:row r="442">
      <ns0:c r="A442" t="inlineStr">
        <ns0:is>
          <ns0:t>case_0441</ns0:t>
        </ns0:is>
      </ns0:c>
      <ns0:c r="B442" t="inlineStr">
        <ns0:is>
          <ns0:t>function_0075</ns0:t>
        </ns0:is>
      </ns0:c>
      <ns0:c r="C442" t="inlineStr">
        <ns0:is>
          <ns0:t>run_005</ns0:t>
        </ns0:is>
      </ns0:c>
      <ns0:c r="D442" t="inlineStr">
        <ns0:is>
          <ns0:t>humantime</ns0:t>
        </ns0:is>
      </ns0:c>
      <ns0:c r="E442" t="inlineStr">
        <ns0:is>
          <ns0:t>gpt-3.5-turbo</ns0:t>
        </ns0:is>
      </ns0:c>
      <ns0:c r="F442" t="inlineStr">
        <ns0:is>
          <ns0:t>E0433</ns0:t>
        </ns0:is>
      </ns0:c>
      <ns0:c r="G442" t="n">
        <ns0:v>1</ns0:v>
      </ns0:c>
      <ns0:c r="H442" t="n">
        <ns0:v>2384</ns0:v>
      </ns0:c>
      <ns0:c r="I442" t="n">
        <ns0:v>106</ns0:v>
      </ns0:c>
      <ns0:c r="J442" t="n">
        <ns0:v>2490</ns0:v>
      </ns0:c>
      <ns0:c r="K442" t="n">
        <ns0:v>1</ns0:v>
      </ns0:c>
      <ns0:c r="L442" t="n">
        <ns0:v>1</ns0:v>
      </ns0:c>
      <ns0:c r="M442" t="n">
        <ns0:v>68680</ns0:v>
      </ns0:c>
      <ns0:c r="N442" t="n">
        <ns0:v>913</ns0:v>
      </ns0:c>
      <ns0:c r="O442" t="n">
        <ns0:v>69593</ns0:v>
      </ns0:c>
      <ns0:c r="P442" t="n">
        <ns0:v>9</ns0:v>
      </ns0:c>
      <ns0:c r="Q442">
        <ns0:f>IF(AND(L442=1,O442*Calculations!$B$2&lt;=Calculations!$B$10*Calculations!$B$4),1,0)</ns0:f>
        <ns0:v>0</ns0:v>
      </ns0:c>
      <ns0:c r="R442">
        <ns0:f>IF(AND(L442=1,O442*Calculations!$B$2&lt;=Calculations!$B$11*Calculations!$B$4),1,0)</ns0:f>
        <ns0:v>0</ns0:v>
      </ns0:c>
    </ns0:row>
    <ns0:row r="443">
      <ns0:c r="A443" t="inlineStr">
        <ns0:is>
          <ns0:t>case_0442</ns0:t>
        </ns0:is>
      </ns0:c>
      <ns0:c r="B443" t="inlineStr">
        <ns0:is>
          <ns0:t>function_0075</ns0:t>
        </ns0:is>
      </ns0:c>
      <ns0:c r="C443" t="inlineStr">
        <ns0:is>
          <ns0:t>run_005</ns0:t>
        </ns0:is>
      </ns0:c>
      <ns0:c r="D443" t="inlineStr">
        <ns0:is>
          <ns0:t>humantime</ns0:t>
        </ns0:is>
      </ns0:c>
      <ns0:c r="E443" t="inlineStr">
        <ns0:is>
          <ns0:t>gpt-3.5-turbo</ns0:t>
        </ns0:is>
      </ns0:c>
      <ns0:c r="F443" t="inlineStr">
        <ns0:is>
          <ns0:t>E0063,E0433</ns0:t>
        </ns0:is>
      </ns0:c>
      <ns0:c r="G443" t="n">
        <ns0:v>0</ns0:v>
      </ns0:c>
      <ns0:c r="H443" t="n">
        <ns0:v>5327</ns0:v>
      </ns0:c>
      <ns0:c r="I443" t="n">
        <ns0:v>216</ns0:v>
      </ns0:c>
      <ns0:c r="J443" t="n">
        <ns0:v>5543</ns0:v>
      </ns0:c>
      <ns0:c r="K443" t="n">
        <ns0:v>3</ns0:v>
      </ns0:c>
      <ns0:c r="L443" t="n">
        <ns0:v>1</ns0:v>
      </ns0:c>
      <ns0:c r="M443" t="n">
        <ns0:v>64753</ns0:v>
      </ns0:c>
      <ns0:c r="N443" t="n">
        <ns0:v>1117</ns0:v>
      </ns0:c>
      <ns0:c r="O443" t="n">
        <ns0:v>65870</ns0:v>
      </ns0:c>
      <ns0:c r="P443" t="n">
        <ns0:v>6</ns0:v>
      </ns0:c>
      <ns0:c r="Q443">
        <ns0:f>IF(AND(L443=1,O443*Calculations!$B$2&lt;=Calculations!$B$10*Calculations!$B$4),1,0)</ns0:f>
        <ns0:v>0</ns0:v>
      </ns0:c>
      <ns0:c r="R443">
        <ns0:f>IF(AND(L443=1,O443*Calculations!$B$2&lt;=Calculations!$B$11*Calculations!$B$4),1,0)</ns0:f>
        <ns0:v>0</ns0:v>
      </ns0:c>
    </ns0:row>
    <ns0:row r="444">
      <ns0:c r="A444" t="inlineStr">
        <ns0:is>
          <ns0:t>case_0443</ns0:t>
        </ns0:is>
      </ns0:c>
      <ns0:c r="B444" t="inlineStr">
        <ns0:is>
          <ns0:t>function_0076</ns0:t>
        </ns0:is>
      </ns0:c>
      <ns0:c r="C444" t="inlineStr">
        <ns0:is>
          <ns0:t>run_005</ns0:t>
        </ns0:is>
      </ns0:c>
      <ns0:c r="D444" t="inlineStr">
        <ns0:is>
          <ns0:t>humantime</ns0:t>
        </ns0:is>
      </ns0:c>
      <ns0:c r="E444" t="inlineStr">
        <ns0:is>
          <ns0:t>gpt-3.5-turbo</ns0:t>
        </ns0:is>
      </ns0:c>
      <ns0:c r="F444" t="inlineStr">
        <ns0:is>
          <ns0:t>E0061,E0261,E0308,E0433</ns0:t>
        </ns0:is>
      </ns0:c>
      <ns0:c r="G444" t="n">
        <ns0:v>0</ns0:v>
      </ns0:c>
      <ns0:c r="H444" t="n">
        <ns0:v>6281</ns0:v>
      </ns0:c>
      <ns0:c r="I444" t="n">
        <ns0:v>351</ns0:v>
      </ns0:c>
      <ns0:c r="J444" t="n">
        <ns0:v>6632</ns0:v>
      </ns0:c>
      <ns0:c r="K444" t="n">
        <ns0:v>3</ns0:v>
      </ns0:c>
      <ns0:c r="L444" t="n">
        <ns0:v>0</ns0:v>
      </ns0:c>
      <ns0:c r="M444" t="n">
        <ns0:v>128670</ns0:v>
      </ns0:c>
      <ns0:c r="N444" t="n">
        <ns0:v>2732</ns0:v>
      </ns0:c>
      <ns0:c r="O444" t="n">
        <ns0:v>131402</ns0:v>
      </ns0:c>
      <ns0:c r="P444" t="n">
        <ns0:v>15</ns0:v>
      </ns0:c>
      <ns0:c r="Q444">
        <ns0:f>IF(AND(L444=1,O444*Calculations!$B$2&lt;=Calculations!$B$10*Calculations!$B$4),1,0)</ns0:f>
        <ns0:v>0</ns0:v>
      </ns0:c>
      <ns0:c r="R444">
        <ns0:f>IF(AND(L444=1,O444*Calculations!$B$2&lt;=Calculations!$B$11*Calculations!$B$4),1,0)</ns0:f>
        <ns0:v>0</ns0:v>
      </ns0:c>
    </ns0:row>
    <ns0:row r="445">
      <ns0:c r="A445" t="inlineStr">
        <ns0:is>
          <ns0:t>case_0444</ns0:t>
        </ns0:is>
      </ns0:c>
      <ns0:c r="B445" t="inlineStr">
        <ns0:is>
          <ns0:t>function_0076</ns0:t>
        </ns0:is>
      </ns0:c>
      <ns0:c r="C445" t="inlineStr">
        <ns0:is>
          <ns0:t>run_005</ns0:t>
        </ns0:is>
      </ns0:c>
      <ns0:c r="D445" t="inlineStr">
        <ns0:is>
          <ns0:t>humantime</ns0:t>
        </ns0:is>
      </ns0:c>
      <ns0:c r="E445" t="inlineStr">
        <ns0:is>
          <ns0:t>gpt-3.5-turbo</ns0:t>
        </ns0:is>
      </ns0:c>
      <ns0:c r="F445" t="inlineStr">
        <ns0:is>
          <ns0:t>E0061,E0308,E0433</ns0:t>
        </ns0:is>
      </ns0:c>
      <ns0:c r="G445" t="n">
        <ns0:v>0</ns0:v>
      </ns0:c>
      <ns0:c r="H445" t="n">
        <ns0:v>6019</ns0:v>
      </ns0:c>
      <ns0:c r="I445" t="n">
        <ns0:v>354</ns0:v>
      </ns0:c>
      <ns0:c r="J445" t="n">
        <ns0:v>6373</ns0:v>
      </ns0:c>
      <ns0:c r="K445" t="n">
        <ns0:v>3</ns0:v>
      </ns0:c>
      <ns0:c r="L445" t="n">
        <ns0:v>0</ns0:v>
      </ns0:c>
      <ns0:c r="M445" t="n">
        <ns0:v>124964</ns0:v>
      </ns0:c>
      <ns0:c r="N445" t="n">
        <ns0:v>5563</ns0:v>
      </ns0:c>
      <ns0:c r="O445" t="n">
        <ns0:v>130527</ns0:v>
      </ns0:c>
      <ns0:c r="P445" t="n">
        <ns0:v>14</ns0:v>
      </ns0:c>
      <ns0:c r="Q445">
        <ns0:f>IF(AND(L445=1,O445*Calculations!$B$2&lt;=Calculations!$B$10*Calculations!$B$4),1,0)</ns0:f>
        <ns0:v>0</ns0:v>
      </ns0:c>
      <ns0:c r="R445">
        <ns0:f>IF(AND(L445=1,O445*Calculations!$B$2&lt;=Calculations!$B$11*Calculations!$B$4),1,0)</ns0:f>
        <ns0:v>0</ns0:v>
      </ns0:c>
    </ns0:row>
    <ns0:row r="446">
      <ns0:c r="A446" t="inlineStr">
        <ns0:is>
          <ns0:t>case_0445</ns0:t>
        </ns0:is>
      </ns0:c>
      <ns0:c r="B446" t="inlineStr">
        <ns0:is>
          <ns0:t>function_0076</ns0:t>
        </ns0:is>
      </ns0:c>
      <ns0:c r="C446" t="inlineStr">
        <ns0:is>
          <ns0:t>run_005</ns0:t>
        </ns0:is>
      </ns0:c>
      <ns0:c r="D446" t="inlineStr">
        <ns0:is>
          <ns0:t>humantime</ns0:t>
        </ns0:is>
      </ns0:c>
      <ns0:c r="E446" t="inlineStr">
        <ns0:is>
          <ns0:t>gpt-3.5-turbo</ns0:t>
        </ns0:is>
      </ns0:c>
      <ns0:c r="F446" t="inlineStr">
        <ns0:is>
          <ns0:t>E0061,E0261,E0308,E0433</ns0:t>
        </ns0:is>
      </ns0:c>
      <ns0:c r="G446" t="n">
        <ns0:v>0</ns0:v>
      </ns0:c>
      <ns0:c r="H446" t="n">
        <ns0:v>6405</ns0:v>
      </ns0:c>
      <ns0:c r="I446" t="n">
        <ns0:v>285</ns0:v>
      </ns0:c>
      <ns0:c r="J446" t="n">
        <ns0:v>6690</ns0:v>
      </ns0:c>
      <ns0:c r="K446" t="n">
        <ns0:v>3</ns0:v>
      </ns0:c>
      <ns0:c r="L446" t="n">
        <ns0:v>0</ns0:v>
      </ns0:c>
      <ns0:c r="M446" t="n">
        <ns0:v>157136</ns0:v>
      </ns0:c>
      <ns0:c r="N446" t="n">
        <ns0:v>1611</ns0:v>
      </ns0:c>
      <ns0:c r="O446" t="n">
        <ns0:v>158747</ns0:v>
      </ns0:c>
      <ns0:c r="P446" t="n">
        <ns0:v>15</ns0:v>
      </ns0:c>
      <ns0:c r="Q446">
        <ns0:f>IF(AND(L446=1,O446*Calculations!$B$2&lt;=Calculations!$B$10*Calculations!$B$4),1,0)</ns0:f>
        <ns0:v>0</ns0:v>
      </ns0:c>
      <ns0:c r="R446">
        <ns0:f>IF(AND(L446=1,O446*Calculations!$B$2&lt;=Calculations!$B$11*Calculations!$B$4),1,0)</ns0:f>
        <ns0:v>0</ns0:v>
      </ns0:c>
    </ns0:row>
    <ns0:row r="447">
      <ns0:c r="A447" t="inlineStr">
        <ns0:is>
          <ns0:t>case_0446</ns0:t>
        </ns0:is>
      </ns0:c>
      <ns0:c r="B447" t="inlineStr">
        <ns0:is>
          <ns0:t>function_0076</ns0:t>
        </ns0:is>
      </ns0:c>
      <ns0:c r="C447" t="inlineStr">
        <ns0:is>
          <ns0:t>run_005</ns0:t>
        </ns0:is>
      </ns0:c>
      <ns0:c r="D447" t="inlineStr">
        <ns0:is>
          <ns0:t>humantime</ns0:t>
        </ns0:is>
      </ns0:c>
      <ns0:c r="E447" t="inlineStr">
        <ns0:is>
          <ns0:t>gpt-3.5-turbo</ns0:t>
        </ns0:is>
      </ns0:c>
      <ns0:c r="F447" t="inlineStr">
        <ns0:is>
          <ns0:t>E0261,E0433</ns0:t>
        </ns0:is>
      </ns0:c>
      <ns0:c r="G447" t="n">
        <ns0:v>0</ns0:v>
      </ns0:c>
      <ns0:c r="H447" t="n">
        <ns0:v>4678</ns0:v>
      </ns0:c>
      <ns0:c r="I447" t="n">
        <ns0:v>328</ns0:v>
      </ns0:c>
      <ns0:c r="J447" t="n">
        <ns0:v>5006</ns0:v>
      </ns0:c>
      <ns0:c r="K447" t="n">
        <ns0:v>3</ns0:v>
      </ns0:c>
      <ns0:c r="L447" t="n">
        <ns0:v>0</ns0:v>
      </ns0:c>
      <ns0:c r="M447" t="n">
        <ns0:v>92301</ns0:v>
      </ns0:c>
      <ns0:c r="N447" t="n">
        <ns0:v>1411</ns0:v>
      </ns0:c>
      <ns0:c r="O447" t="n">
        <ns0:v>93712</ns0:v>
      </ns0:c>
      <ns0:c r="P447" t="n">
        <ns0:v>9</ns0:v>
      </ns0:c>
      <ns0:c r="Q447">
        <ns0:f>IF(AND(L447=1,O447*Calculations!$B$2&lt;=Calculations!$B$10*Calculations!$B$4),1,0)</ns0:f>
        <ns0:v>0</ns0:v>
      </ns0:c>
      <ns0:c r="R447">
        <ns0:f>IF(AND(L447=1,O447*Calculations!$B$2&lt;=Calculations!$B$11*Calculations!$B$4),1,0)</ns0:f>
        <ns0:v>0</ns0:v>
      </ns0:c>
    </ns0:row>
    <ns0:row r="448">
      <ns0:c r="A448" t="inlineStr">
        <ns0:is>
          <ns0:t>case_0447</ns0:t>
        </ns0:is>
      </ns0:c>
      <ns0:c r="B448" t="inlineStr">
        <ns0:is>
          <ns0:t>function_0076</ns0:t>
        </ns0:is>
      </ns0:c>
      <ns0:c r="C448" t="inlineStr">
        <ns0:is>
          <ns0:t>run_005</ns0:t>
        </ns0:is>
      </ns0:c>
      <ns0:c r="D448" t="inlineStr">
        <ns0:is>
          <ns0:t>humantime</ns0:t>
        </ns0:is>
      </ns0:c>
      <ns0:c r="E448" t="inlineStr">
        <ns0:is>
          <ns0:t>gpt-3.5-turbo</ns0:t>
        </ns0:is>
      </ns0:c>
      <ns0:c r="F448" t="inlineStr">
        <ns0:is>
          <ns0:t>E0061,E0261,E0308,E0433</ns0:t>
        </ns0:is>
      </ns0:c>
      <ns0:c r="G448" t="n">
        <ns0:v>0</ns0:v>
      </ns0:c>
      <ns0:c r="H448" t="n">
        <ns0:v>6389</ns0:v>
      </ns0:c>
      <ns0:c r="I448" t="n">
        <ns0:v>276</ns0:v>
      </ns0:c>
      <ns0:c r="J448" t="n">
        <ns0:v>6665</ns0:v>
      </ns0:c>
      <ns0:c r="K448" t="n">
        <ns0:v>3</ns0:v>
      </ns0:c>
      <ns0:c r="L448" t="n">
        <ns0:v>1</ns0:v>
      </ns0:c>
      <ns0:c r="M448" t="n">
        <ns0:v>111108</ns0:v>
      </ns0:c>
      <ns0:c r="N448" t="n">
        <ns0:v>2992</ns0:v>
      </ns0:c>
      <ns0:c r="O448" t="n">
        <ns0:v>114100</ns0:v>
      </ns0:c>
      <ns0:c r="P448" t="n">
        <ns0:v>12</ns0:v>
      </ns0:c>
      <ns0:c r="Q448">
        <ns0:f>IF(AND(L448=1,O448*Calculations!$B$2&lt;=Calculations!$B$10*Calculations!$B$4),1,0)</ns0:f>
        <ns0:v>0</ns0:v>
      </ns0:c>
      <ns0:c r="R448">
        <ns0:f>IF(AND(L448=1,O448*Calculations!$B$2&lt;=Calculations!$B$11*Calculations!$B$4),1,0)</ns0:f>
        <ns0:v>0</ns0:v>
      </ns0:c>
    </ns0:row>
    <ns0:row r="449">
      <ns0:c r="A449" t="inlineStr">
        <ns0:is>
          <ns0:t>case_0448</ns0:t>
        </ns0:is>
      </ns0:c>
      <ns0:c r="B449" t="inlineStr">
        <ns0:is>
          <ns0:t>function_0076</ns0:t>
        </ns0:is>
      </ns0:c>
      <ns0:c r="C449" t="inlineStr">
        <ns0:is>
          <ns0:t>run_005</ns0:t>
        </ns0:is>
      </ns0:c>
      <ns0:c r="D449" t="inlineStr">
        <ns0:is>
          <ns0:t>humantime</ns0:t>
        </ns0:is>
      </ns0:c>
      <ns0:c r="E449" t="inlineStr">
        <ns0:is>
          <ns0:t>gpt-3.5-turbo</ns0:t>
        </ns0:is>
      </ns0:c>
      <ns0:c r="F449" t="inlineStr">
        <ns0:is>
          <ns0:t>E0261,E0433</ns0:t>
        </ns0:is>
      </ns0:c>
      <ns0:c r="G449" t="n">
        <ns0:v>0</ns0:v>
      </ns0:c>
      <ns0:c r="H449" t="n">
        <ns0:v>7760</ns0:v>
      </ns0:c>
      <ns0:c r="I449" t="n">
        <ns0:v>306</ns0:v>
      </ns0:c>
      <ns0:c r="J449" t="n">
        <ns0:v>8066</ns0:v>
      </ns0:c>
      <ns0:c r="K449" t="n">
        <ns0:v>3</ns0:v>
      </ns0:c>
      <ns0:c r="L449" t="n">
        <ns0:v>0</ns0:v>
      </ns0:c>
      <ns0:c r="M449" t="n">
        <ns0:v>108295</ns0:v>
      </ns0:c>
      <ns0:c r="N449" t="n">
        <ns0:v>901</ns0:v>
      </ns0:c>
      <ns0:c r="O449" t="n">
        <ns0:v>109196</ns0:v>
      </ns0:c>
      <ns0:c r="P449" t="n">
        <ns0:v>11</ns0:v>
      </ns0:c>
      <ns0:c r="Q449">
        <ns0:f>IF(AND(L449=1,O449*Calculations!$B$2&lt;=Calculations!$B$10*Calculations!$B$4),1,0)</ns0:f>
        <ns0:v>0</ns0:v>
      </ns0:c>
      <ns0:c r="R449">
        <ns0:f>IF(AND(L449=1,O449*Calculations!$B$2&lt;=Calculations!$B$11*Calculations!$B$4),1,0)</ns0:f>
        <ns0:v>0</ns0:v>
      </ns0:c>
    </ns0:row>
    <ns0:row r="450">
      <ns0:c r="A450" t="inlineStr">
        <ns0:is>
          <ns0:t>case_0449</ns0:t>
        </ns0:is>
      </ns0:c>
      <ns0:c r="B450" t="inlineStr">
        <ns0:is>
          <ns0:t>function_0076</ns0:t>
        </ns0:is>
      </ns0:c>
      <ns0:c r="C450" t="inlineStr">
        <ns0:is>
          <ns0:t>run_005</ns0:t>
        </ns0:is>
      </ns0:c>
      <ns0:c r="D450" t="inlineStr">
        <ns0:is>
          <ns0:t>humantime</ns0:t>
        </ns0:is>
      </ns0:c>
      <ns0:c r="E450" t="inlineStr">
        <ns0:is>
          <ns0:t>gpt-3.5-turbo</ns0:t>
        </ns0:is>
      </ns0:c>
      <ns0:c r="F450" t="inlineStr">
        <ns0:is>
          <ns0:t>E0061,E0433,E0599</ns0:t>
        </ns0:is>
      </ns0:c>
      <ns0:c r="G450" t="n">
        <ns0:v>0</ns0:v>
      </ns0:c>
      <ns0:c r="H450" t="n">
        <ns0:v>6107</ns0:v>
      </ns0:c>
      <ns0:c r="I450" t="n">
        <ns0:v>285</ns0:v>
      </ns0:c>
      <ns0:c r="J450" t="n">
        <ns0:v>6392</ns0:v>
      </ns0:c>
      <ns0:c r="K450" t="n">
        <ns0:v>3</ns0:v>
      </ns0:c>
      <ns0:c r="L450" t="n">
        <ns0:v>1</ns0:v>
      </ns0:c>
      <ns0:c r="M450" t="n">
        <ns0:v>171361</ns0:v>
      </ns0:c>
      <ns0:c r="N450" t="n">
        <ns0:v>3350</ns0:v>
      </ns0:c>
      <ns0:c r="O450" t="n">
        <ns0:v>174711</ns0:v>
      </ns0:c>
      <ns0:c r="P450" t="n">
        <ns0:v>20</ns0:v>
      </ns0:c>
      <ns0:c r="Q450">
        <ns0:f>IF(AND(L450=1,O450*Calculations!$B$2&lt;=Calculations!$B$10*Calculations!$B$4),1,0)</ns0:f>
        <ns0:v>0</ns0:v>
      </ns0:c>
      <ns0:c r="R450">
        <ns0:f>IF(AND(L450=1,O450*Calculations!$B$2&lt;=Calculations!$B$11*Calculations!$B$4),1,0)</ns0:f>
        <ns0:v>0</ns0:v>
      </ns0:c>
    </ns0:row>
    <ns0:row r="451">
      <ns0:c r="A451" t="inlineStr">
        <ns0:is>
          <ns0:t>case_0450</ns0:t>
        </ns0:is>
      </ns0:c>
      <ns0:c r="B451" t="inlineStr">
        <ns0:is>
          <ns0:t>function_0076</ns0:t>
        </ns0:is>
      </ns0:c>
      <ns0:c r="C451" t="inlineStr">
        <ns0:is>
          <ns0:t>run_005</ns0:t>
        </ns0:is>
      </ns0:c>
      <ns0:c r="D451" t="inlineStr">
        <ns0:is>
          <ns0:t>humantime</ns0:t>
        </ns0:is>
      </ns0:c>
      <ns0:c r="E451" t="inlineStr">
        <ns0:is>
          <ns0:t>gpt-3.5-turbo</ns0:t>
        </ns0:is>
      </ns0:c>
      <ns0:c r="F451" t="inlineStr">
        <ns0:is>
          <ns0:t>E0261,E0432</ns0:t>
        </ns0:is>
      </ns0:c>
      <ns0:c r="G451" t="n">
        <ns0:v>0</ns0:v>
      </ns0:c>
      <ns0:c r="H451" t="n">
        <ns0:v>4224</ns0:v>
      </ns0:c>
      <ns0:c r="I451" t="n">
        <ns0:v>276</ns0:v>
      </ns0:c>
      <ns0:c r="J451" t="n">
        <ns0:v>4500</ns0:v>
      </ns0:c>
      <ns0:c r="K451" t="n">
        <ns0:v>3</ns0:v>
      </ns0:c>
      <ns0:c r="L451" t="n">
        <ns0:v>1</ns0:v>
      </ns0:c>
      <ns0:c r="M451" t="n">
        <ns0:v>72619</ns0:v>
      </ns0:c>
      <ns0:c r="N451" t="n">
        <ns0:v>1060</ns0:v>
      </ns0:c>
      <ns0:c r="O451" t="n">
        <ns0:v>73679</ns0:v>
      </ns0:c>
      <ns0:c r="P451" t="n">
        <ns0:v>6</ns0:v>
      </ns0:c>
      <ns0:c r="Q451">
        <ns0:f>IF(AND(L451=1,O451*Calculations!$B$2&lt;=Calculations!$B$10*Calculations!$B$4),1,0)</ns0:f>
        <ns0:v>0</ns0:v>
      </ns0:c>
      <ns0:c r="R451">
        <ns0:f>IF(AND(L451=1,O451*Calculations!$B$2&lt;=Calculations!$B$11*Calculations!$B$4),1,0)</ns0:f>
        <ns0:v>0</ns0:v>
      </ns0:c>
    </ns0:row>
    <ns0:row r="452">
      <ns0:c r="A452" t="inlineStr">
        <ns0:is>
          <ns0:t>case_0451</ns0:t>
        </ns0:is>
      </ns0:c>
      <ns0:c r="B452" t="inlineStr">
        <ns0:is>
          <ns0:t>function_0076</ns0:t>
        </ns0:is>
      </ns0:c>
      <ns0:c r="C452" t="inlineStr">
        <ns0:is>
          <ns0:t>run_005</ns0:t>
        </ns0:is>
      </ns0:c>
      <ns0:c r="D452" t="inlineStr">
        <ns0:is>
          <ns0:t>humantime</ns0:t>
        </ns0:is>
      </ns0:c>
      <ns0:c r="E452" t="inlineStr">
        <ns0:is>
          <ns0:t>gpt-3.5-turbo</ns0:t>
        </ns0:is>
      </ns0:c>
      <ns0:c r="F452" t="inlineStr">
        <ns0:is>
          <ns0:t>E0261,E0433</ns0:t>
        </ns0:is>
      </ns0:c>
      <ns0:c r="G452" t="n">
        <ns0:v>0</ns0:v>
      </ns0:c>
      <ns0:c r="H452" t="n">
        <ns0:v>4365</ns0:v>
      </ns0:c>
      <ns0:c r="I452" t="n">
        <ns0:v>270</ns0:v>
      </ns0:c>
      <ns0:c r="J452" t="n">
        <ns0:v>4635</ns0:v>
      </ns0:c>
      <ns0:c r="K452" t="n">
        <ns0:v>3</ns0:v>
      </ns0:c>
      <ns0:c r="L452" t="n">
        <ns0:v>1</ns0:v>
      </ns0:c>
      <ns0:c r="M452" t="n">
        <ns0:v>112558</ns0:v>
      </ns0:c>
      <ns0:c r="N452" t="n">
        <ns0:v>1514</ns0:v>
      </ns0:c>
      <ns0:c r="O452" t="n">
        <ns0:v>114072</ns0:v>
      </ns0:c>
      <ns0:c r="P452" t="n">
        <ns0:v>8</ns0:v>
      </ns0:c>
      <ns0:c r="Q452">
        <ns0:f>IF(AND(L452=1,O452*Calculations!$B$2&lt;=Calculations!$B$10*Calculations!$B$4),1,0)</ns0:f>
        <ns0:v>0</ns0:v>
      </ns0:c>
      <ns0:c r="R452">
        <ns0:f>IF(AND(L452=1,O452*Calculations!$B$2&lt;=Calculations!$B$11*Calculations!$B$4),1,0)</ns0:f>
        <ns0:v>0</ns0:v>
      </ns0:c>
    </ns0:row>
    <ns0:row r="453">
      <ns0:c r="A453" t="inlineStr">
        <ns0:is>
          <ns0:t>case_0452</ns0:t>
        </ns0:is>
      </ns0:c>
      <ns0:c r="B453" t="inlineStr">
        <ns0:is>
          <ns0:t>function_0076</ns0:t>
        </ns0:is>
      </ns0:c>
      <ns0:c r="C453" t="inlineStr">
        <ns0:is>
          <ns0:t>run_005</ns0:t>
        </ns0:is>
      </ns0:c>
      <ns0:c r="D453" t="inlineStr">
        <ns0:is>
          <ns0:t>humantime</ns0:t>
        </ns0:is>
      </ns0:c>
      <ns0:c r="E453" t="inlineStr">
        <ns0:is>
          <ns0:t>gpt-3.5-turbo</ns0:t>
        </ns0:is>
      </ns0:c>
      <ns0:c r="F453" t="inlineStr">
        <ns0:is>
          <ns0:t>E0061,E0261,E0308,E0433</ns0:t>
        </ns0:is>
      </ns0:c>
      <ns0:c r="G453" t="n">
        <ns0:v>0</ns0:v>
      </ns0:c>
      <ns0:c r="H453" t="n">
        <ns0:v>6195</ns0:v>
      </ns0:c>
      <ns0:c r="I453" t="n">
        <ns0:v>279</ns0:v>
      </ns0:c>
      <ns0:c r="J453" t="n">
        <ns0:v>6474</ns0:v>
      </ns0:c>
      <ns0:c r="K453" t="n">
        <ns0:v>3</ns0:v>
      </ns0:c>
      <ns0:c r="L453" t="n">
        <ns0:v>1</ns0:v>
      </ns0:c>
      <ns0:c r="M453" t="n">
        <ns0:v>97983</ns0:v>
      </ns0:c>
      <ns0:c r="N453" t="n">
        <ns0:v>2708</ns0:v>
      </ns0:c>
      <ns0:c r="O453" t="n">
        <ns0:v>100691</ns0:v>
      </ns0:c>
      <ns0:c r="P453" t="n">
        <ns0:v>11</ns0:v>
      </ns0:c>
      <ns0:c r="Q453">
        <ns0:f>IF(AND(L453=1,O453*Calculations!$B$2&lt;=Calculations!$B$10*Calculations!$B$4),1,0)</ns0:f>
        <ns0:v>0</ns0:v>
      </ns0:c>
      <ns0:c r="R453">
        <ns0:f>IF(AND(L453=1,O453*Calculations!$B$2&lt;=Calculations!$B$11*Calculations!$B$4),1,0)</ns0:f>
        <ns0:v>0</ns0:v>
      </ns0:c>
    </ns0:row>
    <ns0:row r="454">
      <ns0:c r="A454" t="inlineStr">
        <ns0:is>
          <ns0:t>case_0453</ns0:t>
        </ns0:is>
      </ns0:c>
      <ns0:c r="B454" t="inlineStr">
        <ns0:is>
          <ns0:t>function_0076</ns0:t>
        </ns0:is>
      </ns0:c>
      <ns0:c r="C454" t="inlineStr">
        <ns0:is>
          <ns0:t>run_005</ns0:t>
        </ns0:is>
      </ns0:c>
      <ns0:c r="D454" t="inlineStr">
        <ns0:is>
          <ns0:t>humantime</ns0:t>
        </ns0:is>
      </ns0:c>
      <ns0:c r="E454" t="inlineStr">
        <ns0:is>
          <ns0:t>gpt-3.5-turbo</ns0:t>
        </ns0:is>
      </ns0:c>
      <ns0:c r="F454" t="inlineStr">
        <ns0:is>
          <ns0:t>E0433</ns0:t>
        </ns0:is>
      </ns0:c>
      <ns0:c r="G454" t="n">
        <ns0:v>1</ns0:v>
      </ns0:c>
      <ns0:c r="H454" t="n">
        <ns0:v>0</ns0:v>
      </ns0:c>
      <ns0:c r="I454" t="n">
        <ns0:v>0</ns0:v>
      </ns0:c>
      <ns0:c r="J454" t="n">
        <ns0:v>0</ns0:v>
      </ns0:c>
      <ns0:c r="K454" t="n">
        <ns0:v>0</ns0:v>
      </ns0:c>
      <ns0:c r="L454" t="n">
        <ns0:v>1</ns0:v>
      </ns0:c>
      <ns0:c r="M454" t="n">
        <ns0:v>151059</ns0:v>
      </ns0:c>
      <ns0:c r="N454" t="n">
        <ns0:v>1909</ns0:v>
      </ns0:c>
      <ns0:c r="O454" t="n">
        <ns0:v>152968</ns0:v>
      </ns0:c>
      <ns0:c r="P454" t="n">
        <ns0:v>18</ns0:v>
      </ns0:c>
      <ns0:c r="Q454">
        <ns0:f>IF(AND(L454=1,O454*Calculations!$B$2&lt;=Calculations!$B$10*Calculations!$B$4),1,0)</ns0:f>
        <ns0:v>0</ns0:v>
      </ns0:c>
      <ns0:c r="R454">
        <ns0:f>IF(AND(L454=1,O454*Calculations!$B$2&lt;=Calculations!$B$11*Calculations!$B$4),1,0)</ns0:f>
        <ns0:v>0</ns0:v>
      </ns0:c>
    </ns0:row>
    <ns0:row r="455">
      <ns0:c r="A455" t="inlineStr">
        <ns0:is>
          <ns0:t>case_0454</ns0:t>
        </ns0:is>
      </ns0:c>
      <ns0:c r="B455" t="inlineStr">
        <ns0:is>
          <ns0:t>function_0076</ns0:t>
        </ns0:is>
      </ns0:c>
      <ns0:c r="C455" t="inlineStr">
        <ns0:is>
          <ns0:t>run_005</ns0:t>
        </ns0:is>
      </ns0:c>
      <ns0:c r="D455" t="inlineStr">
        <ns0:is>
          <ns0:t>humantime</ns0:t>
        </ns0:is>
      </ns0:c>
      <ns0:c r="E455" t="inlineStr">
        <ns0:is>
          <ns0:t>gpt-3.5-turbo</ns0:t>
        </ns0:is>
      </ns0:c>
      <ns0:c r="F455" t="inlineStr">
        <ns0:is>
          <ns0:t>E0061,E0261,E0308,E0433</ns0:t>
        </ns0:is>
      </ns0:c>
      <ns0:c r="G455" t="n">
        <ns0:v>0</ns0:v>
      </ns0:c>
      <ns0:c r="H455" t="n">
        <ns0:v>6242</ns0:v>
      </ns0:c>
      <ns0:c r="I455" t="n">
        <ns0:v>401</ns0:v>
      </ns0:c>
      <ns0:c r="J455" t="n">
        <ns0:v>6643</ns0:v>
      </ns0:c>
      <ns0:c r="K455" t="n">
        <ns0:v>3</ns0:v>
      </ns0:c>
      <ns0:c r="L455" t="n">
        <ns0:v>1</ns0:v>
      </ns0:c>
      <ns0:c r="M455" t="n">
        <ns0:v>138240</ns0:v>
      </ns0:c>
      <ns0:c r="N455" t="n">
        <ns0:v>2777</ns0:v>
      </ns0:c>
      <ns0:c r="O455" t="n">
        <ns0:v>141017</ns0:v>
      </ns0:c>
      <ns0:c r="P455" t="n">
        <ns0:v>15</ns0:v>
      </ns0:c>
      <ns0:c r="Q455">
        <ns0:f>IF(AND(L455=1,O455*Calculations!$B$2&lt;=Calculations!$B$10*Calculations!$B$4),1,0)</ns0:f>
        <ns0:v>0</ns0:v>
      </ns0:c>
      <ns0:c r="R455">
        <ns0:f>IF(AND(L455=1,O455*Calculations!$B$2&lt;=Calculations!$B$11*Calculations!$B$4),1,0)</ns0:f>
        <ns0:v>0</ns0:v>
      </ns0:c>
    </ns0:row>
    <ns0:row r="456">
      <ns0:c r="A456" t="inlineStr">
        <ns0:is>
          <ns0:t>case_0455</ns0:t>
        </ns0:is>
      </ns0:c>
      <ns0:c r="B456" t="inlineStr">
        <ns0:is>
          <ns0:t>function_0077</ns0:t>
        </ns0:is>
      </ns0:c>
      <ns0:c r="C456" t="inlineStr">
        <ns0:is>
          <ns0:t>run_005</ns0:t>
        </ns0:is>
      </ns0:c>
      <ns0:c r="D456" t="inlineStr">
        <ns0:is>
          <ns0:t>humantime</ns0:t>
        </ns0:is>
      </ns0:c>
      <ns0:c r="E456" t="inlineStr">
        <ns0:is>
          <ns0:t>gpt-3.5-turbo</ns0:t>
        </ns0:is>
      </ns0:c>
      <ns0:c r="F456" t="inlineStr">
        <ns0:is>
          <ns0:t>E0308,E0658</ns0:t>
        </ns0:is>
      </ns0:c>
      <ns0:c r="G456" t="n">
        <ns0:v>0</ns0:v>
      </ns0:c>
      <ns0:c r="H456" t="n">
        <ns0:v>2245</ns0:v>
      </ns0:c>
      <ns0:c r="I456" t="n">
        <ns0:v>1471</ns0:v>
      </ns0:c>
      <ns0:c r="J456" t="n">
        <ns0:v>3716</ns0:v>
      </ns0:c>
      <ns0:c r="K456" t="n">
        <ns0:v>3</ns0:v>
      </ns0:c>
      <ns0:c r="L456" t="n">
        <ns0:v>1</ns0:v>
      </ns0:c>
      <ns0:c r="M456" t="n">
        <ns0:v>218066</ns0:v>
      </ns0:c>
      <ns0:c r="N456" t="n">
        <ns0:v>9141</ns0:v>
      </ns0:c>
      <ns0:c r="O456" t="n">
        <ns0:v>227207</ns0:v>
      </ns0:c>
      <ns0:c r="P456" t="n">
        <ns0:v>15</ns0:v>
      </ns0:c>
      <ns0:c r="Q456">
        <ns0:f>IF(AND(L456=1,O456*Calculations!$B$2&lt;=Calculations!$B$10*Calculations!$B$4),1,0)</ns0:f>
        <ns0:v>0</ns0:v>
      </ns0:c>
      <ns0:c r="R456">
        <ns0:f>IF(AND(L456=1,O456*Calculations!$B$2&lt;=Calculations!$B$11*Calculations!$B$4),1,0)</ns0:f>
        <ns0:v>0</ns0:v>
      </ns0:c>
    </ns0:row>
    <ns0:row r="457">
      <ns0:c r="A457" t="inlineStr">
        <ns0:is>
          <ns0:t>case_0456</ns0:t>
        </ns0:is>
      </ns0:c>
      <ns0:c r="B457" t="inlineStr">
        <ns0:is>
          <ns0:t>function_0077</ns0:t>
        </ns0:is>
      </ns0:c>
      <ns0:c r="C457" t="inlineStr">
        <ns0:is>
          <ns0:t>run_005</ns0:t>
        </ns0:is>
      </ns0:c>
      <ns0:c r="D457" t="inlineStr">
        <ns0:is>
          <ns0:t>humantime</ns0:t>
        </ns0:is>
      </ns0:c>
      <ns0:c r="E457" t="inlineStr">
        <ns0:is>
          <ns0:t>gpt-3.5-turbo</ns0:t>
        </ns0:is>
      </ns0:c>
      <ns0:c r="F457" t="inlineStr">
        <ns0:is>
          <ns0:t>E0308,E0658</ns0:t>
        </ns0:is>
      </ns0:c>
      <ns0:c r="G457" t="n">
        <ns0:v>0</ns0:v>
      </ns0:c>
      <ns0:c r="H457" t="n">
        <ns0:v>2272</ns0:v>
      </ns0:c>
      <ns0:c r="I457" t="n">
        <ns0:v>268</ns0:v>
      </ns0:c>
      <ns0:c r="J457" t="n">
        <ns0:v>2540</ns0:v>
      </ns0:c>
      <ns0:c r="K457" t="n">
        <ns0:v>3</ns0:v>
      </ns0:c>
      <ns0:c r="L457" t="n">
        <ns0:v>0</ns0:v>
      </ns0:c>
      <ns0:c r="M457" t="n">
        <ns0:v>214436</ns0:v>
      </ns0:c>
      <ns0:c r="N457" t="n">
        <ns0:v>6052</ns0:v>
      </ns0:c>
      <ns0:c r="O457" t="n">
        <ns0:v>220488</ns0:v>
      </ns0:c>
      <ns0:c r="P457" t="n">
        <ns0:v>20</ns0:v>
      </ns0:c>
      <ns0:c r="Q457">
        <ns0:f>IF(AND(L457=1,O457*Calculations!$B$2&lt;=Calculations!$B$10*Calculations!$B$4),1,0)</ns0:f>
        <ns0:v>0</ns0:v>
      </ns0:c>
      <ns0:c r="R457">
        <ns0:f>IF(AND(L457=1,O457*Calculations!$B$2&lt;=Calculations!$B$11*Calculations!$B$4),1,0)</ns0:f>
        <ns0:v>0</ns0:v>
      </ns0:c>
    </ns0:row>
    <ns0:row r="458">
      <ns0:c r="A458" t="inlineStr">
        <ns0:is>
          <ns0:t>case_0457</ns0:t>
        </ns0:is>
      </ns0:c>
      <ns0:c r="B458" t="inlineStr">
        <ns0:is>
          <ns0:t>function_0077</ns0:t>
        </ns0:is>
      </ns0:c>
      <ns0:c r="C458" t="inlineStr">
        <ns0:is>
          <ns0:t>run_005</ns0:t>
        </ns0:is>
      </ns0:c>
      <ns0:c r="D458" t="inlineStr">
        <ns0:is>
          <ns0:t>humantime</ns0:t>
        </ns0:is>
      </ns0:c>
      <ns0:c r="E458" t="inlineStr">
        <ns0:is>
          <ns0:t>gpt-3.5-turbo</ns0:t>
        </ns0:is>
      </ns0:c>
      <ns0:c r="F458" t="inlineStr">
        <ns0:is>
          <ns0:t>E0308,E0658</ns0:t>
        </ns0:is>
      </ns0:c>
      <ns0:c r="G458" t="n">
        <ns0:v>0</ns0:v>
      </ns0:c>
      <ns0:c r="H458" t="n">
        <ns0:v>2141</ns0:v>
      </ns0:c>
      <ns0:c r="I458" t="n">
        <ns0:v>246</ns0:v>
      </ns0:c>
      <ns0:c r="J458" t="n">
        <ns0:v>2387</ns0:v>
      </ns0:c>
      <ns0:c r="K458" t="n">
        <ns0:v>3</ns0:v>
      </ns0:c>
      <ns0:c r="L458" t="n">
        <ns0:v>0</ns0:v>
      </ns0:c>
      <ns0:c r="M458" t="n">
        <ns0:v>203320</ns0:v>
      </ns0:c>
      <ns0:c r="N458" t="n">
        <ns0:v>10990</ns0:v>
      </ns0:c>
      <ns0:c r="O458" t="n">
        <ns0:v>214310</ns0:v>
      </ns0:c>
      <ns0:c r="P458" t="n">
        <ns0:v>20</ns0:v>
      </ns0:c>
      <ns0:c r="Q458">
        <ns0:f>IF(AND(L458=1,O458*Calculations!$B$2&lt;=Calculations!$B$10*Calculations!$B$4),1,0)</ns0:f>
        <ns0:v>0</ns0:v>
      </ns0:c>
      <ns0:c r="R458">
        <ns0:f>IF(AND(L458=1,O458*Calculations!$B$2&lt;=Calculations!$B$11*Calculations!$B$4),1,0)</ns0:f>
        <ns0:v>0</ns0:v>
      </ns0:c>
    </ns0:row>
    <ns0:row r="459">
      <ns0:c r="A459" t="inlineStr">
        <ns0:is>
          <ns0:t>case_0458</ns0:t>
        </ns0:is>
      </ns0:c>
      <ns0:c r="B459" t="inlineStr">
        <ns0:is>
          <ns0:t>function_0077</ns0:t>
        </ns0:is>
      </ns0:c>
      <ns0:c r="C459" t="inlineStr">
        <ns0:is>
          <ns0:t>run_005</ns0:t>
        </ns0:is>
      </ns0:c>
      <ns0:c r="D459" t="inlineStr">
        <ns0:is>
          <ns0:t>humantime</ns0:t>
        </ns0:is>
      </ns0:c>
      <ns0:c r="E459" t="inlineStr">
        <ns0:is>
          <ns0:t>gpt-3.5-turbo</ns0:t>
        </ns0:is>
      </ns0:c>
      <ns0:c r="F459" t="inlineStr">
        <ns0:is>
          <ns0:t>E0308,E0433,E0658</ns0:t>
        </ns0:is>
      </ns0:c>
      <ns0:c r="G459" t="n">
        <ns0:v>0</ns0:v>
      </ns0:c>
      <ns0:c r="H459" t="n">
        <ns0:v>2352</ns0:v>
      </ns0:c>
      <ns0:c r="I459" t="n">
        <ns0:v>306</ns0:v>
      </ns0:c>
      <ns0:c r="J459" t="n">
        <ns0:v>2658</ns0:v>
      </ns0:c>
      <ns0:c r="K459" t="n">
        <ns0:v>3</ns0:v>
      </ns0:c>
      <ns0:c r="L459" t="n">
        <ns0:v>0</ns0:v>
      </ns0:c>
      <ns0:c r="M459" t="n">
        <ns0:v>186875</ns0:v>
      </ns0:c>
      <ns0:c r="N459" t="n">
        <ns0:v>4473</ns0:v>
      </ns0:c>
      <ns0:c r="O459" t="n">
        <ns0:v>191348</ns0:v>
      </ns0:c>
      <ns0:c r="P459" t="n">
        <ns0:v>20</ns0:v>
      </ns0:c>
      <ns0:c r="Q459">
        <ns0:f>IF(AND(L459=1,O459*Calculations!$B$2&lt;=Calculations!$B$10*Calculations!$B$4),1,0)</ns0:f>
        <ns0:v>0</ns0:v>
      </ns0:c>
      <ns0:c r="R459">
        <ns0:f>IF(AND(L459=1,O459*Calculations!$B$2&lt;=Calculations!$B$11*Calculations!$B$4),1,0)</ns0:f>
        <ns0:v>0</ns0:v>
      </ns0:c>
    </ns0:row>
    <ns0:row r="460">
      <ns0:c r="A460" t="inlineStr">
        <ns0:is>
          <ns0:t>case_0459</ns0:t>
        </ns0:is>
      </ns0:c>
      <ns0:c r="B460" t="inlineStr">
        <ns0:is>
          <ns0:t>function_0077</ns0:t>
        </ns0:is>
      </ns0:c>
      <ns0:c r="C460" t="inlineStr">
        <ns0:is>
          <ns0:t>run_005</ns0:t>
        </ns0:is>
      </ns0:c>
      <ns0:c r="D460" t="inlineStr">
        <ns0:is>
          <ns0:t>humantime</ns0:t>
        </ns0:is>
      </ns0:c>
      <ns0:c r="E460" t="inlineStr">
        <ns0:is>
          <ns0:t>gpt-3.5-turbo</ns0:t>
        </ns0:is>
      </ns0:c>
      <ns0:c r="F460" t="inlineStr">
        <ns0:is>
          <ns0:t>E0308,E0433,E0658</ns0:t>
        </ns0:is>
      </ns0:c>
      <ns0:c r="G460" t="n">
        <ns0:v>0</ns0:v>
      </ns0:c>
      <ns0:c r="H460" t="n">
        <ns0:v>2432</ns0:v>
      </ns0:c>
      <ns0:c r="I460" t="n">
        <ns0:v>347</ns0:v>
      </ns0:c>
      <ns0:c r="J460" t="n">
        <ns0:v>2779</ns0:v>
      </ns0:c>
      <ns0:c r="K460" t="n">
        <ns0:v>3</ns0:v>
      </ns0:c>
      <ns0:c r="L460" t="n">
        <ns0:v>0</ns0:v>
      </ns0:c>
      <ns0:c r="M460" t="n">
        <ns0:v>253785</ns0:v>
      </ns0:c>
      <ns0:c r="N460" t="n">
        <ns0:v>7238</ns0:v>
      </ns0:c>
      <ns0:c r="O460" t="n">
        <ns0:v>261023</ns0:v>
      </ns0:c>
      <ns0:c r="P460" t="n">
        <ns0:v>20</ns0:v>
      </ns0:c>
      <ns0:c r="Q460">
        <ns0:f>IF(AND(L460=1,O460*Calculations!$B$2&lt;=Calculations!$B$10*Calculations!$B$4),1,0)</ns0:f>
        <ns0:v>0</ns0:v>
      </ns0:c>
      <ns0:c r="R460">
        <ns0:f>IF(AND(L460=1,O460*Calculations!$B$2&lt;=Calculations!$B$11*Calculations!$B$4),1,0)</ns0:f>
        <ns0:v>0</ns0:v>
      </ns0:c>
    </ns0:row>
    <ns0:row r="461">
      <ns0:c r="A461" t="inlineStr">
        <ns0:is>
          <ns0:t>case_0460</ns0:t>
        </ns0:is>
      </ns0:c>
      <ns0:c r="B461" t="inlineStr">
        <ns0:is>
          <ns0:t>function_0077</ns0:t>
        </ns0:is>
      </ns0:c>
      <ns0:c r="C461" t="inlineStr">
        <ns0:is>
          <ns0:t>run_005</ns0:t>
        </ns0:is>
      </ns0:c>
      <ns0:c r="D461" t="inlineStr">
        <ns0:is>
          <ns0:t>humantime</ns0:t>
        </ns0:is>
      </ns0:c>
      <ns0:c r="E461" t="inlineStr">
        <ns0:is>
          <ns0:t>gpt-3.5-turbo</ns0:t>
        </ns0:is>
      </ns0:c>
      <ns0:c r="F461" t="inlineStr">
        <ns0:is>
          <ns0:t>E0433,E0658</ns0:t>
        </ns0:is>
      </ns0:c>
      <ns0:c r="G461" t="n">
        <ns0:v>0</ns0:v>
      </ns0:c>
      <ns0:c r="H461" t="n">
        <ns0:v>2463</ns0:v>
      </ns0:c>
      <ns0:c r="I461" t="n">
        <ns0:v>357</ns0:v>
      </ns0:c>
      <ns0:c r="J461" t="n">
        <ns0:v>2820</ns0:v>
      </ns0:c>
      <ns0:c r="K461" t="n">
        <ns0:v>3</ns0:v>
      </ns0:c>
      <ns0:c r="L461" t="n">
        <ns0:v>0</ns0:v>
      </ns0:c>
      <ns0:c r="M461" t="n">
        <ns0:v>284311</ns0:v>
      </ns0:c>
      <ns0:c r="N461" t="n">
        <ns0:v>7153</ns0:v>
      </ns0:c>
      <ns0:c r="O461" t="n">
        <ns0:v>291464</ns0:v>
      </ns0:c>
      <ns0:c r="P461" t="n">
        <ns0:v>20</ns0:v>
      </ns0:c>
      <ns0:c r="Q461">
        <ns0:f>IF(AND(L461=1,O461*Calculations!$B$2&lt;=Calculations!$B$10*Calculations!$B$4),1,0)</ns0:f>
        <ns0:v>0</ns0:v>
      </ns0:c>
      <ns0:c r="R461">
        <ns0:f>IF(AND(L461=1,O461*Calculations!$B$2&lt;=Calculations!$B$11*Calculations!$B$4),1,0)</ns0:f>
        <ns0:v>0</ns0:v>
      </ns0:c>
    </ns0:row>
    <ns0:row r="462">
      <ns0:c r="A462" t="inlineStr">
        <ns0:is>
          <ns0:t>case_0461</ns0:t>
        </ns0:is>
      </ns0:c>
      <ns0:c r="B462" t="inlineStr">
        <ns0:is>
          <ns0:t>function_0078</ns0:t>
        </ns0:is>
      </ns0:c>
      <ns0:c r="C462" t="inlineStr">
        <ns0:is>
          <ns0:t>run_005</ns0:t>
        </ns0:is>
      </ns0:c>
      <ns0:c r="D462" t="inlineStr">
        <ns0:is>
          <ns0:t>humantime</ns0:t>
        </ns0:is>
      </ns0:c>
      <ns0:c r="E462" t="inlineStr">
        <ns0:is>
          <ns0:t>gpt-3.5-turbo</ns0:t>
        </ns0:is>
      </ns0:c>
      <ns0:c r="F462" t="inlineStr">
        <ns0:is>
          <ns0:t>E0308</ns0:t>
        </ns0:is>
      </ns0:c>
      <ns0:c r="G462" t="n">
        <ns0:v>1</ns0:v>
      </ns0:c>
      <ns0:c r="H462" t="n">
        <ns0:v>0</ns0:v>
      </ns0:c>
      <ns0:c r="I462" t="n">
        <ns0:v>0</ns0:v>
      </ns0:c>
      <ns0:c r="J462" t="n">
        <ns0:v>0</ns0:v>
      </ns0:c>
      <ns0:c r="K462" t="n">
        <ns0:v>0</ns0:v>
      </ns0:c>
      <ns0:c r="L462" t="n">
        <ns0:v>0</ns0:v>
      </ns0:c>
      <ns0:c r="M462" t="n">
        <ns0:v>167008</ns0:v>
      </ns0:c>
      <ns0:c r="N462" t="n">
        <ns0:v>4169</ns0:v>
      </ns0:c>
      <ns0:c r="O462" t="n">
        <ns0:v>171177</ns0:v>
      </ns0:c>
      <ns0:c r="P462" t="n">
        <ns0:v>20</ns0:v>
      </ns0:c>
      <ns0:c r="Q462">
        <ns0:f>IF(AND(L462=1,O462*Calculations!$B$2&lt;=Calculations!$B$10*Calculations!$B$4),1,0)</ns0:f>
        <ns0:v>0</ns0:v>
      </ns0:c>
      <ns0:c r="R462">
        <ns0:f>IF(AND(L462=1,O462*Calculations!$B$2&lt;=Calculations!$B$11*Calculations!$B$4),1,0)</ns0:f>
        <ns0:v>0</ns0:v>
      </ns0:c>
    </ns0:row>
    <ns0:row r="463">
      <ns0:c r="A463" t="inlineStr">
        <ns0:is>
          <ns0:t>case_0462</ns0:t>
        </ns0:is>
      </ns0:c>
      <ns0:c r="B463" t="inlineStr">
        <ns0:is>
          <ns0:t>function_0078</ns0:t>
        </ns0:is>
      </ns0:c>
      <ns0:c r="C463" t="inlineStr">
        <ns0:is>
          <ns0:t>run_005</ns0:t>
        </ns0:is>
      </ns0:c>
      <ns0:c r="D463" t="inlineStr">
        <ns0:is>
          <ns0:t>humantime</ns0:t>
        </ns0:is>
      </ns0:c>
      <ns0:c r="E463" t="inlineStr">
        <ns0:is>
          <ns0:t>gpt-3.5-turbo</ns0:t>
        </ns0:is>
      </ns0:c>
      <ns0:c r="F463" t="inlineStr">
        <ns0:is>
          <ns0:t>E0308</ns0:t>
        </ns0:is>
      </ns0:c>
      <ns0:c r="G463" t="n">
        <ns0:v>1</ns0:v>
      </ns0:c>
      <ns0:c r="H463" t="n">
        <ns0:v>0</ns0:v>
      </ns0:c>
      <ns0:c r="I463" t="n">
        <ns0:v>0</ns0:v>
      </ns0:c>
      <ns0:c r="J463" t="n">
        <ns0:v>0</ns0:v>
      </ns0:c>
      <ns0:c r="K463" t="n">
        <ns0:v>0</ns0:v>
      </ns0:c>
      <ns0:c r="L463" t="n">
        <ns0:v>0</ns0:v>
      </ns0:c>
      <ns0:c r="M463" t="n">
        <ns0:v>191109</ns0:v>
      </ns0:c>
      <ns0:c r="N463" t="n">
        <ns0:v>4781</ns0:v>
      </ns0:c>
      <ns0:c r="O463" t="n">
        <ns0:v>195890</ns0:v>
      </ns0:c>
      <ns0:c r="P463" t="n">
        <ns0:v>20</ns0:v>
      </ns0:c>
      <ns0:c r="Q463">
        <ns0:f>IF(AND(L463=1,O463*Calculations!$B$2&lt;=Calculations!$B$10*Calculations!$B$4),1,0)</ns0:f>
        <ns0:v>0</ns0:v>
      </ns0:c>
      <ns0:c r="R463">
        <ns0:f>IF(AND(L463=1,O463*Calculations!$B$2&lt;=Calculations!$B$11*Calculations!$B$4),1,0)</ns0:f>
        <ns0:v>0</ns0:v>
      </ns0:c>
    </ns0:row>
    <ns0:row r="464">
      <ns0:c r="A464" t="inlineStr">
        <ns0:is>
          <ns0:t>case_0463</ns0:t>
        </ns0:is>
      </ns0:c>
      <ns0:c r="B464" t="inlineStr">
        <ns0:is>
          <ns0:t>function_0078</ns0:t>
        </ns0:is>
      </ns0:c>
      <ns0:c r="C464" t="inlineStr">
        <ns0:is>
          <ns0:t>run_005</ns0:t>
        </ns0:is>
      </ns0:c>
      <ns0:c r="D464" t="inlineStr">
        <ns0:is>
          <ns0:t>humantime</ns0:t>
        </ns0:is>
      </ns0:c>
      <ns0:c r="E464" t="inlineStr">
        <ns0:is>
          <ns0:t>gpt-3.5-turbo</ns0:t>
        </ns0:is>
      </ns0:c>
      <ns0:c r="F464" t="inlineStr">
        <ns0:is>
          <ns0:t>E0658</ns0:t>
        </ns0:is>
      </ns0:c>
      <ns0:c r="G464" t="n">
        <ns0:v>0</ns0:v>
      </ns0:c>
      <ns0:c r="H464" t="n">
        <ns0:v>2673</ns0:v>
      </ns0:c>
      <ns0:c r="I464" t="n">
        <ns0:v>415</ns0:v>
      </ns0:c>
      <ns0:c r="J464" t="n">
        <ns0:v>3088</ns0:v>
      </ns0:c>
      <ns0:c r="K464" t="n">
        <ns0:v>3</ns0:v>
      </ns0:c>
      <ns0:c r="L464" t="n">
        <ns0:v>0</ns0:v>
      </ns0:c>
      <ns0:c r="M464" t="n">
        <ns0:v>191145</ns0:v>
      </ns0:c>
      <ns0:c r="N464" t="n">
        <ns0:v>3146</ns0:v>
      </ns0:c>
      <ns0:c r="O464" t="n">
        <ns0:v>194291</ns0:v>
      </ns0:c>
      <ns0:c r="P464" t="n">
        <ns0:v>20</ns0:v>
      </ns0:c>
      <ns0:c r="Q464">
        <ns0:f>IF(AND(L464=1,O464*Calculations!$B$2&lt;=Calculations!$B$10*Calculations!$B$4),1,0)</ns0:f>
        <ns0:v>0</ns0:v>
      </ns0:c>
      <ns0:c r="R464">
        <ns0:f>IF(AND(L464=1,O464*Calculations!$B$2&lt;=Calculations!$B$11*Calculations!$B$4),1,0)</ns0:f>
        <ns0:v>0</ns0:v>
      </ns0:c>
    </ns0:row>
    <ns0:row r="465">
      <ns0:c r="A465" t="inlineStr">
        <ns0:is>
          <ns0:t>case_0464</ns0:t>
        </ns0:is>
      </ns0:c>
      <ns0:c r="B465" t="inlineStr">
        <ns0:is>
          <ns0:t>function_0078</ns0:t>
        </ns0:is>
      </ns0:c>
      <ns0:c r="C465" t="inlineStr">
        <ns0:is>
          <ns0:t>run_005</ns0:t>
        </ns0:is>
      </ns0:c>
      <ns0:c r="D465" t="inlineStr">
        <ns0:is>
          <ns0:t>humantime</ns0:t>
        </ns0:is>
      </ns0:c>
      <ns0:c r="E465" t="inlineStr">
        <ns0:is>
          <ns0:t>gpt-3.5-turbo</ns0:t>
        </ns0:is>
      </ns0:c>
      <ns0:c r="F465" t="inlineStr">
        <ns0:is>
          <ns0:t>E0433,E0658</ns0:t>
        </ns0:is>
      </ns0:c>
      <ns0:c r="G465" t="n">
        <ns0:v>0</ns0:v>
      </ns0:c>
      <ns0:c r="H465" t="n">
        <ns0:v>2687</ns0:v>
      </ns0:c>
      <ns0:c r="I465" t="n">
        <ns0:v>342</ns0:v>
      </ns0:c>
      <ns0:c r="J465" t="n">
        <ns0:v>3029</ns0:v>
      </ns0:c>
      <ns0:c r="K465" t="n">
        <ns0:v>3</ns0:v>
      </ns0:c>
      <ns0:c r="L465" t="n">
        <ns0:v>0</ns0:v>
      </ns0:c>
      <ns0:c r="M465" t="n">
        <ns0:v>176955</ns0:v>
      </ns0:c>
      <ns0:c r="N465" t="n">
        <ns0:v>2273</ns0:v>
      </ns0:c>
      <ns0:c r="O465" t="n">
        <ns0:v>179228</ns0:v>
      </ns0:c>
      <ns0:c r="P465" t="n">
        <ns0:v>20</ns0:v>
      </ns0:c>
      <ns0:c r="Q465">
        <ns0:f>IF(AND(L465=1,O465*Calculations!$B$2&lt;=Calculations!$B$10*Calculations!$B$4),1,0)</ns0:f>
        <ns0:v>0</ns0:v>
      </ns0:c>
      <ns0:c r="R465">
        <ns0:f>IF(AND(L465=1,O465*Calculations!$B$2&lt;=Calculations!$B$11*Calculations!$B$4),1,0)</ns0:f>
        <ns0:v>0</ns0:v>
      </ns0:c>
    </ns0:row>
    <ns0:row r="466">
      <ns0:c r="A466" t="inlineStr">
        <ns0:is>
          <ns0:t>case_0465</ns0:t>
        </ns0:is>
      </ns0:c>
      <ns0:c r="B466" t="inlineStr">
        <ns0:is>
          <ns0:t>function_0078</ns0:t>
        </ns0:is>
      </ns0:c>
      <ns0:c r="C466" t="inlineStr">
        <ns0:is>
          <ns0:t>run_005</ns0:t>
        </ns0:is>
      </ns0:c>
      <ns0:c r="D466" t="inlineStr">
        <ns0:is>
          <ns0:t>humantime</ns0:t>
        </ns0:is>
      </ns0:c>
      <ns0:c r="E466" t="inlineStr">
        <ns0:is>
          <ns0:t>gpt-3.5-turbo</ns0:t>
        </ns0:is>
      </ns0:c>
      <ns0:c r="F466" t="inlineStr">
        <ns0:is>
          <ns0:t>E0308,E0433,E0599,E0658</ns0:t>
        </ns0:is>
      </ns0:c>
      <ns0:c r="G466" t="n">
        <ns0:v>0</ns0:v>
      </ns0:c>
      <ns0:c r="H466" t="n">
        <ns0:v>3075</ns0:v>
      </ns0:c>
      <ns0:c r="I466" t="n">
        <ns0:v>330</ns0:v>
      </ns0:c>
      <ns0:c r="J466" t="n">
        <ns0:v>3405</ns0:v>
      </ns0:c>
      <ns0:c r="K466" t="n">
        <ns0:v>3</ns0:v>
      </ns0:c>
      <ns0:c r="L466" t="n">
        <ns0:v>0</ns0:v>
      </ns0:c>
      <ns0:c r="M466" t="n">
        <ns0:v>257646</ns0:v>
      </ns0:c>
      <ns0:c r="N466" t="n">
        <ns0:v>6401</ns0:v>
      </ns0:c>
      <ns0:c r="O466" t="n">
        <ns0:v>264047</ns0:v>
      </ns0:c>
      <ns0:c r="P466" t="n">
        <ns0:v>14</ns0:v>
      </ns0:c>
      <ns0:c r="Q466">
        <ns0:f>IF(AND(L466=1,O466*Calculations!$B$2&lt;=Calculations!$B$10*Calculations!$B$4),1,0)</ns0:f>
        <ns0:v>0</ns0:v>
      </ns0:c>
      <ns0:c r="R466">
        <ns0:f>IF(AND(L466=1,O466*Calculations!$B$2&lt;=Calculations!$B$11*Calculations!$B$4),1,0)</ns0:f>
        <ns0:v>0</ns0:v>
      </ns0:c>
    </ns0:row>
    <ns0:row r="467">
      <ns0:c r="A467" t="inlineStr">
        <ns0:is>
          <ns0:t>case_0466</ns0:t>
        </ns0:is>
      </ns0:c>
      <ns0:c r="B467" t="inlineStr">
        <ns0:is>
          <ns0:t>function_0078</ns0:t>
        </ns0:is>
      </ns0:c>
      <ns0:c r="C467" t="inlineStr">
        <ns0:is>
          <ns0:t>run_005</ns0:t>
        </ns0:is>
      </ns0:c>
      <ns0:c r="D467" t="inlineStr">
        <ns0:is>
          <ns0:t>humantime</ns0:t>
        </ns0:is>
      </ns0:c>
      <ns0:c r="E467" t="inlineStr">
        <ns0:is>
          <ns0:t>gpt-3.5-turbo</ns0:t>
        </ns0:is>
      </ns0:c>
      <ns0:c r="F467" t="inlineStr">
        <ns0:is>
          <ns0:t>E0308,E0433,E0658</ns0:t>
        </ns0:is>
      </ns0:c>
      <ns0:c r="G467" t="n">
        <ns0:v>0</ns0:v>
      </ns0:c>
      <ns0:c r="H467" t="n">
        <ns0:v>2607</ns0:v>
      </ns0:c>
      <ns0:c r="I467" t="n">
        <ns0:v>316</ns0:v>
      </ns0:c>
      <ns0:c r="J467" t="n">
        <ns0:v>2923</ns0:v>
      </ns0:c>
      <ns0:c r="K467" t="n">
        <ns0:v>3</ns0:v>
      </ns0:c>
      <ns0:c r="L467" t="n">
        <ns0:v>0</ns0:v>
      </ns0:c>
      <ns0:c r="M467" t="n">
        <ns0:v>195808</ns0:v>
      </ns0:c>
      <ns0:c r="N467" t="n">
        <ns0:v>2671</ns0:v>
      </ns0:c>
      <ns0:c r="O467" t="n">
        <ns0:v>198479</ns0:v>
      </ns0:c>
      <ns0:c r="P467" t="n">
        <ns0:v>20</ns0:v>
      </ns0:c>
      <ns0:c r="Q467">
        <ns0:f>IF(AND(L467=1,O467*Calculations!$B$2&lt;=Calculations!$B$10*Calculations!$B$4),1,0)</ns0:f>
        <ns0:v>0</ns0:v>
      </ns0:c>
      <ns0:c r="R467">
        <ns0:f>IF(AND(L467=1,O467*Calculations!$B$2&lt;=Calculations!$B$11*Calculations!$B$4),1,0)</ns0:f>
        <ns0:v>0</ns0:v>
      </ns0:c>
    </ns0:row>
    <ns0:row r="468">
      <ns0:c r="A468" t="inlineStr">
        <ns0:is>
          <ns0:t>case_0467</ns0:t>
        </ns0:is>
      </ns0:c>
      <ns0:c r="B468" t="inlineStr">
        <ns0:is>
          <ns0:t>function_0079</ns0:t>
        </ns0:is>
      </ns0:c>
      <ns0:c r="C468" t="inlineStr">
        <ns0:is>
          <ns0:t>run_005</ns0:t>
        </ns0:is>
      </ns0:c>
      <ns0:c r="D468" t="inlineStr">
        <ns0:is>
          <ns0:t>humantime</ns0:t>
        </ns0:is>
      </ns0:c>
      <ns0:c r="E468" t="inlineStr">
        <ns0:is>
          <ns0:t>gpt-3.5-turbo</ns0:t>
        </ns0:is>
      </ns0:c>
      <ns0:c r="F468" t="inlineStr">
        <ns0:is>
          <ns0:t>E0432</ns0:t>
        </ns0:is>
      </ns0:c>
      <ns0:c r="G468" t="n">
        <ns0:v>1</ns0:v>
      </ns0:c>
      <ns0:c r="H468" t="n">
        <ns0:v>0</ns0:v>
      </ns0:c>
      <ns0:c r="I468" t="n">
        <ns0:v>0</ns0:v>
      </ns0:c>
      <ns0:c r="J468" t="n">
        <ns0:v>0</ns0:v>
      </ns0:c>
      <ns0:c r="K468" t="n">
        <ns0:v>0</ns0:v>
      </ns0:c>
      <ns0:c r="L468" t="n">
        <ns0:v>1</ns0:v>
      </ns0:c>
      <ns0:c r="M468" t="n">
        <ns0:v>64299</ns0:v>
      </ns0:c>
      <ns0:c r="N468" t="n">
        <ns0:v>978</ns0:v>
      </ns0:c>
      <ns0:c r="O468" t="n">
        <ns0:v>65277</ns0:v>
      </ns0:c>
      <ns0:c r="P468" t="n">
        <ns0:v>7</ns0:v>
      </ns0:c>
      <ns0:c r="Q468">
        <ns0:f>IF(AND(L468=1,O468*Calculations!$B$2&lt;=Calculations!$B$10*Calculations!$B$4),1,0)</ns0:f>
        <ns0:v>0</ns0:v>
      </ns0:c>
      <ns0:c r="R468">
        <ns0:f>IF(AND(L468=1,O468*Calculations!$B$2&lt;=Calculations!$B$11*Calculations!$B$4),1,0)</ns0:f>
        <ns0:v>0</ns0:v>
      </ns0:c>
    </ns0:row>
    <ns0:row r="469">
      <ns0:c r="A469" t="inlineStr">
        <ns0:is>
          <ns0:t>case_0468</ns0:t>
        </ns0:is>
      </ns0:c>
      <ns0:c r="B469" t="inlineStr">
        <ns0:is>
          <ns0:t>function_0079</ns0:t>
        </ns0:is>
      </ns0:c>
      <ns0:c r="C469" t="inlineStr">
        <ns0:is>
          <ns0:t>run_005</ns0:t>
        </ns0:is>
      </ns0:c>
      <ns0:c r="D469" t="inlineStr">
        <ns0:is>
          <ns0:t>humantime</ns0:t>
        </ns0:is>
      </ns0:c>
      <ns0:c r="E469" t="inlineStr">
        <ns0:is>
          <ns0:t>gpt-3.5-turbo</ns0:t>
        </ns0:is>
      </ns0:c>
      <ns0:c r="F469" t="inlineStr">
        <ns0:is>
          <ns0:t>E0432</ns0:t>
        </ns0:is>
      </ns0:c>
      <ns0:c r="G469" t="n">
        <ns0:v>1</ns0:v>
      </ns0:c>
      <ns0:c r="H469" t="n">
        <ns0:v>0</ns0:v>
      </ns0:c>
      <ns0:c r="I469" t="n">
        <ns0:v>0</ns0:v>
      </ns0:c>
      <ns0:c r="J469" t="n">
        <ns0:v>0</ns0:v>
      </ns0:c>
      <ns0:c r="K469" t="n">
        <ns0:v>0</ns0:v>
      </ns0:c>
      <ns0:c r="L469" t="n">
        <ns0:v>1</ns0:v>
      </ns0:c>
      <ns0:c r="M469" t="n">
        <ns0:v>26955</ns0:v>
      </ns0:c>
      <ns0:c r="N469" t="n">
        <ns0:v>713</ns0:v>
      </ns0:c>
      <ns0:c r="O469" t="n">
        <ns0:v>27668</ns0:v>
      </ns0:c>
      <ns0:c r="P469" t="n">
        <ns0:v>4</ns0:v>
      </ns0:c>
      <ns0:c r="Q469">
        <ns0:f>IF(AND(L469=1,O469*Calculations!$B$2&lt;=Calculations!$B$10*Calculations!$B$4),1,0)</ns0:f>
        <ns0:v>0</ns0:v>
      </ns0:c>
      <ns0:c r="R469">
        <ns0:f>IF(AND(L469=1,O469*Calculations!$B$2&lt;=Calculations!$B$11*Calculations!$B$4),1,0)</ns0:f>
        <ns0:v>1</ns0:v>
      </ns0:c>
    </ns0:row>
    <ns0:row r="470">
      <ns0:c r="A470" t="inlineStr">
        <ns0:is>
          <ns0:t>case_0469</ns0:t>
        </ns0:is>
      </ns0:c>
      <ns0:c r="B470" t="inlineStr">
        <ns0:is>
          <ns0:t>function_0079</ns0:t>
        </ns0:is>
      </ns0:c>
      <ns0:c r="C470" t="inlineStr">
        <ns0:is>
          <ns0:t>run_005</ns0:t>
        </ns0:is>
      </ns0:c>
      <ns0:c r="D470" t="inlineStr">
        <ns0:is>
          <ns0:t>humantime</ns0:t>
        </ns0:is>
      </ns0:c>
      <ns0:c r="E470" t="inlineStr">
        <ns0:is>
          <ns0:t>gpt-3.5-turbo</ns0:t>
        </ns0:is>
      </ns0:c>
      <ns0:c r="F470" t="inlineStr">
        <ns0:is>
          <ns0:t>E0432</ns0:t>
        </ns0:is>
      </ns0:c>
      <ns0:c r="G470" t="n">
        <ns0:v>1</ns0:v>
      </ns0:c>
      <ns0:c r="H470" t="n">
        <ns0:v>0</ns0:v>
      </ns0:c>
      <ns0:c r="I470" t="n">
        <ns0:v>0</ns0:v>
      </ns0:c>
      <ns0:c r="J470" t="n">
        <ns0:v>0</ns0:v>
      </ns0:c>
      <ns0:c r="K470" t="n">
        <ns0:v>0</ns0:v>
      </ns0:c>
      <ns0:c r="L470" t="n">
        <ns0:v>1</ns0:v>
      </ns0:c>
      <ns0:c r="M470" t="n">
        <ns0:v>268681</ns0:v>
      </ns0:c>
      <ns0:c r="N470" t="n">
        <ns0:v>1572</ns0:v>
      </ns0:c>
      <ns0:c r="O470" t="n">
        <ns0:v>270253</ns0:v>
      </ns0:c>
      <ns0:c r="P470" t="n">
        <ns0:v>20</ns0:v>
      </ns0:c>
      <ns0:c r="Q470">
        <ns0:f>IF(AND(L470=1,O470*Calculations!$B$2&lt;=Calculations!$B$10*Calculations!$B$4),1,0)</ns0:f>
        <ns0:v>0</ns0:v>
      </ns0:c>
      <ns0:c r="R470">
        <ns0:f>IF(AND(L470=1,O470*Calculations!$B$2&lt;=Calculations!$B$11*Calculations!$B$4),1,0)</ns0:f>
        <ns0:v>0</ns0:v>
      </ns0:c>
    </ns0:row>
    <ns0:row r="471">
      <ns0:c r="A471" t="inlineStr">
        <ns0:is>
          <ns0:t>case_0470</ns0:t>
        </ns0:is>
      </ns0:c>
      <ns0:c r="B471" t="inlineStr">
        <ns0:is>
          <ns0:t>function_0079</ns0:t>
        </ns0:is>
      </ns0:c>
      <ns0:c r="C471" t="inlineStr">
        <ns0:is>
          <ns0:t>run_005</ns0:t>
        </ns0:is>
      </ns0:c>
      <ns0:c r="D471" t="inlineStr">
        <ns0:is>
          <ns0:t>humantime</ns0:t>
        </ns0:is>
      </ns0:c>
      <ns0:c r="E471" t="inlineStr">
        <ns0:is>
          <ns0:t>gpt-3.5-turbo</ns0:t>
        </ns0:is>
      </ns0:c>
      <ns0:c r="F471" t="inlineStr">
        <ns0:is>
          <ns0:t>E0433</ns0:t>
        </ns0:is>
      </ns0:c>
      <ns0:c r="G471" t="n">
        <ns0:v>1</ns0:v>
      </ns0:c>
      <ns0:c r="H471" t="n">
        <ns0:v>0</ns0:v>
      </ns0:c>
      <ns0:c r="I471" t="n">
        <ns0:v>0</ns0:v>
      </ns0:c>
      <ns0:c r="J471" t="n">
        <ns0:v>0</ns0:v>
      </ns0:c>
      <ns0:c r="K471" t="n">
        <ns0:v>0</ns0:v>
      </ns0:c>
      <ns0:c r="L471" t="n">
        <ns0:v>1</ns0:v>
      </ns0:c>
      <ns0:c r="M471" t="n">
        <ns0:v>20367</ns0:v>
      </ns0:c>
      <ns0:c r="N471" t="n">
        <ns0:v>318</ns0:v>
      </ns0:c>
      <ns0:c r="O471" t="n">
        <ns0:v>20685</ns0:v>
      </ns0:c>
      <ns0:c r="P471" t="n">
        <ns0:v>3</ns0:v>
      </ns0:c>
      <ns0:c r="Q471">
        <ns0:f>IF(AND(L471=1,O471*Calculations!$B$2&lt;=Calculations!$B$10*Calculations!$B$4),1,0)</ns0:f>
        <ns0:v>1</ns0:v>
      </ns0:c>
      <ns0:c r="R471">
        <ns0:f>IF(AND(L471=1,O471*Calculations!$B$2&lt;=Calculations!$B$11*Calculations!$B$4),1,0)</ns0:f>
        <ns0:v>1</ns0:v>
      </ns0:c>
    </ns0:row>
    <ns0:row r="472">
      <ns0:c r="A472" t="inlineStr">
        <ns0:is>
          <ns0:t>case_0471</ns0:t>
        </ns0:is>
      </ns0:c>
      <ns0:c r="B472" t="inlineStr">
        <ns0:is>
          <ns0:t>function_0079</ns0:t>
        </ns0:is>
      </ns0:c>
      <ns0:c r="C472" t="inlineStr">
        <ns0:is>
          <ns0:t>run_005</ns0:t>
        </ns0:is>
      </ns0:c>
      <ns0:c r="D472" t="inlineStr">
        <ns0:is>
          <ns0:t>humantime</ns0:t>
        </ns0:is>
      </ns0:c>
      <ns0:c r="E472" t="inlineStr">
        <ns0:is>
          <ns0:t>gpt-3.5-turbo</ns0:t>
        </ns0:is>
      </ns0:c>
      <ns0:c r="F472" t="inlineStr">
        <ns0:is>
          <ns0:t>E0432,E0433</ns0:t>
        </ns0:is>
      </ns0:c>
      <ns0:c r="G472" t="n">
        <ns0:v>1</ns0:v>
      </ns0:c>
      <ns0:c r="H472" t="n">
        <ns0:v>0</ns0:v>
      </ns0:c>
      <ns0:c r="I472" t="n">
        <ns0:v>0</ns0:v>
      </ns0:c>
      <ns0:c r="J472" t="n">
        <ns0:v>0</ns0:v>
      </ns0:c>
      <ns0:c r="K472" t="n">
        <ns0:v>0</ns0:v>
      </ns0:c>
      <ns0:c r="L472" t="n">
        <ns0:v>1</ns0:v>
      </ns0:c>
      <ns0:c r="M472" t="n">
        <ns0:v>20844</ns0:v>
      </ns0:c>
      <ns0:c r="N472" t="n">
        <ns0:v>1294</ns0:v>
      </ns0:c>
      <ns0:c r="O472" t="n">
        <ns0:v>22138</ns0:v>
      </ns0:c>
      <ns0:c r="P472" t="n">
        <ns0:v>3</ns0:v>
      </ns0:c>
      <ns0:c r="Q472">
        <ns0:f>IF(AND(L472=1,O472*Calculations!$B$2&lt;=Calculations!$B$10*Calculations!$B$4),1,0)</ns0:f>
        <ns0:v>1</ns0:v>
      </ns0:c>
      <ns0:c r="R472">
        <ns0:f>IF(AND(L472=1,O472*Calculations!$B$2&lt;=Calculations!$B$11*Calculations!$B$4),1,0)</ns0:f>
        <ns0:v>1</ns0:v>
      </ns0:c>
    </ns0:row>
    <ns0:row r="473">
      <ns0:c r="A473" t="inlineStr">
        <ns0:is>
          <ns0:t>case_0472</ns0:t>
        </ns0:is>
      </ns0:c>
      <ns0:c r="B473" t="inlineStr">
        <ns0:is>
          <ns0:t>function_0079</ns0:t>
        </ns0:is>
      </ns0:c>
      <ns0:c r="C473" t="inlineStr">
        <ns0:is>
          <ns0:t>run_005</ns0:t>
        </ns0:is>
      </ns0:c>
      <ns0:c r="D473" t="inlineStr">
        <ns0:is>
          <ns0:t>humantime</ns0:t>
        </ns0:is>
      </ns0:c>
      <ns0:c r="E473" t="inlineStr">
        <ns0:is>
          <ns0:t>gpt-3.5-turbo</ns0:t>
        </ns0:is>
      </ns0:c>
      <ns0:c r="F473" t="inlineStr">
        <ns0:is>
          <ns0:t>E0432,E0433</ns0:t>
        </ns0:is>
      </ns0:c>
      <ns0:c r="G473" t="n">
        <ns0:v>1</ns0:v>
      </ns0:c>
      <ns0:c r="H473" t="n">
        <ns0:v>0</ns0:v>
      </ns0:c>
      <ns0:c r="I473" t="n">
        <ns0:v>0</ns0:v>
      </ns0:c>
      <ns0:c r="J473" t="n">
        <ns0:v>0</ns0:v>
      </ns0:c>
      <ns0:c r="K473" t="n">
        <ns0:v>0</ns0:v>
      </ns0:c>
      <ns0:c r="L473" t="n">
        <ns0:v>1</ns0:v>
      </ns0:c>
      <ns0:c r="M473" t="n">
        <ns0:v>27709</ns0:v>
      </ns0:c>
      <ns0:c r="N473" t="n">
        <ns0:v>749</ns0:v>
      </ns0:c>
      <ns0:c r="O473" t="n">
        <ns0:v>28458</ns0:v>
      </ns0:c>
      <ns0:c r="P473" t="n">
        <ns0:v>4</ns0:v>
      </ns0:c>
      <ns0:c r="Q473">
        <ns0:f>IF(AND(L473=1,O473*Calculations!$B$2&lt;=Calculations!$B$10*Calculations!$B$4),1,0)</ns0:f>
        <ns0:v>0</ns0:v>
      </ns0:c>
      <ns0:c r="R473">
        <ns0:f>IF(AND(L473=1,O473*Calculations!$B$2&lt;=Calculations!$B$11*Calculations!$B$4),1,0)</ns0:f>
        <ns0:v>1</ns0:v>
      </ns0:c>
    </ns0:row>
    <ns0:row r="474">
      <ns0:c r="A474" t="inlineStr">
        <ns0:is>
          <ns0:t>case_0473</ns0:t>
        </ns0:is>
      </ns0:c>
      <ns0:c r="B474" t="inlineStr">
        <ns0:is>
          <ns0:t>function_0080</ns0:t>
        </ns0:is>
      </ns0:c>
      <ns0:c r="C474" t="inlineStr">
        <ns0:is>
          <ns0:t>run_006</ns0:t>
        </ns0:is>
      </ns0:c>
      <ns0:c r="D474" t="inlineStr">
        <ns0:is>
          <ns0:t>humantime</ns0:t>
        </ns0:is>
      </ns0:c>
      <ns0:c r="E474" t="inlineStr">
        <ns0:is>
          <ns0:t>gpt-4.1-mini</ns0:t>
        </ns0:is>
      </ns0:c>
      <ns0:c r="F474" t="inlineStr">
        <ns0:is>
          <ns0:t>E0433</ns0:t>
        </ns0:is>
      </ns0:c>
      <ns0:c r="G474" t="n">
        <ns0:v>1</ns0:v>
      </ns0:c>
      <ns0:c r="H474" t="n">
        <ns0:v>0</ns0:v>
      </ns0:c>
      <ns0:c r="I474" t="n">
        <ns0:v>0</ns0:v>
      </ns0:c>
      <ns0:c r="J474" t="n">
        <ns0:v>0</ns0:v>
      </ns0:c>
      <ns0:c r="K474" t="n">
        <ns0:v>0</ns0:v>
      </ns0:c>
      <ns0:c r="L474" t="n">
        <ns0:v>1</ns0:v>
      </ns0:c>
      <ns0:c r="M474" t="n">
        <ns0:v>36021</ns0:v>
      </ns0:c>
      <ns0:c r="N474" t="n">
        <ns0:v>591</ns0:v>
      </ns0:c>
      <ns0:c r="O474" t="n">
        <ns0:v>36612</ns0:v>
      </ns0:c>
      <ns0:c r="P474" t="n">
        <ns0:v>5</ns0:v>
      </ns0:c>
      <ns0:c r="Q474">
        <ns0:f>IF(AND(L474=1,O474*Calculations!$B$2&lt;=Calculations!$B$10*Calculations!$B$4),1,0)</ns0:f>
        <ns0:v>0</ns0:v>
      </ns0:c>
      <ns0:c r="R474">
        <ns0:f>IF(AND(L474=1,O474*Calculations!$B$2&lt;=Calculations!$B$11*Calculations!$B$4),1,0)</ns0:f>
        <ns0:v>1</ns0:v>
      </ns0:c>
    </ns0:row>
    <ns0:row r="475">
      <ns0:c r="A475" t="inlineStr">
        <ns0:is>
          <ns0:t>case_0474</ns0:t>
        </ns0:is>
      </ns0:c>
      <ns0:c r="B475" t="inlineStr">
        <ns0:is>
          <ns0:t>function_0080</ns0:t>
        </ns0:is>
      </ns0:c>
      <ns0:c r="C475" t="inlineStr">
        <ns0:is>
          <ns0:t>run_006</ns0:t>
        </ns0:is>
      </ns0:c>
      <ns0:c r="D475" t="inlineStr">
        <ns0:is>
          <ns0:t>humantime</ns0:t>
        </ns0:is>
      </ns0:c>
      <ns0:c r="E475" t="inlineStr">
        <ns0:is>
          <ns0:t>gpt-4.1-mini</ns0:t>
        </ns0:is>
      </ns0:c>
      <ns0:c r="F475" t="inlineStr">
        <ns0:is>
          <ns0:t>E0433</ns0:t>
        </ns0:is>
      </ns0:c>
      <ns0:c r="G475" t="n">
        <ns0:v>1</ns0:v>
      </ns0:c>
      <ns0:c r="H475" t="n">
        <ns0:v>0</ns0:v>
      </ns0:c>
      <ns0:c r="I475" t="n">
        <ns0:v>0</ns0:v>
      </ns0:c>
      <ns0:c r="J475" t="n">
        <ns0:v>0</ns0:v>
      </ns0:c>
      <ns0:c r="K475" t="n">
        <ns0:v>0</ns0:v>
      </ns0:c>
      <ns0:c r="L475" t="n">
        <ns0:v>1</ns0:v>
      </ns0:c>
      <ns0:c r="M475" t="n">
        <ns0:v>32630</ns0:v>
      </ns0:c>
      <ns0:c r="N475" t="n">
        <ns0:v>555</ns0:v>
      </ns0:c>
      <ns0:c r="O475" t="n">
        <ns0:v>33185</ns0:v>
      </ns0:c>
      <ns0:c r="P475" t="n">
        <ns0:v>4</ns0:v>
      </ns0:c>
      <ns0:c r="Q475">
        <ns0:f>IF(AND(L475=1,O475*Calculations!$B$2&lt;=Calculations!$B$10*Calculations!$B$4),1,0)</ns0:f>
        <ns0:v>0</ns0:v>
      </ns0:c>
      <ns0:c r="R475">
        <ns0:f>IF(AND(L475=1,O475*Calculations!$B$2&lt;=Calculations!$B$11*Calculations!$B$4),1,0)</ns0:f>
        <ns0:v>1</ns0:v>
      </ns0:c>
    </ns0:row>
    <ns0:row r="476">
      <ns0:c r="A476" t="inlineStr">
        <ns0:is>
          <ns0:t>case_0475</ns0:t>
        </ns0:is>
      </ns0:c>
      <ns0:c r="B476" t="inlineStr">
        <ns0:is>
          <ns0:t>function_0080</ns0:t>
        </ns0:is>
      </ns0:c>
      <ns0:c r="C476" t="inlineStr">
        <ns0:is>
          <ns0:t>run_006</ns0:t>
        </ns0:is>
      </ns0:c>
      <ns0:c r="D476" t="inlineStr">
        <ns0:is>
          <ns0:t>humantime</ns0:t>
        </ns0:is>
      </ns0:c>
      <ns0:c r="E476" t="inlineStr">
        <ns0:is>
          <ns0:t>gpt-4.1-mini</ns0:t>
        </ns0:is>
      </ns0:c>
      <ns0:c r="F476" t="inlineStr">
        <ns0:is>
          <ns0:t>E0433</ns0:t>
        </ns0:is>
      </ns0:c>
      <ns0:c r="G476" t="n">
        <ns0:v>1</ns0:v>
      </ns0:c>
      <ns0:c r="H476" t="n">
        <ns0:v>0</ns0:v>
      </ns0:c>
      <ns0:c r="I476" t="n">
        <ns0:v>0</ns0:v>
      </ns0:c>
      <ns0:c r="J476" t="n">
        <ns0:v>0</ns0:v>
      </ns0:c>
      <ns0:c r="K476" t="n">
        <ns0:v>0</ns0:v>
      </ns0:c>
      <ns0:c r="L476" t="n">
        <ns0:v>1</ns0:v>
      </ns0:c>
      <ns0:c r="M476" t="n">
        <ns0:v>37946</ns0:v>
      </ns0:c>
      <ns0:c r="N476" t="n">
        <ns0:v>539</ns0:v>
      </ns0:c>
      <ns0:c r="O476" t="n">
        <ns0:v>38485</ns0:v>
      </ns0:c>
      <ns0:c r="P476" t="n">
        <ns0:v>5</ns0:v>
      </ns0:c>
      <ns0:c r="Q476">
        <ns0:f>IF(AND(L476=1,O476*Calculations!$B$2&lt;=Calculations!$B$10*Calculations!$B$4),1,0)</ns0:f>
        <ns0:v>0</ns0:v>
      </ns0:c>
      <ns0:c r="R476">
        <ns0:f>IF(AND(L476=1,O476*Calculations!$B$2&lt;=Calculations!$B$11*Calculations!$B$4),1,0)</ns0:f>
        <ns0:v>1</ns0:v>
      </ns0:c>
    </ns0:row>
    <ns0:row r="477">
      <ns0:c r="A477" t="inlineStr">
        <ns0:is>
          <ns0:t>case_0476</ns0:t>
        </ns0:is>
      </ns0:c>
      <ns0:c r="B477" t="inlineStr">
        <ns0:is>
          <ns0:t>function_0080</ns0:t>
        </ns0:is>
      </ns0:c>
      <ns0:c r="C477" t="inlineStr">
        <ns0:is>
          <ns0:t>run_006</ns0:t>
        </ns0:is>
      </ns0:c>
      <ns0:c r="D477" t="inlineStr">
        <ns0:is>
          <ns0:t>humantime</ns0:t>
        </ns0:is>
      </ns0:c>
      <ns0:c r="E477" t="inlineStr">
        <ns0:is>
          <ns0:t>gpt-4.1-mini</ns0:t>
        </ns0:is>
      </ns0:c>
      <ns0:c r="F477" t="inlineStr">
        <ns0:is>
          <ns0:t>E0433</ns0:t>
        </ns0:is>
      </ns0:c>
      <ns0:c r="G477" t="n">
        <ns0:v>1</ns0:v>
      </ns0:c>
      <ns0:c r="H477" t="n">
        <ns0:v>0</ns0:v>
      </ns0:c>
      <ns0:c r="I477" t="n">
        <ns0:v>0</ns0:v>
      </ns0:c>
      <ns0:c r="J477" t="n">
        <ns0:v>0</ns0:v>
      </ns0:c>
      <ns0:c r="K477" t="n">
        <ns0:v>0</ns0:v>
      </ns0:c>
      <ns0:c r="L477" t="n">
        <ns0:v>1</ns0:v>
      </ns0:c>
      <ns0:c r="M477" t="n">
        <ns0:v>27519</ns0:v>
      </ns0:c>
      <ns0:c r="N477" t="n">
        <ns0:v>274</ns0:v>
      </ns0:c>
      <ns0:c r="O477" t="n">
        <ns0:v>27793</ns0:v>
      </ns0:c>
      <ns0:c r="P477" t="n">
        <ns0:v>4</ns0:v>
      </ns0:c>
      <ns0:c r="Q477">
        <ns0:f>IF(AND(L477=1,O477*Calculations!$B$2&lt;=Calculations!$B$10*Calculations!$B$4),1,0)</ns0:f>
        <ns0:v>0</ns0:v>
      </ns0:c>
      <ns0:c r="R477">
        <ns0:f>IF(AND(L477=1,O477*Calculations!$B$2&lt;=Calculations!$B$11*Calculations!$B$4),1,0)</ns0:f>
        <ns0:v>1</ns0:v>
      </ns0:c>
    </ns0:row>
    <ns0:row r="478">
      <ns0:c r="A478" t="inlineStr">
        <ns0:is>
          <ns0:t>case_0477</ns0:t>
        </ns0:is>
      </ns0:c>
      <ns0:c r="B478" t="inlineStr">
        <ns0:is>
          <ns0:t>function_0081</ns0:t>
        </ns0:is>
      </ns0:c>
      <ns0:c r="C478" t="inlineStr">
        <ns0:is>
          <ns0:t>run_006</ns0:t>
        </ns0:is>
      </ns0:c>
      <ns0:c r="D478" t="inlineStr">
        <ns0:is>
          <ns0:t>humantime</ns0:t>
        </ns0:is>
      </ns0:c>
      <ns0:c r="E478" t="inlineStr">
        <ns0:is>
          <ns0:t>gpt-4.1-mini</ns0:t>
        </ns0:is>
      </ns0:c>
      <ns0:c r="F478" t="inlineStr">
        <ns0:is>
          <ns0:t>E0433</ns0:t>
        </ns0:is>
      </ns0:c>
      <ns0:c r="G478" t="n">
        <ns0:v>1</ns0:v>
      </ns0:c>
      <ns0:c r="H478" t="n">
        <ns0:v>0</ns0:v>
      </ns0:c>
      <ns0:c r="I478" t="n">
        <ns0:v>0</ns0:v>
      </ns0:c>
      <ns0:c r="J478" t="n">
        <ns0:v>0</ns0:v>
      </ns0:c>
      <ns0:c r="K478" t="n">
        <ns0:v>0</ns0:v>
      </ns0:c>
      <ns0:c r="L478" t="n">
        <ns0:v>1</ns0:v>
      </ns0:c>
      <ns0:c r="M478" t="n">
        <ns0:v>80533</ns0:v>
      </ns0:c>
      <ns0:c r="N478" t="n">
        <ns0:v>991</ns0:v>
      </ns0:c>
      <ns0:c r="O478" t="n">
        <ns0:v>81524</ns0:v>
      </ns0:c>
      <ns0:c r="P478" t="n">
        <ns0:v>11</ns0:v>
      </ns0:c>
      <ns0:c r="Q478">
        <ns0:f>IF(AND(L478=1,O478*Calculations!$B$2&lt;=Calculations!$B$10*Calculations!$B$4),1,0)</ns0:f>
        <ns0:v>0</ns0:v>
      </ns0:c>
      <ns0:c r="R478">
        <ns0:f>IF(AND(L478=1,O478*Calculations!$B$2&lt;=Calculations!$B$11*Calculations!$B$4),1,0)</ns0:f>
        <ns0:v>0</ns0:v>
      </ns0:c>
    </ns0:row>
    <ns0:row r="479">
      <ns0:c r="A479" t="inlineStr">
        <ns0:is>
          <ns0:t>case_0478</ns0:t>
        </ns0:is>
      </ns0:c>
      <ns0:c r="B479" t="inlineStr">
        <ns0:is>
          <ns0:t>function_0081</ns0:t>
        </ns0:is>
      </ns0:c>
      <ns0:c r="C479" t="inlineStr">
        <ns0:is>
          <ns0:t>run_006</ns0:t>
        </ns0:is>
      </ns0:c>
      <ns0:c r="D479" t="inlineStr">
        <ns0:is>
          <ns0:t>humantime</ns0:t>
        </ns0:is>
      </ns0:c>
      <ns0:c r="E479" t="inlineStr">
        <ns0:is>
          <ns0:t>gpt-4.1-mini</ns0:t>
        </ns0:is>
      </ns0:c>
      <ns0:c r="F479" t="inlineStr">
        <ns0:is>
          <ns0:t>E0433</ns0:t>
        </ns0:is>
      </ns0:c>
      <ns0:c r="G479" t="n">
        <ns0:v>1</ns0:v>
      </ns0:c>
      <ns0:c r="H479" t="n">
        <ns0:v>0</ns0:v>
      </ns0:c>
      <ns0:c r="I479" t="n">
        <ns0:v>0</ns0:v>
      </ns0:c>
      <ns0:c r="J479" t="n">
        <ns0:v>0</ns0:v>
      </ns0:c>
      <ns0:c r="K479" t="n">
        <ns0:v>0</ns0:v>
      </ns0:c>
      <ns0:c r="L479" t="n">
        <ns0:v>1</ns0:v>
      </ns0:c>
      <ns0:c r="M479" t="n">
        <ns0:v>39973</ns0:v>
      </ns0:c>
      <ns0:c r="N479" t="n">
        <ns0:v>3508</ns0:v>
      </ns0:c>
      <ns0:c r="O479" t="n">
        <ns0:v>43481</ns0:v>
      </ns0:c>
      <ns0:c r="P479" t="n">
        <ns0:v>5</ns0:v>
      </ns0:c>
      <ns0:c r="Q479">
        <ns0:f>IF(AND(L479=1,O479*Calculations!$B$2&lt;=Calculations!$B$10*Calculations!$B$4),1,0)</ns0:f>
        <ns0:v>0</ns0:v>
      </ns0:c>
      <ns0:c r="R479">
        <ns0:f>IF(AND(L479=1,O479*Calculations!$B$2&lt;=Calculations!$B$11*Calculations!$B$4),1,0)</ns0:f>
        <ns0:v>1</ns0:v>
      </ns0:c>
    </ns0:row>
    <ns0:row r="480">
      <ns0:c r="A480" t="inlineStr">
        <ns0:is>
          <ns0:t>case_0479</ns0:t>
        </ns0:is>
      </ns0:c>
      <ns0:c r="B480" t="inlineStr">
        <ns0:is>
          <ns0:t>function_0081</ns0:t>
        </ns0:is>
      </ns0:c>
      <ns0:c r="C480" t="inlineStr">
        <ns0:is>
          <ns0:t>run_006</ns0:t>
        </ns0:is>
      </ns0:c>
      <ns0:c r="D480" t="inlineStr">
        <ns0:is>
          <ns0:t>humantime</ns0:t>
        </ns0:is>
      </ns0:c>
      <ns0:c r="E480" t="inlineStr">
        <ns0:is>
          <ns0:t>gpt-4.1-mini</ns0:t>
        </ns0:is>
      </ns0:c>
      <ns0:c r="F480" t="inlineStr">
        <ns0:is>
          <ns0:t>E0433</ns0:t>
        </ns0:is>
      </ns0:c>
      <ns0:c r="G480" t="n">
        <ns0:v>1</ns0:v>
      </ns0:c>
      <ns0:c r="H480" t="n">
        <ns0:v>0</ns0:v>
      </ns0:c>
      <ns0:c r="I480" t="n">
        <ns0:v>0</ns0:v>
      </ns0:c>
      <ns0:c r="J480" t="n">
        <ns0:v>0</ns0:v>
      </ns0:c>
      <ns0:c r="K480" t="n">
        <ns0:v>0</ns0:v>
      </ns0:c>
      <ns0:c r="L480" t="n">
        <ns0:v>1</ns0:v>
      </ns0:c>
      <ns0:c r="M480" t="n">
        <ns0:v>35451</ns0:v>
      </ns0:c>
      <ns0:c r="N480" t="n">
        <ns0:v>585</ns0:v>
      </ns0:c>
      <ns0:c r="O480" t="n">
        <ns0:v>36036</ns0:v>
      </ns0:c>
      <ns0:c r="P480" t="n">
        <ns0:v>5</ns0:v>
      </ns0:c>
      <ns0:c r="Q480">
        <ns0:f>IF(AND(L480=1,O480*Calculations!$B$2&lt;=Calculations!$B$10*Calculations!$B$4),1,0)</ns0:f>
        <ns0:v>0</ns0:v>
      </ns0:c>
      <ns0:c r="R480">
        <ns0:f>IF(AND(L480=1,O480*Calculations!$B$2&lt;=Calculations!$B$11*Calculations!$B$4),1,0)</ns0:f>
        <ns0:v>1</ns0:v>
      </ns0:c>
    </ns0:row>
    <ns0:row r="481">
      <ns0:c r="A481" t="inlineStr">
        <ns0:is>
          <ns0:t>case_0480</ns0:t>
        </ns0:is>
      </ns0:c>
      <ns0:c r="B481" t="inlineStr">
        <ns0:is>
          <ns0:t>function_0082</ns0:t>
        </ns0:is>
      </ns0:c>
      <ns0:c r="C481" t="inlineStr">
        <ns0:is>
          <ns0:t>run_006</ns0:t>
        </ns0:is>
      </ns0:c>
      <ns0:c r="D481" t="inlineStr">
        <ns0:is>
          <ns0:t>humantime</ns0:t>
        </ns0:is>
      </ns0:c>
      <ns0:c r="E481" t="inlineStr">
        <ns0:is>
          <ns0:t>gpt-4.1-mini</ns0:t>
        </ns0:is>
      </ns0:c>
      <ns0:c r="F481" t="inlineStr">
        <ns0:is>
          <ns0:t>E0433</ns0:t>
        </ns0:is>
      </ns0:c>
      <ns0:c r="G481" t="n">
        <ns0:v>0</ns0:v>
      </ns0:c>
      <ns0:c r="H481" t="n">
        <ns0:v>6104</ns0:v>
      </ns0:c>
      <ns0:c r="I481" t="n">
        <ns0:v>208</ns0:v>
      </ns0:c>
      <ns0:c r="J481" t="n">
        <ns0:v>6312</ns0:v>
      </ns0:c>
      <ns0:c r="K481" t="n">
        <ns0:v>3</ns0:v>
      </ns0:c>
      <ns0:c r="L481" t="n">
        <ns0:v>1</ns0:v>
      </ns0:c>
      <ns0:c r="M481" t="n">
        <ns0:v>36972</ns0:v>
      </ns0:c>
      <ns0:c r="N481" t="n">
        <ns0:v>718</ns0:v>
      </ns0:c>
      <ns0:c r="O481" t="n">
        <ns0:v>37690</ns0:v>
      </ns0:c>
      <ns0:c r="P481" t="n">
        <ns0:v>5</ns0:v>
      </ns0:c>
      <ns0:c r="Q481">
        <ns0:f>IF(AND(L481=1,O481*Calculations!$B$2&lt;=Calculations!$B$10*Calculations!$B$4),1,0)</ns0:f>
        <ns0:v>0</ns0:v>
      </ns0:c>
      <ns0:c r="R481">
        <ns0:f>IF(AND(L481=1,O481*Calculations!$B$2&lt;=Calculations!$B$11*Calculations!$B$4),1,0)</ns0:f>
        <ns0:v>1</ns0:v>
      </ns0:c>
    </ns0:row>
    <ns0:row r="482">
      <ns0:c r="A482" t="inlineStr">
        <ns0:is>
          <ns0:t>case_0481</ns0:t>
        </ns0:is>
      </ns0:c>
      <ns0:c r="B482" t="inlineStr">
        <ns0:is>
          <ns0:t>function_0082</ns0:t>
        </ns0:is>
      </ns0:c>
      <ns0:c r="C482" t="inlineStr">
        <ns0:is>
          <ns0:t>run_006</ns0:t>
        </ns0:is>
      </ns0:c>
      <ns0:c r="D482" t="inlineStr">
        <ns0:is>
          <ns0:t>humantime</ns0:t>
        </ns0:is>
      </ns0:c>
      <ns0:c r="E482" t="inlineStr">
        <ns0:is>
          <ns0:t>gpt-4.1-mini</ns0:t>
        </ns0:is>
      </ns0:c>
      <ns0:c r="F482" t="inlineStr">
        <ns0:is>
          <ns0:t>E0433</ns0:t>
        </ns0:is>
      </ns0:c>
      <ns0:c r="G482" t="n">
        <ns0:v>0</ns0:v>
      </ns0:c>
      <ns0:c r="H482" t="n">
        <ns0:v>6064</ns0:v>
      </ns0:c>
      <ns0:c r="I482" t="n">
        <ns0:v>205</ns0:v>
      </ns0:c>
      <ns0:c r="J482" t="n">
        <ns0:v>6269</ns0:v>
      </ns0:c>
      <ns0:c r="K482" t="n">
        <ns0:v>3</ns0:v>
      </ns0:c>
      <ns0:c r="L482" t="n">
        <ns0:v>1</ns0:v>
      </ns0:c>
      <ns0:c r="M482" t="n">
        <ns0:v>51147</ns0:v>
      </ns0:c>
      <ns0:c r="N482" t="n">
        <ns0:v>765</ns0:v>
      </ns0:c>
      <ns0:c r="O482" t="n">
        <ns0:v>51912</ns0:v>
      </ns0:c>
      <ns0:c r="P482" t="n">
        <ns0:v>7</ns0:v>
      </ns0:c>
      <ns0:c r="Q482">
        <ns0:f>IF(AND(L482=1,O482*Calculations!$B$2&lt;=Calculations!$B$10*Calculations!$B$4),1,0)</ns0:f>
        <ns0:v>0</ns0:v>
      </ns0:c>
      <ns0:c r="R482">
        <ns0:f>IF(AND(L482=1,O482*Calculations!$B$2&lt;=Calculations!$B$11*Calculations!$B$4),1,0)</ns0:f>
        <ns0:v>0</ns0:v>
      </ns0:c>
    </ns0:row>
    <ns0:row r="483">
      <ns0:c r="A483" t="inlineStr">
        <ns0:is>
          <ns0:t>case_0482</ns0:t>
        </ns0:is>
      </ns0:c>
      <ns0:c r="B483" t="inlineStr">
        <ns0:is>
          <ns0:t>function_0082</ns0:t>
        </ns0:is>
      </ns0:c>
      <ns0:c r="C483" t="inlineStr">
        <ns0:is>
          <ns0:t>run_006</ns0:t>
        </ns0:is>
      </ns0:c>
      <ns0:c r="D483" t="inlineStr">
        <ns0:is>
          <ns0:t>humantime</ns0:t>
        </ns0:is>
      </ns0:c>
      <ns0:c r="E483" t="inlineStr">
        <ns0:is>
          <ns0:t>gpt-4.1-mini</ns0:t>
        </ns0:is>
      </ns0:c>
      <ns0:c r="F483" t="inlineStr">
        <ns0:is>
          <ns0:t>E0433</ns0:t>
        </ns0:is>
      </ns0:c>
      <ns0:c r="G483" t="n">
        <ns0:v>1</ns0:v>
      </ns0:c>
      <ns0:c r="H483" t="n">
        <ns0:v>0</ns0:v>
      </ns0:c>
      <ns0:c r="I483" t="n">
        <ns0:v>0</ns0:v>
      </ns0:c>
      <ns0:c r="J483" t="n">
        <ns0:v>0</ns0:v>
      </ns0:c>
      <ns0:c r="K483" t="n">
        <ns0:v>0</ns0:v>
      </ns0:c>
      <ns0:c r="L483" t="n">
        <ns0:v>1</ns0:v>
      </ns0:c>
      <ns0:c r="M483" t="n">
        <ns0:v>34525</ns0:v>
      </ns0:c>
      <ns0:c r="N483" t="n">
        <ns0:v>974</ns0:v>
      </ns0:c>
      <ns0:c r="O483" t="n">
        <ns0:v>35499</ns0:v>
      </ns0:c>
      <ns0:c r="P483" t="n">
        <ns0:v>4</ns0:v>
      </ns0:c>
      <ns0:c r="Q483">
        <ns0:f>IF(AND(L483=1,O483*Calculations!$B$2&lt;=Calculations!$B$10*Calculations!$B$4),1,0)</ns0:f>
        <ns0:v>0</ns0:v>
      </ns0:c>
      <ns0:c r="R483">
        <ns0:f>IF(AND(L483=1,O483*Calculations!$B$2&lt;=Calculations!$B$11*Calculations!$B$4),1,0)</ns0:f>
        <ns0:v>1</ns0:v>
      </ns0:c>
    </ns0:row>
    <ns0:row r="484">
      <ns0:c r="A484" t="inlineStr">
        <ns0:is>
          <ns0:t>case_0483</ns0:t>
        </ns0:is>
      </ns0:c>
      <ns0:c r="B484" t="inlineStr">
        <ns0:is>
          <ns0:t>function_0082</ns0:t>
        </ns0:is>
      </ns0:c>
      <ns0:c r="C484" t="inlineStr">
        <ns0:is>
          <ns0:t>run_006</ns0:t>
        </ns0:is>
      </ns0:c>
      <ns0:c r="D484" t="inlineStr">
        <ns0:is>
          <ns0:t>humantime</ns0:t>
        </ns0:is>
      </ns0:c>
      <ns0:c r="E484" t="inlineStr">
        <ns0:is>
          <ns0:t>gpt-4.1-mini</ns0:t>
        </ns0:is>
      </ns0:c>
      <ns0:c r="F484" t="inlineStr">
        <ns0:is>
          <ns0:t>E0433</ns0:t>
        </ns0:is>
      </ns0:c>
      <ns0:c r="G484" t="n">
        <ns0:v>1</ns0:v>
      </ns0:c>
      <ns0:c r="H484" t="n">
        <ns0:v>0</ns0:v>
      </ns0:c>
      <ns0:c r="I484" t="n">
        <ns0:v>0</ns0:v>
      </ns0:c>
      <ns0:c r="J484" t="n">
        <ns0:v>0</ns0:v>
      </ns0:c>
      <ns0:c r="K484" t="n">
        <ns0:v>0</ns0:v>
      </ns0:c>
      <ns0:c r="L484" t="n">
        <ns0:v>1</ns0:v>
      </ns0:c>
      <ns0:c r="M484" t="n">
        <ns0:v>20180</ns0:v>
      </ns0:c>
      <ns0:c r="N484" t="n">
        <ns0:v>493</ns0:v>
      </ns0:c>
      <ns0:c r="O484" t="n">
        <ns0:v>20673</ns0:v>
      </ns0:c>
      <ns0:c r="P484" t="n">
        <ns0:v>3</ns0:v>
      </ns0:c>
      <ns0:c r="Q484">
        <ns0:f>IF(AND(L484=1,O484*Calculations!$B$2&lt;=Calculations!$B$10*Calculations!$B$4),1,0)</ns0:f>
        <ns0:v>1</ns0:v>
      </ns0:c>
      <ns0:c r="R484">
        <ns0:f>IF(AND(L484=1,O484*Calculations!$B$2&lt;=Calculations!$B$11*Calculations!$B$4),1,0)</ns0:f>
        <ns0:v>1</ns0:v>
      </ns0:c>
    </ns0:row>
    <ns0:row r="485">
      <ns0:c r="A485" t="inlineStr">
        <ns0:is>
          <ns0:t>case_0484</ns0:t>
        </ns0:is>
      </ns0:c>
      <ns0:c r="B485" t="inlineStr">
        <ns0:is>
          <ns0:t>function_0082</ns0:t>
        </ns0:is>
      </ns0:c>
      <ns0:c r="C485" t="inlineStr">
        <ns0:is>
          <ns0:t>run_006</ns0:t>
        </ns0:is>
      </ns0:c>
      <ns0:c r="D485" t="inlineStr">
        <ns0:is>
          <ns0:t>humantime</ns0:t>
        </ns0:is>
      </ns0:c>
      <ns0:c r="E485" t="inlineStr">
        <ns0:is>
          <ns0:t>gpt-4.1-mini</ns0:t>
        </ns0:is>
      </ns0:c>
      <ns0:c r="F485" t="inlineStr">
        <ns0:is>
          <ns0:t>E0433</ns0:t>
        </ns0:is>
      </ns0:c>
      <ns0:c r="G485" t="n">
        <ns0:v>1</ns0:v>
      </ns0:c>
      <ns0:c r="H485" t="n">
        <ns0:v>0</ns0:v>
      </ns0:c>
      <ns0:c r="I485" t="n">
        <ns0:v>0</ns0:v>
      </ns0:c>
      <ns0:c r="J485" t="n">
        <ns0:v>0</ns0:v>
      </ns0:c>
      <ns0:c r="K485" t="n">
        <ns0:v>0</ns0:v>
      </ns0:c>
      <ns0:c r="L485" t="n">
        <ns0:v>1</ns0:v>
      </ns0:c>
      <ns0:c r="M485" t="n">
        <ns0:v>20114</ns0:v>
      </ns0:c>
      <ns0:c r="N485" t="n">
        <ns0:v>340</ns0:v>
      </ns0:c>
      <ns0:c r="O485" t="n">
        <ns0:v>20454</ns0:v>
      </ns0:c>
      <ns0:c r="P485" t="n">
        <ns0:v>3</ns0:v>
      </ns0:c>
      <ns0:c r="Q485">
        <ns0:f>IF(AND(L485=1,O485*Calculations!$B$2&lt;=Calculations!$B$10*Calculations!$B$4),1,0)</ns0:f>
        <ns0:v>1</ns0:v>
      </ns0:c>
      <ns0:c r="R485">
        <ns0:f>IF(AND(L485=1,O485*Calculations!$B$2&lt;=Calculations!$B$11*Calculations!$B$4),1,0)</ns0:f>
        <ns0:v>1</ns0:v>
      </ns0:c>
    </ns0:row>
    <ns0:row r="486">
      <ns0:c r="A486" t="inlineStr">
        <ns0:is>
          <ns0:t>case_0485</ns0:t>
        </ns0:is>
      </ns0:c>
      <ns0:c r="B486" t="inlineStr">
        <ns0:is>
          <ns0:t>function_0082</ns0:t>
        </ns0:is>
      </ns0:c>
      <ns0:c r="C486" t="inlineStr">
        <ns0:is>
          <ns0:t>run_006</ns0:t>
        </ns0:is>
      </ns0:c>
      <ns0:c r="D486" t="inlineStr">
        <ns0:is>
          <ns0:t>humantime</ns0:t>
        </ns0:is>
      </ns0:c>
      <ns0:c r="E486" t="inlineStr">
        <ns0:is>
          <ns0:t>gpt-4.1-mini</ns0:t>
        </ns0:is>
      </ns0:c>
      <ns0:c r="F486" t="inlineStr">
        <ns0:is>
          <ns0:t>E0433</ns0:t>
        </ns0:is>
      </ns0:c>
      <ns0:c r="G486" t="n">
        <ns0:v>1</ns0:v>
      </ns0:c>
      <ns0:c r="H486" t="n">
        <ns0:v>0</ns0:v>
      </ns0:c>
      <ns0:c r="I486" t="n">
        <ns0:v>0</ns0:v>
      </ns0:c>
      <ns0:c r="J486" t="n">
        <ns0:v>0</ns0:v>
      </ns0:c>
      <ns0:c r="K486" t="n">
        <ns0:v>0</ns0:v>
      </ns0:c>
      <ns0:c r="L486" t="n">
        <ns0:v>1</ns0:v>
      </ns0:c>
      <ns0:c r="M486" t="n">
        <ns0:v>27828</ns0:v>
      </ns0:c>
      <ns0:c r="N486" t="n">
        <ns0:v>291</ns0:v>
      </ns0:c>
      <ns0:c r="O486" t="n">
        <ns0:v>28119</ns0:v>
      </ns0:c>
      <ns0:c r="P486" t="n">
        <ns0:v>4</ns0:v>
      </ns0:c>
      <ns0:c r="Q486">
        <ns0:f>IF(AND(L486=1,O486*Calculations!$B$2&lt;=Calculations!$B$10*Calculations!$B$4),1,0)</ns0:f>
        <ns0:v>0</ns0:v>
      </ns0:c>
      <ns0:c r="R486">
        <ns0:f>IF(AND(L486=1,O486*Calculations!$B$2&lt;=Calculations!$B$11*Calculations!$B$4),1,0)</ns0:f>
        <ns0:v>1</ns0:v>
      </ns0:c>
    </ns0:row>
    <ns0:row r="487">
      <ns0:c r="A487" t="inlineStr">
        <ns0:is>
          <ns0:t>case_0486</ns0:t>
        </ns0:is>
      </ns0:c>
      <ns0:c r="B487" t="inlineStr">
        <ns0:is>
          <ns0:t>function_0083</ns0:t>
        </ns0:is>
      </ns0:c>
      <ns0:c r="C487" t="inlineStr">
        <ns0:is>
          <ns0:t>run_006</ns0:t>
        </ns0:is>
      </ns0:c>
      <ns0:c r="D487" t="inlineStr">
        <ns0:is>
          <ns0:t>humantime</ns0:t>
        </ns0:is>
      </ns0:c>
      <ns0:c r="E487" t="inlineStr">
        <ns0:is>
          <ns0:t>gpt-4.1-mini</ns0:t>
        </ns0:is>
      </ns0:c>
      <ns0:c r="F487" t="inlineStr">
        <ns0:is>
          <ns0:t>E0433</ns0:t>
        </ns0:is>
      </ns0:c>
      <ns0:c r="G487" t="n">
        <ns0:v>1</ns0:v>
      </ns0:c>
      <ns0:c r="H487" t="n">
        <ns0:v>0</ns0:v>
      </ns0:c>
      <ns0:c r="I487" t="n">
        <ns0:v>0</ns0:v>
      </ns0:c>
      <ns0:c r="J487" t="n">
        <ns0:v>0</ns0:v>
      </ns0:c>
      <ns0:c r="K487" t="n">
        <ns0:v>0</ns0:v>
      </ns0:c>
      <ns0:c r="L487" t="n">
        <ns0:v>1</ns0:v>
      </ns0:c>
      <ns0:c r="M487" t="n">
        <ns0:v>32804</ns0:v>
      </ns0:c>
      <ns0:c r="N487" t="n">
        <ns0:v>364</ns0:v>
      </ns0:c>
      <ns0:c r="O487" t="n">
        <ns0:v>33168</ns0:v>
      </ns0:c>
      <ns0:c r="P487" t="n">
        <ns0:v>4</ns0:v>
      </ns0:c>
      <ns0:c r="Q487">
        <ns0:f>IF(AND(L487=1,O487*Calculations!$B$2&lt;=Calculations!$B$10*Calculations!$B$4),1,0)</ns0:f>
        <ns0:v>0</ns0:v>
      </ns0:c>
      <ns0:c r="R487">
        <ns0:f>IF(AND(L487=1,O487*Calculations!$B$2&lt;=Calculations!$B$11*Calculations!$B$4),1,0)</ns0:f>
        <ns0:v>1</ns0:v>
      </ns0:c>
    </ns0:row>
    <ns0:row r="488">
      <ns0:c r="A488" t="inlineStr">
        <ns0:is>
          <ns0:t>case_0487</ns0:t>
        </ns0:is>
      </ns0:c>
      <ns0:c r="B488" t="inlineStr">
        <ns0:is>
          <ns0:t>function_0083</ns0:t>
        </ns0:is>
      </ns0:c>
      <ns0:c r="C488" t="inlineStr">
        <ns0:is>
          <ns0:t>run_006</ns0:t>
        </ns0:is>
      </ns0:c>
      <ns0:c r="D488" t="inlineStr">
        <ns0:is>
          <ns0:t>humantime</ns0:t>
        </ns0:is>
      </ns0:c>
      <ns0:c r="E488" t="inlineStr">
        <ns0:is>
          <ns0:t>gpt-4.1-mini</ns0:t>
        </ns0:is>
      </ns0:c>
      <ns0:c r="F488" t="inlineStr">
        <ns0:is>
          <ns0:t>E0433</ns0:t>
        </ns0:is>
      </ns0:c>
      <ns0:c r="G488" t="n">
        <ns0:v>1</ns0:v>
      </ns0:c>
      <ns0:c r="H488" t="n">
        <ns0:v>0</ns0:v>
      </ns0:c>
      <ns0:c r="I488" t="n">
        <ns0:v>0</ns0:v>
      </ns0:c>
      <ns0:c r="J488" t="n">
        <ns0:v>0</ns0:v>
      </ns0:c>
      <ns0:c r="K488" t="n">
        <ns0:v>0</ns0:v>
      </ns0:c>
      <ns0:c r="L488" t="n">
        <ns0:v>1</ns0:v>
      </ns0:c>
      <ns0:c r="M488" t="n">
        <ns0:v>21073</ns0:v>
      </ns0:c>
      <ns0:c r="N488" t="n">
        <ns0:v>126</ns0:v>
      </ns0:c>
      <ns0:c r="O488" t="n">
        <ns0:v>21199</ns0:v>
      </ns0:c>
      <ns0:c r="P488" t="n">
        <ns0:v>3</ns0:v>
      </ns0:c>
      <ns0:c r="Q488">
        <ns0:f>IF(AND(L488=1,O488*Calculations!$B$2&lt;=Calculations!$B$10*Calculations!$B$4),1,0)</ns0:f>
        <ns0:v>1</ns0:v>
      </ns0:c>
      <ns0:c r="R488">
        <ns0:f>IF(AND(L488=1,O488*Calculations!$B$2&lt;=Calculations!$B$11*Calculations!$B$4),1,0)</ns0:f>
        <ns0:v>1</ns0:v>
      </ns0:c>
    </ns0:row>
    <ns0:row r="489">
      <ns0:c r="A489" t="inlineStr">
        <ns0:is>
          <ns0:t>case_0488</ns0:t>
        </ns0:is>
      </ns0:c>
      <ns0:c r="B489" t="inlineStr">
        <ns0:is>
          <ns0:t>function_0083</ns0:t>
        </ns0:is>
      </ns0:c>
      <ns0:c r="C489" t="inlineStr">
        <ns0:is>
          <ns0:t>run_006</ns0:t>
        </ns0:is>
      </ns0:c>
      <ns0:c r="D489" t="inlineStr">
        <ns0:is>
          <ns0:t>humantime</ns0:t>
        </ns0:is>
      </ns0:c>
      <ns0:c r="E489" t="inlineStr">
        <ns0:is>
          <ns0:t>gpt-4.1-mini</ns0:t>
        </ns0:is>
      </ns0:c>
      <ns0:c r="F489" t="inlineStr">
        <ns0:is>
          <ns0:t>E0433</ns0:t>
        </ns0:is>
      </ns0:c>
      <ns0:c r="G489" t="n">
        <ns0:v>1</ns0:v>
      </ns0:c>
      <ns0:c r="H489" t="n">
        <ns0:v>0</ns0:v>
      </ns0:c>
      <ns0:c r="I489" t="n">
        <ns0:v>0</ns0:v>
      </ns0:c>
      <ns0:c r="J489" t="n">
        <ns0:v>0</ns0:v>
      </ns0:c>
      <ns0:c r="K489" t="n">
        <ns0:v>0</ns0:v>
      </ns0:c>
      <ns0:c r="L489" t="n">
        <ns0:v>0</ns0:v>
      </ns0:c>
      <ns0:c r="M489" t="n">
        <ns0:v>14291</ns0:v>
      </ns0:c>
      <ns0:c r="N489" t="n">
        <ns0:v>91</ns0:v>
      </ns0:c>
      <ns0:c r="O489" t="n">
        <ns0:v>14382</ns0:v>
      </ns0:c>
      <ns0:c r="P489" t="n">
        <ns0:v>2</ns0:v>
      </ns0:c>
      <ns0:c r="Q489">
        <ns0:f>IF(AND(L489=1,O489*Calculations!$B$2&lt;=Calculations!$B$10*Calculations!$B$4),1,0)</ns0:f>
        <ns0:v>0</ns0:v>
      </ns0:c>
      <ns0:c r="R489">
        <ns0:f>IF(AND(L489=1,O489*Calculations!$B$2&lt;=Calculations!$B$11*Calculations!$B$4),1,0)</ns0:f>
        <ns0:v>0</ns0:v>
      </ns0:c>
    </ns0:row>
    <ns0:row r="490">
      <ns0:c r="A490" t="inlineStr">
        <ns0:is>
          <ns0:t>case_0489</ns0:t>
        </ns0:is>
      </ns0:c>
      <ns0:c r="B490" t="inlineStr">
        <ns0:is>
          <ns0:t>function_0083</ns0:t>
        </ns0:is>
      </ns0:c>
      <ns0:c r="C490" t="inlineStr">
        <ns0:is>
          <ns0:t>run_006</ns0:t>
        </ns0:is>
      </ns0:c>
      <ns0:c r="D490" t="inlineStr">
        <ns0:is>
          <ns0:t>humantime</ns0:t>
        </ns0:is>
      </ns0:c>
      <ns0:c r="E490" t="inlineStr">
        <ns0:is>
          <ns0:t>gpt-4.1-mini</ns0:t>
        </ns0:is>
      </ns0:c>
      <ns0:c r="F490" t="inlineStr">
        <ns0:is>
          <ns0:t>E0433</ns0:t>
        </ns0:is>
      </ns0:c>
      <ns0:c r="G490" t="n">
        <ns0:v>1</ns0:v>
      </ns0:c>
      <ns0:c r="H490" t="n">
        <ns0:v>0</ns0:v>
      </ns0:c>
      <ns0:c r="I490" t="n">
        <ns0:v>0</ns0:v>
      </ns0:c>
      <ns0:c r="J490" t="n">
        <ns0:v>0</ns0:v>
      </ns0:c>
      <ns0:c r="K490" t="n">
        <ns0:v>0</ns0:v>
      </ns0:c>
      <ns0:c r="L490" t="n">
        <ns0:v>1</ns0:v>
      </ns0:c>
      <ns0:c r="M490" t="n">
        <ns0:v>20138</ns0:v>
      </ns0:c>
      <ns0:c r="N490" t="n">
        <ns0:v>171</ns0:v>
      </ns0:c>
      <ns0:c r="O490" t="n">
        <ns0:v>20309</ns0:v>
      </ns0:c>
      <ns0:c r="P490" t="n">
        <ns0:v>3</ns0:v>
      </ns0:c>
      <ns0:c r="Q490">
        <ns0:f>IF(AND(L490=1,O490*Calculations!$B$2&lt;=Calculations!$B$10*Calculations!$B$4),1,0)</ns0:f>
        <ns0:v>1</ns0:v>
      </ns0:c>
      <ns0:c r="R490">
        <ns0:f>IF(AND(L490=1,O490*Calculations!$B$2&lt;=Calculations!$B$11*Calculations!$B$4),1,0)</ns0:f>
        <ns0:v>1</ns0:v>
      </ns0:c>
    </ns0:row>
    <ns0:row r="491">
      <ns0:c r="A491" t="inlineStr">
        <ns0:is>
          <ns0:t>case_0490</ns0:t>
        </ns0:is>
      </ns0:c>
      <ns0:c r="B491" t="inlineStr">
        <ns0:is>
          <ns0:t>function_0084</ns0:t>
        </ns0:is>
      </ns0:c>
      <ns0:c r="C491" t="inlineStr">
        <ns0:is>
          <ns0:t>run_006</ns0:t>
        </ns0:is>
      </ns0:c>
      <ns0:c r="D491" t="inlineStr">
        <ns0:is>
          <ns0:t>humantime</ns0:t>
        </ns0:is>
      </ns0:c>
      <ns0:c r="E491" t="inlineStr">
        <ns0:is>
          <ns0:t>gpt-4.1-mini</ns0:t>
        </ns0:is>
      </ns0:c>
      <ns0:c r="F491" t="inlineStr">
        <ns0:is>
          <ns0:t>E0433</ns0:t>
        </ns0:is>
      </ns0:c>
      <ns0:c r="G491" t="n">
        <ns0:v>1</ns0:v>
      </ns0:c>
      <ns0:c r="H491" t="n">
        <ns0:v>0</ns0:v>
      </ns0:c>
      <ns0:c r="I491" t="n">
        <ns0:v>0</ns0:v>
      </ns0:c>
      <ns0:c r="J491" t="n">
        <ns0:v>0</ns0:v>
      </ns0:c>
      <ns0:c r="K491" t="n">
        <ns0:v>0</ns0:v>
      </ns0:c>
      <ns0:c r="L491" t="n">
        <ns0:v>1</ns0:v>
      </ns0:c>
      <ns0:c r="M491" t="n">
        <ns0:v>72329</ns0:v>
      </ns0:c>
      <ns0:c r="N491" t="n">
        <ns0:v>2489</ns0:v>
      </ns0:c>
      <ns0:c r="O491" t="n">
        <ns0:v>74818</ns0:v>
      </ns0:c>
      <ns0:c r="P491" t="n">
        <ns0:v>9</ns0:v>
      </ns0:c>
      <ns0:c r="Q491">
        <ns0:f>IF(AND(L491=1,O491*Calculations!$B$2&lt;=Calculations!$B$10*Calculations!$B$4),1,0)</ns0:f>
        <ns0:v>0</ns0:v>
      </ns0:c>
      <ns0:c r="R491">
        <ns0:f>IF(AND(L491=1,O491*Calculations!$B$2&lt;=Calculations!$B$11*Calculations!$B$4),1,0)</ns0:f>
        <ns0:v>0</ns0:v>
      </ns0:c>
    </ns0:row>
    <ns0:row r="492">
      <ns0:c r="A492" t="inlineStr">
        <ns0:is>
          <ns0:t>case_0491</ns0:t>
        </ns0:is>
      </ns0:c>
      <ns0:c r="B492" t="inlineStr">
        <ns0:is>
          <ns0:t>function_0084</ns0:t>
        </ns0:is>
      </ns0:c>
      <ns0:c r="C492" t="inlineStr">
        <ns0:is>
          <ns0:t>run_006</ns0:t>
        </ns0:is>
      </ns0:c>
      <ns0:c r="D492" t="inlineStr">
        <ns0:is>
          <ns0:t>humantime</ns0:t>
        </ns0:is>
      </ns0:c>
      <ns0:c r="E492" t="inlineStr">
        <ns0:is>
          <ns0:t>gpt-4.1-mini</ns0:t>
        </ns0:is>
      </ns0:c>
      <ns0:c r="F492" t="inlineStr">
        <ns0:is>
          <ns0:t>E0433</ns0:t>
        </ns0:is>
      </ns0:c>
      <ns0:c r="G492" t="n">
        <ns0:v>1</ns0:v>
      </ns0:c>
      <ns0:c r="H492" t="n">
        <ns0:v>0</ns0:v>
      </ns0:c>
      <ns0:c r="I492" t="n">
        <ns0:v>0</ns0:v>
      </ns0:c>
      <ns0:c r="J492" t="n">
        <ns0:v>0</ns0:v>
      </ns0:c>
      <ns0:c r="K492" t="n">
        <ns0:v>0</ns0:v>
      </ns0:c>
      <ns0:c r="L492" t="n">
        <ns0:v>1</ns0:v>
      </ns0:c>
      <ns0:c r="M492" t="n">
        <ns0:v>27607</ns0:v>
      </ns0:c>
      <ns0:c r="N492" t="n">
        <ns0:v>658</ns0:v>
      </ns0:c>
      <ns0:c r="O492" t="n">
        <ns0:v>28265</ns0:v>
      </ns0:c>
      <ns0:c r="P492" t="n">
        <ns0:v>4</ns0:v>
      </ns0:c>
      <ns0:c r="Q492">
        <ns0:f>IF(AND(L492=1,O492*Calculations!$B$2&lt;=Calculations!$B$10*Calculations!$B$4),1,0)</ns0:f>
        <ns0:v>0</ns0:v>
      </ns0:c>
      <ns0:c r="R492">
        <ns0:f>IF(AND(L492=1,O492*Calculations!$B$2&lt;=Calculations!$B$11*Calculations!$B$4),1,0)</ns0:f>
        <ns0:v>1</ns0:v>
      </ns0:c>
    </ns0:row>
    <ns0:row r="493">
      <ns0:c r="A493" t="inlineStr">
        <ns0:is>
          <ns0:t>case_0492</ns0:t>
        </ns0:is>
      </ns0:c>
      <ns0:c r="B493" t="inlineStr">
        <ns0:is>
          <ns0:t>function_0084</ns0:t>
        </ns0:is>
      </ns0:c>
      <ns0:c r="C493" t="inlineStr">
        <ns0:is>
          <ns0:t>run_006</ns0:t>
        </ns0:is>
      </ns0:c>
      <ns0:c r="D493" t="inlineStr">
        <ns0:is>
          <ns0:t>humantime</ns0:t>
        </ns0:is>
      </ns0:c>
      <ns0:c r="E493" t="inlineStr">
        <ns0:is>
          <ns0:t>gpt-4.1-mini</ns0:t>
        </ns0:is>
      </ns0:c>
      <ns0:c r="F493" t="inlineStr">
        <ns0:is>
          <ns0:t>E0433</ns0:t>
        </ns0:is>
      </ns0:c>
      <ns0:c r="G493" t="n">
        <ns0:v>1</ns0:v>
      </ns0:c>
      <ns0:c r="H493" t="n">
        <ns0:v>0</ns0:v>
      </ns0:c>
      <ns0:c r="I493" t="n">
        <ns0:v>0</ns0:v>
      </ns0:c>
      <ns0:c r="J493" t="n">
        <ns0:v>0</ns0:v>
      </ns0:c>
      <ns0:c r="K493" t="n">
        <ns0:v>0</ns0:v>
      </ns0:c>
      <ns0:c r="L493" t="n">
        <ns0:v>1</ns0:v>
      </ns0:c>
      <ns0:c r="M493" t="n">
        <ns0:v>35605</ns0:v>
      </ns0:c>
      <ns0:c r="N493" t="n">
        <ns0:v>699</ns0:v>
      </ns0:c>
      <ns0:c r="O493" t="n">
        <ns0:v>36304</ns0:v>
      </ns0:c>
      <ns0:c r="P493" t="n">
        <ns0:v>5</ns0:v>
      </ns0:c>
      <ns0:c r="Q493">
        <ns0:f>IF(AND(L493=1,O493*Calculations!$B$2&lt;=Calculations!$B$10*Calculations!$B$4),1,0)</ns0:f>
        <ns0:v>0</ns0:v>
      </ns0:c>
      <ns0:c r="R493">
        <ns0:f>IF(AND(L493=1,O493*Calculations!$B$2&lt;=Calculations!$B$11*Calculations!$B$4),1,0)</ns0:f>
        <ns0:v>1</ns0:v>
      </ns0:c>
    </ns0:row>
    <ns0:row r="494">
      <ns0:c r="A494" t="inlineStr">
        <ns0:is>
          <ns0:t>case_0493</ns0:t>
        </ns0:is>
      </ns0:c>
      <ns0:c r="B494" t="inlineStr">
        <ns0:is>
          <ns0:t>function_0085</ns0:t>
        </ns0:is>
      </ns0:c>
      <ns0:c r="C494" t="inlineStr">
        <ns0:is>
          <ns0:t>run_006</ns0:t>
        </ns0:is>
      </ns0:c>
      <ns0:c r="D494" t="inlineStr">
        <ns0:is>
          <ns0:t>humantime</ns0:t>
        </ns0:is>
      </ns0:c>
      <ns0:c r="E494" t="inlineStr">
        <ns0:is>
          <ns0:t>gpt-4.1-mini</ns0:t>
        </ns0:is>
      </ns0:c>
      <ns0:c r="F494" t="inlineStr">
        <ns0:is>
          <ns0:t>E0433</ns0:t>
        </ns0:is>
      </ns0:c>
      <ns0:c r="G494" t="n">
        <ns0:v>1</ns0:v>
      </ns0:c>
      <ns0:c r="H494" t="n">
        <ns0:v>0</ns0:v>
      </ns0:c>
      <ns0:c r="I494" t="n">
        <ns0:v>0</ns0:v>
      </ns0:c>
      <ns0:c r="J494" t="n">
        <ns0:v>0</ns0:v>
      </ns0:c>
      <ns0:c r="K494" t="n">
        <ns0:v>0</ns0:v>
      </ns0:c>
      <ns0:c r="L494" t="n">
        <ns0:v>1</ns0:v>
      </ns0:c>
      <ns0:c r="M494" t="n">
        <ns0:v>27823</ns0:v>
      </ns0:c>
      <ns0:c r="N494" t="n">
        <ns0:v>888</ns0:v>
      </ns0:c>
      <ns0:c r="O494" t="n">
        <ns0:v>28711</ns0:v>
      </ns0:c>
      <ns0:c r="P494" t="n">
        <ns0:v>4</ns0:v>
      </ns0:c>
      <ns0:c r="Q494">
        <ns0:f>IF(AND(L494=1,O494*Calculations!$B$2&lt;=Calculations!$B$10*Calculations!$B$4),1,0)</ns0:f>
        <ns0:v>0</ns0:v>
      </ns0:c>
      <ns0:c r="R494">
        <ns0:f>IF(AND(L494=1,O494*Calculations!$B$2&lt;=Calculations!$B$11*Calculations!$B$4),1,0)</ns0:f>
        <ns0:v>1</ns0:v>
      </ns0:c>
    </ns0:row>
    <ns0:row r="495">
      <ns0:c r="A495" t="inlineStr">
        <ns0:is>
          <ns0:t>case_0494</ns0:t>
        </ns0:is>
      </ns0:c>
      <ns0:c r="B495" t="inlineStr">
        <ns0:is>
          <ns0:t>function_0085</ns0:t>
        </ns0:is>
      </ns0:c>
      <ns0:c r="C495" t="inlineStr">
        <ns0:is>
          <ns0:t>run_006</ns0:t>
        </ns0:is>
      </ns0:c>
      <ns0:c r="D495" t="inlineStr">
        <ns0:is>
          <ns0:t>humantime</ns0:t>
        </ns0:is>
      </ns0:c>
      <ns0:c r="E495" t="inlineStr">
        <ns0:is>
          <ns0:t>gpt-4.1-mini</ns0:t>
        </ns0:is>
      </ns0:c>
      <ns0:c r="F495" t="inlineStr">
        <ns0:is>
          <ns0:t>E0433</ns0:t>
        </ns0:is>
      </ns0:c>
      <ns0:c r="G495" t="n">
        <ns0:v>1</ns0:v>
      </ns0:c>
      <ns0:c r="H495" t="n">
        <ns0:v>0</ns0:v>
      </ns0:c>
      <ns0:c r="I495" t="n">
        <ns0:v>0</ns0:v>
      </ns0:c>
      <ns0:c r="J495" t="n">
        <ns0:v>0</ns0:v>
      </ns0:c>
      <ns0:c r="K495" t="n">
        <ns0:v>0</ns0:v>
      </ns0:c>
      <ns0:c r="L495" t="n">
        <ns0:v>1</ns0:v>
      </ns0:c>
      <ns0:c r="M495" t="n">
        <ns0:v>33330</ns0:v>
      </ns0:c>
      <ns0:c r="N495" t="n">
        <ns0:v>668</ns0:v>
      </ns0:c>
      <ns0:c r="O495" t="n">
        <ns0:v>33998</ns0:v>
      </ns0:c>
      <ns0:c r="P495" t="n">
        <ns0:v>4</ns0:v>
      </ns0:c>
      <ns0:c r="Q495">
        <ns0:f>IF(AND(L495=1,O495*Calculations!$B$2&lt;=Calculations!$B$10*Calculations!$B$4),1,0)</ns0:f>
        <ns0:v>0</ns0:v>
      </ns0:c>
      <ns0:c r="R495">
        <ns0:f>IF(AND(L495=1,O495*Calculations!$B$2&lt;=Calculations!$B$11*Calculations!$B$4),1,0)</ns0:f>
        <ns0:v>1</ns0:v>
      </ns0:c>
    </ns0:row>
    <ns0:row r="496">
      <ns0:c r="A496" t="inlineStr">
        <ns0:is>
          <ns0:t>case_0495</ns0:t>
        </ns0:is>
      </ns0:c>
      <ns0:c r="B496" t="inlineStr">
        <ns0:is>
          <ns0:t>function_0085</ns0:t>
        </ns0:is>
      </ns0:c>
      <ns0:c r="C496" t="inlineStr">
        <ns0:is>
          <ns0:t>run_006</ns0:t>
        </ns0:is>
      </ns0:c>
      <ns0:c r="D496" t="inlineStr">
        <ns0:is>
          <ns0:t>humantime</ns0:t>
        </ns0:is>
      </ns0:c>
      <ns0:c r="E496" t="inlineStr">
        <ns0:is>
          <ns0:t>gpt-4.1-mini</ns0:t>
        </ns0:is>
      </ns0:c>
      <ns0:c r="F496" t="inlineStr">
        <ns0:is>
          <ns0:t>E0433</ns0:t>
        </ns0:is>
      </ns0:c>
      <ns0:c r="G496" t="n">
        <ns0:v>1</ns0:v>
      </ns0:c>
      <ns0:c r="H496" t="n">
        <ns0:v>0</ns0:v>
      </ns0:c>
      <ns0:c r="I496" t="n">
        <ns0:v>0</ns0:v>
      </ns0:c>
      <ns0:c r="J496" t="n">
        <ns0:v>0</ns0:v>
      </ns0:c>
      <ns0:c r="K496" t="n">
        <ns0:v>0</ns0:v>
      </ns0:c>
      <ns0:c r="L496" t="n">
        <ns0:v>1</ns0:v>
      </ns0:c>
      <ns0:c r="M496" t="n">
        <ns0:v>20483</ns0:v>
      </ns0:c>
      <ns0:c r="N496" t="n">
        <ns0:v>219</ns0:v>
      </ns0:c>
      <ns0:c r="O496" t="n">
        <ns0:v>20702</ns0:v>
      </ns0:c>
      <ns0:c r="P496" t="n">
        <ns0:v>3</ns0:v>
      </ns0:c>
      <ns0:c r="Q496">
        <ns0:f>IF(AND(L496=1,O496*Calculations!$B$2&lt;=Calculations!$B$10*Calculations!$B$4),1,0)</ns0:f>
        <ns0:v>1</ns0:v>
      </ns0:c>
      <ns0:c r="R496">
        <ns0:f>IF(AND(L496=1,O496*Calculations!$B$2&lt;=Calculations!$B$11*Calculations!$B$4),1,0)</ns0:f>
        <ns0:v>1</ns0:v>
      </ns0:c>
    </ns0:row>
    <ns0:row r="497">
      <ns0:c r="A497" t="inlineStr">
        <ns0:is>
          <ns0:t>case_0496</ns0:t>
        </ns0:is>
      </ns0:c>
      <ns0:c r="B497" t="inlineStr">
        <ns0:is>
          <ns0:t>function_0085</ns0:t>
        </ns0:is>
      </ns0:c>
      <ns0:c r="C497" t="inlineStr">
        <ns0:is>
          <ns0:t>run_006</ns0:t>
        </ns0:is>
      </ns0:c>
      <ns0:c r="D497" t="inlineStr">
        <ns0:is>
          <ns0:t>humantime</ns0:t>
        </ns0:is>
      </ns0:c>
      <ns0:c r="E497" t="inlineStr">
        <ns0:is>
          <ns0:t>gpt-4.1-mini</ns0:t>
        </ns0:is>
      </ns0:c>
      <ns0:c r="F497" t="inlineStr">
        <ns0:is>
          <ns0:t>E0614</ns0:t>
        </ns0:is>
      </ns0:c>
      <ns0:c r="G497" t="n">
        <ns0:v>0</ns0:v>
      </ns0:c>
      <ns0:c r="H497" t="n">
        <ns0:v>2182</ns0:v>
      </ns0:c>
      <ns0:c r="I497" t="n">
        <ns0:v>345</ns0:v>
      </ns0:c>
      <ns0:c r="J497" t="n">
        <ns0:v>2527</ns0:v>
      </ns0:c>
      <ns0:c r="K497" t="n">
        <ns0:v>3</ns0:v>
      </ns0:c>
      <ns0:c r="L497" t="n">
        <ns0:v>1</ns0:v>
      </ns0:c>
      <ns0:c r="M497" t="n">
        <ns0:v>34706</ns0:v>
      </ns0:c>
      <ns0:c r="N497" t="n">
        <ns0:v>971</ns0:v>
      </ns0:c>
      <ns0:c r="O497" t="n">
        <ns0:v>35677</ns0:v>
      </ns0:c>
      <ns0:c r="P497" t="n">
        <ns0:v>5</ns0:v>
      </ns0:c>
      <ns0:c r="Q497">
        <ns0:f>IF(AND(L497=1,O497*Calculations!$B$2&lt;=Calculations!$B$10*Calculations!$B$4),1,0)</ns0:f>
        <ns0:v>0</ns0:v>
      </ns0:c>
      <ns0:c r="R497">
        <ns0:f>IF(AND(L497=1,O497*Calculations!$B$2&lt;=Calculations!$B$11*Calculations!$B$4),1,0)</ns0:f>
        <ns0:v>1</ns0:v>
      </ns0:c>
    </ns0:row>
    <ns0:row r="498">
      <ns0:c r="A498" t="inlineStr">
        <ns0:is>
          <ns0:t>case_0497</ns0:t>
        </ns0:is>
      </ns0:c>
      <ns0:c r="B498" t="inlineStr">
        <ns0:is>
          <ns0:t>function_0086</ns0:t>
        </ns0:is>
      </ns0:c>
      <ns0:c r="C498" t="inlineStr">
        <ns0:is>
          <ns0:t>run_006</ns0:t>
        </ns0:is>
      </ns0:c>
      <ns0:c r="D498" t="inlineStr">
        <ns0:is>
          <ns0:t>humantime</ns0:t>
        </ns0:is>
      </ns0:c>
      <ns0:c r="E498" t="inlineStr">
        <ns0:is>
          <ns0:t>gpt-4.1-mini</ns0:t>
        </ns0:is>
      </ns0:c>
      <ns0:c r="F498" t="inlineStr">
        <ns0:is>
          <ns0:t>E0433</ns0:t>
        </ns0:is>
      </ns0:c>
      <ns0:c r="G498" t="n">
        <ns0:v>1</ns0:v>
      </ns0:c>
      <ns0:c r="H498" t="n">
        <ns0:v>0</ns0:v>
      </ns0:c>
      <ns0:c r="I498" t="n">
        <ns0:v>0</ns0:v>
      </ns0:c>
      <ns0:c r="J498" t="n">
        <ns0:v>0</ns0:v>
      </ns0:c>
      <ns0:c r="K498" t="n">
        <ns0:v>0</ns0:v>
      </ns0:c>
      <ns0:c r="L498" t="n">
        <ns0:v>1</ns0:v>
      </ns0:c>
      <ns0:c r="M498" t="n">
        <ns0:v>27467</ns0:v>
      </ns0:c>
      <ns0:c r="N498" t="n">
        <ns0:v>898</ns0:v>
      </ns0:c>
      <ns0:c r="O498" t="n">
        <ns0:v>28365</ns0:v>
      </ns0:c>
      <ns0:c r="P498" t="n">
        <ns0:v>4</ns0:v>
      </ns0:c>
      <ns0:c r="Q498">
        <ns0:f>IF(AND(L498=1,O498*Calculations!$B$2&lt;=Calculations!$B$10*Calculations!$B$4),1,0)</ns0:f>
        <ns0:v>0</ns0:v>
      </ns0:c>
      <ns0:c r="R498">
        <ns0:f>IF(AND(L498=1,O498*Calculations!$B$2&lt;=Calculations!$B$11*Calculations!$B$4),1,0)</ns0:f>
        <ns0:v>1</ns0:v>
      </ns0:c>
    </ns0:row>
    <ns0:row r="499">
      <ns0:c r="A499" t="inlineStr">
        <ns0:is>
          <ns0:t>case_0498</ns0:t>
        </ns0:is>
      </ns0:c>
      <ns0:c r="B499" t="inlineStr">
        <ns0:is>
          <ns0:t>function_0086</ns0:t>
        </ns0:is>
      </ns0:c>
      <ns0:c r="C499" t="inlineStr">
        <ns0:is>
          <ns0:t>run_006</ns0:t>
        </ns0:is>
      </ns0:c>
      <ns0:c r="D499" t="inlineStr">
        <ns0:is>
          <ns0:t>humantime</ns0:t>
        </ns0:is>
      </ns0:c>
      <ns0:c r="E499" t="inlineStr">
        <ns0:is>
          <ns0:t>gpt-4.1-mini</ns0:t>
        </ns0:is>
      </ns0:c>
      <ns0:c r="F499" t="inlineStr">
        <ns0:is>
          <ns0:t>E0433</ns0:t>
        </ns0:is>
      </ns0:c>
      <ns0:c r="G499" t="n">
        <ns0:v>1</ns0:v>
      </ns0:c>
      <ns0:c r="H499" t="n">
        <ns0:v>0</ns0:v>
      </ns0:c>
      <ns0:c r="I499" t="n">
        <ns0:v>0</ns0:v>
      </ns0:c>
      <ns0:c r="J499" t="n">
        <ns0:v>0</ns0:v>
      </ns0:c>
      <ns0:c r="K499" t="n">
        <ns0:v>0</ns0:v>
      </ns0:c>
      <ns0:c r="L499" t="n">
        <ns0:v>1</ns0:v>
      </ns0:c>
      <ns0:c r="M499" t="n">
        <ns0:v>31654</ns0:v>
      </ns0:c>
      <ns0:c r="N499" t="n">
        <ns0:v>614</ns0:v>
      </ns0:c>
      <ns0:c r="O499" t="n">
        <ns0:v>32268</ns0:v>
      </ns0:c>
      <ns0:c r="P499" t="n">
        <ns0:v>4</ns0:v>
      </ns0:c>
      <ns0:c r="Q499">
        <ns0:f>IF(AND(L499=1,O499*Calculations!$B$2&lt;=Calculations!$B$10*Calculations!$B$4),1,0)</ns0:f>
        <ns0:v>0</ns0:v>
      </ns0:c>
      <ns0:c r="R499">
        <ns0:f>IF(AND(L499=1,O499*Calculations!$B$2&lt;=Calculations!$B$11*Calculations!$B$4),1,0)</ns0:f>
        <ns0:v>1</ns0:v>
      </ns0:c>
    </ns0:row>
    <ns0:row r="500">
      <ns0:c r="A500" t="inlineStr">
        <ns0:is>
          <ns0:t>case_0499</ns0:t>
        </ns0:is>
      </ns0:c>
      <ns0:c r="B500" t="inlineStr">
        <ns0:is>
          <ns0:t>function_0086</ns0:t>
        </ns0:is>
      </ns0:c>
      <ns0:c r="C500" t="inlineStr">
        <ns0:is>
          <ns0:t>run_006</ns0:t>
        </ns0:is>
      </ns0:c>
      <ns0:c r="D500" t="inlineStr">
        <ns0:is>
          <ns0:t>humantime</ns0:t>
        </ns0:is>
      </ns0:c>
      <ns0:c r="E500" t="inlineStr">
        <ns0:is>
          <ns0:t>gpt-4.1-mini</ns0:t>
        </ns0:is>
      </ns0:c>
      <ns0:c r="F500" t="inlineStr">
        <ns0:is>
          <ns0:t>E0433</ns0:t>
        </ns0:is>
      </ns0:c>
      <ns0:c r="G500" t="n">
        <ns0:v>1</ns0:v>
      </ns0:c>
      <ns0:c r="H500" t="n">
        <ns0:v>0</ns0:v>
      </ns0:c>
      <ns0:c r="I500" t="n">
        <ns0:v>0</ns0:v>
      </ns0:c>
      <ns0:c r="J500" t="n">
        <ns0:v>0</ns0:v>
      </ns0:c>
      <ns0:c r="K500" t="n">
        <ns0:v>0</ns0:v>
      </ns0:c>
      <ns0:c r="L500" t="n">
        <ns0:v>1</ns0:v>
      </ns0:c>
      <ns0:c r="M500" t="n">
        <ns0:v>20322</ns0:v>
      </ns0:c>
      <ns0:c r="N500" t="n">
        <ns0:v>348</ns0:v>
      </ns0:c>
      <ns0:c r="O500" t="n">
        <ns0:v>20670</ns0:v>
      </ns0:c>
      <ns0:c r="P500" t="n">
        <ns0:v>3</ns0:v>
      </ns0:c>
      <ns0:c r="Q500">
        <ns0:f>IF(AND(L500=1,O500*Calculations!$B$2&lt;=Calculations!$B$10*Calculations!$B$4),1,0)</ns0:f>
        <ns0:v>1</ns0:v>
      </ns0:c>
      <ns0:c r="R500">
        <ns0:f>IF(AND(L500=1,O500*Calculations!$B$2&lt;=Calculations!$B$11*Calculations!$B$4),1,0)</ns0:f>
        <ns0:v>1</ns0:v>
      </ns0:c>
    </ns0:row>
    <ns0:row r="501">
      <ns0:c r="A501" t="inlineStr">
        <ns0:is>
          <ns0:t>case_0500</ns0:t>
        </ns0:is>
      </ns0:c>
      <ns0:c r="B501" t="inlineStr">
        <ns0:is>
          <ns0:t>function_0087</ns0:t>
        </ns0:is>
      </ns0:c>
      <ns0:c r="C501" t="inlineStr">
        <ns0:is>
          <ns0:t>run_006</ns0:t>
        </ns0:is>
      </ns0:c>
      <ns0:c r="D501" t="inlineStr">
        <ns0:is>
          <ns0:t>humantime</ns0:t>
        </ns0:is>
      </ns0:c>
      <ns0:c r="E501" t="inlineStr">
        <ns0:is>
          <ns0:t>gpt-4.1-mini</ns0:t>
        </ns0:is>
      </ns0:c>
      <ns0:c r="F501" t="inlineStr">
        <ns0:is>
          <ns0:t>E0433</ns0:t>
        </ns0:is>
      </ns0:c>
      <ns0:c r="G501" t="n">
        <ns0:v>1</ns0:v>
      </ns0:c>
      <ns0:c r="H501" t="n">
        <ns0:v>0</ns0:v>
      </ns0:c>
      <ns0:c r="I501" t="n">
        <ns0:v>0</ns0:v>
      </ns0:c>
      <ns0:c r="J501" t="n">
        <ns0:v>0</ns0:v>
      </ns0:c>
      <ns0:c r="K501" t="n">
        <ns0:v>0</ns0:v>
      </ns0:c>
      <ns0:c r="L501" t="n">
        <ns0:v>1</ns0:v>
      </ns0:c>
      <ns0:c r="M501" t="n">
        <ns0:v>13569</ns0:v>
      </ns0:c>
      <ns0:c r="N501" t="n">
        <ns0:v>314</ns0:v>
      </ns0:c>
      <ns0:c r="O501" t="n">
        <ns0:v>13883</ns0:v>
      </ns0:c>
      <ns0:c r="P501" t="n">
        <ns0:v>2</ns0:v>
      </ns0:c>
      <ns0:c r="Q501">
        <ns0:f>IF(AND(L501=1,O501*Calculations!$B$2&lt;=Calculations!$B$10*Calculations!$B$4),1,0)</ns0:f>
        <ns0:v>1</ns0:v>
      </ns0:c>
      <ns0:c r="R501">
        <ns0:f>IF(AND(L501=1,O501*Calculations!$B$2&lt;=Calculations!$B$11*Calculations!$B$4),1,0)</ns0:f>
        <ns0:v>1</ns0:v>
      </ns0:c>
    </ns0:row>
    <ns0:row r="502">
      <ns0:c r="A502" t="inlineStr">
        <ns0:is>
          <ns0:t>case_0501</ns0:t>
        </ns0:is>
      </ns0:c>
      <ns0:c r="B502" t="inlineStr">
        <ns0:is>
          <ns0:t>function_0088</ns0:t>
        </ns0:is>
      </ns0:c>
      <ns0:c r="C502" t="inlineStr">
        <ns0:is>
          <ns0:t>run_006</ns0:t>
        </ns0:is>
      </ns0:c>
      <ns0:c r="D502" t="inlineStr">
        <ns0:is>
          <ns0:t>humantime</ns0:t>
        </ns0:is>
      </ns0:c>
      <ns0:c r="E502" t="inlineStr">
        <ns0:is>
          <ns0:t>gpt-4.1-mini</ns0:t>
        </ns0:is>
      </ns0:c>
      <ns0:c r="F502" t="inlineStr">
        <ns0:is>
          <ns0:t>E0433</ns0:t>
        </ns0:is>
      </ns0:c>
      <ns0:c r="G502" t="n">
        <ns0:v>1</ns0:v>
      </ns0:c>
      <ns0:c r="H502" t="n">
        <ns0:v>0</ns0:v>
      </ns0:c>
      <ns0:c r="I502" t="n">
        <ns0:v>0</ns0:v>
      </ns0:c>
      <ns0:c r="J502" t="n">
        <ns0:v>0</ns0:v>
      </ns0:c>
      <ns0:c r="K502" t="n">
        <ns0:v>0</ns0:v>
      </ns0:c>
      <ns0:c r="L502" t="n">
        <ns0:v>1</ns0:v>
      </ns0:c>
      <ns0:c r="M502" t="n">
        <ns0:v>40981</ns0:v>
      </ns0:c>
      <ns0:c r="N502" t="n">
        <ns0:v>597</ns0:v>
      </ns0:c>
      <ns0:c r="O502" t="n">
        <ns0:v>41578</ns0:v>
      </ns0:c>
      <ns0:c r="P502" t="n">
        <ns0:v>5</ns0:v>
      </ns0:c>
      <ns0:c r="Q502">
        <ns0:f>IF(AND(L502=1,O502*Calculations!$B$2&lt;=Calculations!$B$10*Calculations!$B$4),1,0)</ns0:f>
        <ns0:v>0</ns0:v>
      </ns0:c>
      <ns0:c r="R502">
        <ns0:f>IF(AND(L502=1,O502*Calculations!$B$2&lt;=Calculations!$B$11*Calculations!$B$4),1,0)</ns0:f>
        <ns0:v>1</ns0:v>
      </ns0:c>
    </ns0:row>
    <ns0:row r="503">
      <ns0:c r="A503" t="inlineStr">
        <ns0:is>
          <ns0:t>case_0502</ns0:t>
        </ns0:is>
      </ns0:c>
      <ns0:c r="B503" t="inlineStr">
        <ns0:is>
          <ns0:t>function_0088</ns0:t>
        </ns0:is>
      </ns0:c>
      <ns0:c r="C503" t="inlineStr">
        <ns0:is>
          <ns0:t>run_006</ns0:t>
        </ns0:is>
      </ns0:c>
      <ns0:c r="D503" t="inlineStr">
        <ns0:is>
          <ns0:t>humantime</ns0:t>
        </ns0:is>
      </ns0:c>
      <ns0:c r="E503" t="inlineStr">
        <ns0:is>
          <ns0:t>gpt-4.1-mini</ns0:t>
        </ns0:is>
      </ns0:c>
      <ns0:c r="F503" t="inlineStr">
        <ns0:is>
          <ns0:t>E0433</ns0:t>
        </ns0:is>
      </ns0:c>
      <ns0:c r="G503" t="n">
        <ns0:v>1</ns0:v>
      </ns0:c>
      <ns0:c r="H503" t="n">
        <ns0:v>0</ns0:v>
      </ns0:c>
      <ns0:c r="I503" t="n">
        <ns0:v>0</ns0:v>
      </ns0:c>
      <ns0:c r="J503" t="n">
        <ns0:v>0</ns0:v>
      </ns0:c>
      <ns0:c r="K503" t="n">
        <ns0:v>0</ns0:v>
      </ns0:c>
      <ns0:c r="L503" t="n">
        <ns0:v>1</ns0:v>
      </ns0:c>
      <ns0:c r="M503" t="n">
        <ns0:v>35788</ns0:v>
      </ns0:c>
      <ns0:c r="N503" t="n">
        <ns0:v>505</ns0:v>
      </ns0:c>
      <ns0:c r="O503" t="n">
        <ns0:v>36293</ns0:v>
      </ns0:c>
      <ns0:c r="P503" t="n">
        <ns0:v>5</ns0:v>
      </ns0:c>
      <ns0:c r="Q503">
        <ns0:f>IF(AND(L503=1,O503*Calculations!$B$2&lt;=Calculations!$B$10*Calculations!$B$4),1,0)</ns0:f>
        <ns0:v>0</ns0:v>
      </ns0:c>
      <ns0:c r="R503">
        <ns0:f>IF(AND(L503=1,O503*Calculations!$B$2&lt;=Calculations!$B$11*Calculations!$B$4),1,0)</ns0:f>
        <ns0:v>1</ns0:v>
      </ns0:c>
    </ns0:row>
    <ns0:row r="504">
      <ns0:c r="A504" t="inlineStr">
        <ns0:is>
          <ns0:t>case_0503</ns0:t>
        </ns0:is>
      </ns0:c>
      <ns0:c r="B504" t="inlineStr">
        <ns0:is>
          <ns0:t>function_0088</ns0:t>
        </ns0:is>
      </ns0:c>
      <ns0:c r="C504" t="inlineStr">
        <ns0:is>
          <ns0:t>run_006</ns0:t>
        </ns0:is>
      </ns0:c>
      <ns0:c r="D504" t="inlineStr">
        <ns0:is>
          <ns0:t>humantime</ns0:t>
        </ns0:is>
      </ns0:c>
      <ns0:c r="E504" t="inlineStr">
        <ns0:is>
          <ns0:t>gpt-4.1-mini</ns0:t>
        </ns0:is>
      </ns0:c>
      <ns0:c r="F504" t="inlineStr">
        <ns0:is>
          <ns0:t>E0433</ns0:t>
        </ns0:is>
      </ns0:c>
      <ns0:c r="G504" t="n">
        <ns0:v>1</ns0:v>
      </ns0:c>
      <ns0:c r="H504" t="n">
        <ns0:v>0</ns0:v>
      </ns0:c>
      <ns0:c r="I504" t="n">
        <ns0:v>0</ns0:v>
      </ns0:c>
      <ns0:c r="J504" t="n">
        <ns0:v>0</ns0:v>
      </ns0:c>
      <ns0:c r="K504" t="n">
        <ns0:v>0</ns0:v>
      </ns0:c>
      <ns0:c r="L504" t="n">
        <ns0:v>1</ns0:v>
      </ns0:c>
      <ns0:c r="M504" t="n">
        <ns0:v>21437</ns0:v>
      </ns0:c>
      <ns0:c r="N504" t="n">
        <ns0:v>369</ns0:v>
      </ns0:c>
      <ns0:c r="O504" t="n">
        <ns0:v>21806</ns0:v>
      </ns0:c>
      <ns0:c r="P504" t="n">
        <ns0:v>3</ns0:v>
      </ns0:c>
      <ns0:c r="Q504">
        <ns0:f>IF(AND(L504=1,O504*Calculations!$B$2&lt;=Calculations!$B$10*Calculations!$B$4),1,0)</ns0:f>
        <ns0:v>1</ns0:v>
      </ns0:c>
      <ns0:c r="R504">
        <ns0:f>IF(AND(L504=1,O504*Calculations!$B$2&lt;=Calculations!$B$11*Calculations!$B$4),1,0)</ns0:f>
        <ns0:v>1</ns0:v>
      </ns0:c>
    </ns0:row>
    <ns0:row r="505">
      <ns0:c r="A505" t="inlineStr">
        <ns0:is>
          <ns0:t>case_0504</ns0:t>
        </ns0:is>
      </ns0:c>
      <ns0:c r="B505" t="inlineStr">
        <ns0:is>
          <ns0:t>function_0088</ns0:t>
        </ns0:is>
      </ns0:c>
      <ns0:c r="C505" t="inlineStr">
        <ns0:is>
          <ns0:t>run_006</ns0:t>
        </ns0:is>
      </ns0:c>
      <ns0:c r="D505" t="inlineStr">
        <ns0:is>
          <ns0:t>humantime</ns0:t>
        </ns0:is>
      </ns0:c>
      <ns0:c r="E505" t="inlineStr">
        <ns0:is>
          <ns0:t>gpt-4.1-mini</ns0:t>
        </ns0:is>
      </ns0:c>
      <ns0:c r="F505" t="inlineStr">
        <ns0:is>
          <ns0:t>E0433</ns0:t>
        </ns0:is>
      </ns0:c>
      <ns0:c r="G505" t="n">
        <ns0:v>1</ns0:v>
      </ns0:c>
      <ns0:c r="H505" t="n">
        <ns0:v>0</ns0:v>
      </ns0:c>
      <ns0:c r="I505" t="n">
        <ns0:v>0</ns0:v>
      </ns0:c>
      <ns0:c r="J505" t="n">
        <ns0:v>0</ns0:v>
      </ns0:c>
      <ns0:c r="K505" t="n">
        <ns0:v>0</ns0:v>
      </ns0:c>
      <ns0:c r="L505" t="n">
        <ns0:v>1</ns0:v>
      </ns0:c>
      <ns0:c r="M505" t="n">
        <ns0:v>20126</ns0:v>
      </ns0:c>
      <ns0:c r="N505" t="n">
        <ns0:v>249</ns0:v>
      </ns0:c>
      <ns0:c r="O505" t="n">
        <ns0:v>20375</ns0:v>
      </ns0:c>
      <ns0:c r="P505" t="n">
        <ns0:v>3</ns0:v>
      </ns0:c>
      <ns0:c r="Q505">
        <ns0:f>IF(AND(L505=1,O505*Calculations!$B$2&lt;=Calculations!$B$10*Calculations!$B$4),1,0)</ns0:f>
        <ns0:v>1</ns0:v>
      </ns0:c>
      <ns0:c r="R505">
        <ns0:f>IF(AND(L505=1,O505*Calculations!$B$2&lt;=Calculations!$B$11*Calculations!$B$4),1,0)</ns0:f>
        <ns0:v>1</ns0:v>
      </ns0:c>
    </ns0:row>
    <ns0:row r="506">
      <ns0:c r="A506" t="inlineStr">
        <ns0:is>
          <ns0:t>case_0505</ns0:t>
        </ns0:is>
      </ns0:c>
      <ns0:c r="B506" t="inlineStr">
        <ns0:is>
          <ns0:t>function_0089</ns0:t>
        </ns0:is>
      </ns0:c>
      <ns0:c r="C506" t="inlineStr">
        <ns0:is>
          <ns0:t>run_006</ns0:t>
        </ns0:is>
      </ns0:c>
      <ns0:c r="D506" t="inlineStr">
        <ns0:is>
          <ns0:t>humantime</ns0:t>
        </ns0:is>
      </ns0:c>
      <ns0:c r="E506" t="inlineStr">
        <ns0:is>
          <ns0:t>gpt-4.1-mini</ns0:t>
        </ns0:is>
      </ns0:c>
      <ns0:c r="F506" t="inlineStr">
        <ns0:is>
          <ns0:t>E0433</ns0:t>
        </ns0:is>
      </ns0:c>
      <ns0:c r="G506" t="n">
        <ns0:v>1</ns0:v>
      </ns0:c>
      <ns0:c r="H506" t="n">
        <ns0:v>0</ns0:v>
      </ns0:c>
      <ns0:c r="I506" t="n">
        <ns0:v>0</ns0:v>
      </ns0:c>
      <ns0:c r="J506" t="n">
        <ns0:v>0</ns0:v>
      </ns0:c>
      <ns0:c r="K506" t="n">
        <ns0:v>0</ns0:v>
      </ns0:c>
      <ns0:c r="L506" t="n">
        <ns0:v>1</ns0:v>
      </ns0:c>
      <ns0:c r="M506" t="n">
        <ns0:v>27582</ns0:v>
      </ns0:c>
      <ns0:c r="N506" t="n">
        <ns0:v>593</ns0:v>
      </ns0:c>
      <ns0:c r="O506" t="n">
        <ns0:v>28175</ns0:v>
      </ns0:c>
      <ns0:c r="P506" t="n">
        <ns0:v>4</ns0:v>
      </ns0:c>
      <ns0:c r="Q506">
        <ns0:f>IF(AND(L506=1,O506*Calculations!$B$2&lt;=Calculations!$B$10*Calculations!$B$4),1,0)</ns0:f>
        <ns0:v>0</ns0:v>
      </ns0:c>
      <ns0:c r="R506">
        <ns0:f>IF(AND(L506=1,O506*Calculations!$B$2&lt;=Calculations!$B$11*Calculations!$B$4),1,0)</ns0:f>
        <ns0:v>1</ns0:v>
      </ns0:c>
    </ns0:row>
    <ns0:row r="507">
      <ns0:c r="A507" t="inlineStr">
        <ns0:is>
          <ns0:t>case_0506</ns0:t>
        </ns0:is>
      </ns0:c>
      <ns0:c r="B507" t="inlineStr">
        <ns0:is>
          <ns0:t>function_0089</ns0:t>
        </ns0:is>
      </ns0:c>
      <ns0:c r="C507" t="inlineStr">
        <ns0:is>
          <ns0:t>run_006</ns0:t>
        </ns0:is>
      </ns0:c>
      <ns0:c r="D507" t="inlineStr">
        <ns0:is>
          <ns0:t>humantime</ns0:t>
        </ns0:is>
      </ns0:c>
      <ns0:c r="E507" t="inlineStr">
        <ns0:is>
          <ns0:t>gpt-4.1-mini</ns0:t>
        </ns0:is>
      </ns0:c>
      <ns0:c r="F507" t="inlineStr">
        <ns0:is>
          <ns0:t>E0433</ns0:t>
        </ns0:is>
      </ns0:c>
      <ns0:c r="G507" t="n">
        <ns0:v>1</ns0:v>
      </ns0:c>
      <ns0:c r="H507" t="n">
        <ns0:v>0</ns0:v>
      </ns0:c>
      <ns0:c r="I507" t="n">
        <ns0:v>0</ns0:v>
      </ns0:c>
      <ns0:c r="J507" t="n">
        <ns0:v>0</ns0:v>
      </ns0:c>
      <ns0:c r="K507" t="n">
        <ns0:v>0</ns0:v>
      </ns0:c>
      <ns0:c r="L507" t="n">
        <ns0:v>1</ns0:v>
      </ns0:c>
      <ns0:c r="M507" t="n">
        <ns0:v>20696</ns0:v>
      </ns0:c>
      <ns0:c r="N507" t="n">
        <ns0:v>445</ns0:v>
      </ns0:c>
      <ns0:c r="O507" t="n">
        <ns0:v>21141</ns0:v>
      </ns0:c>
      <ns0:c r="P507" t="n">
        <ns0:v>3</ns0:v>
      </ns0:c>
      <ns0:c r="Q507">
        <ns0:f>IF(AND(L507=1,O507*Calculations!$B$2&lt;=Calculations!$B$10*Calculations!$B$4),1,0)</ns0:f>
        <ns0:v>1</ns0:v>
      </ns0:c>
      <ns0:c r="R507">
        <ns0:f>IF(AND(L507=1,O507*Calculations!$B$2&lt;=Calculations!$B$11*Calculations!$B$4),1,0)</ns0:f>
        <ns0:v>1</ns0:v>
      </ns0:c>
    </ns0:row>
    <ns0:row r="508">
      <ns0:c r="A508" t="inlineStr">
        <ns0:is>
          <ns0:t>case_0507</ns0:t>
        </ns0:is>
      </ns0:c>
      <ns0:c r="B508" t="inlineStr">
        <ns0:is>
          <ns0:t>function_0089</ns0:t>
        </ns0:is>
      </ns0:c>
      <ns0:c r="C508" t="inlineStr">
        <ns0:is>
          <ns0:t>run_006</ns0:t>
        </ns0:is>
      </ns0:c>
      <ns0:c r="D508" t="inlineStr">
        <ns0:is>
          <ns0:t>humantime</ns0:t>
        </ns0:is>
      </ns0:c>
      <ns0:c r="E508" t="inlineStr">
        <ns0:is>
          <ns0:t>gpt-4.1-mini</ns0:t>
        </ns0:is>
      </ns0:c>
      <ns0:c r="F508" t="inlineStr">
        <ns0:is>
          <ns0:t>E0433</ns0:t>
        </ns0:is>
      </ns0:c>
      <ns0:c r="G508" t="n">
        <ns0:v>1</ns0:v>
      </ns0:c>
      <ns0:c r="H508" t="n">
        <ns0:v>0</ns0:v>
      </ns0:c>
      <ns0:c r="I508" t="n">
        <ns0:v>0</ns0:v>
      </ns0:c>
      <ns0:c r="J508" t="n">
        <ns0:v>0</ns0:v>
      </ns0:c>
      <ns0:c r="K508" t="n">
        <ns0:v>0</ns0:v>
      </ns0:c>
      <ns0:c r="L508" t="n">
        <ns0:v>1</ns0:v>
      </ns0:c>
      <ns0:c r="M508" t="n">
        <ns0:v>35343</ns0:v>
      </ns0:c>
      <ns0:c r="N508" t="n">
        <ns0:v>741</ns0:v>
      </ns0:c>
      <ns0:c r="O508" t="n">
        <ns0:v>36084</ns0:v>
      </ns0:c>
      <ns0:c r="P508" t="n">
        <ns0:v>5</ns0:v>
      </ns0:c>
      <ns0:c r="Q508">
        <ns0:f>IF(AND(L508=1,O508*Calculations!$B$2&lt;=Calculations!$B$10*Calculations!$B$4),1,0)</ns0:f>
        <ns0:v>0</ns0:v>
      </ns0:c>
      <ns0:c r="R508">
        <ns0:f>IF(AND(L508=1,O508*Calculations!$B$2&lt;=Calculations!$B$11*Calculations!$B$4),1,0)</ns0:f>
        <ns0:v>1</ns0:v>
      </ns0:c>
    </ns0:row>
    <ns0:row r="509">
      <ns0:c r="A509" t="inlineStr">
        <ns0:is>
          <ns0:t>case_0508</ns0:t>
        </ns0:is>
      </ns0:c>
      <ns0:c r="B509" t="inlineStr">
        <ns0:is>
          <ns0:t>function_0090</ns0:t>
        </ns0:is>
      </ns0:c>
      <ns0:c r="C509" t="inlineStr">
        <ns0:is>
          <ns0:t>run_006</ns0:t>
        </ns0:is>
      </ns0:c>
      <ns0:c r="D509" t="inlineStr">
        <ns0:is>
          <ns0:t>humantime</ns0:t>
        </ns0:is>
      </ns0:c>
      <ns0:c r="E509" t="inlineStr">
        <ns0:is>
          <ns0:t>gpt-4.1-mini</ns0:t>
        </ns0:is>
      </ns0:c>
      <ns0:c r="F509" t="inlineStr">
        <ns0:is>
          <ns0:t>E0433</ns0:t>
        </ns0:is>
      </ns0:c>
      <ns0:c r="G509" t="n">
        <ns0:v>1</ns0:v>
      </ns0:c>
      <ns0:c r="H509" t="n">
        <ns0:v>0</ns0:v>
      </ns0:c>
      <ns0:c r="I509" t="n">
        <ns0:v>0</ns0:v>
      </ns0:c>
      <ns0:c r="J509" t="n">
        <ns0:v>0</ns0:v>
      </ns0:c>
      <ns0:c r="K509" t="n">
        <ns0:v>0</ns0:v>
      </ns0:c>
      <ns0:c r="L509" t="n">
        <ns0:v>1</ns0:v>
      </ns0:c>
      <ns0:c r="M509" t="n">
        <ns0:v>64311</ns0:v>
      </ns0:c>
      <ns0:c r="N509" t="n">
        <ns0:v>1456</ns0:v>
      </ns0:c>
      <ns0:c r="O509" t="n">
        <ns0:v>65767</ns0:v>
      </ns0:c>
      <ns0:c r="P509" t="n">
        <ns0:v>4</ns0:v>
      </ns0:c>
      <ns0:c r="Q509">
        <ns0:f>IF(AND(L509=1,O509*Calculations!$B$2&lt;=Calculations!$B$10*Calculations!$B$4),1,0)</ns0:f>
        <ns0:v>0</ns0:v>
      </ns0:c>
      <ns0:c r="R509">
        <ns0:f>IF(AND(L509=1,O509*Calculations!$B$2&lt;=Calculations!$B$11*Calculations!$B$4),1,0)</ns0:f>
        <ns0:v>0</ns0:v>
      </ns0:c>
    </ns0:row>
    <ns0:row r="510">
      <ns0:c r="A510" t="inlineStr">
        <ns0:is>
          <ns0:t>case_0509</ns0:t>
        </ns0:is>
      </ns0:c>
      <ns0:c r="B510" t="inlineStr">
        <ns0:is>
          <ns0:t>function_0091</ns0:t>
        </ns0:is>
      </ns0:c>
      <ns0:c r="C510" t="inlineStr">
        <ns0:is>
          <ns0:t>run_006</ns0:t>
        </ns0:is>
      </ns0:c>
      <ns0:c r="D510" t="inlineStr">
        <ns0:is>
          <ns0:t>humantime</ns0:t>
        </ns0:is>
      </ns0:c>
      <ns0:c r="E510" t="inlineStr">
        <ns0:is>
          <ns0:t>gpt-4.1-mini</ns0:t>
        </ns0:is>
      </ns0:c>
      <ns0:c r="F510" t="inlineStr">
        <ns0:is>
          <ns0:t>E0433</ns0:t>
        </ns0:is>
      </ns0:c>
      <ns0:c r="G510" t="n">
        <ns0:v>1</ns0:v>
      </ns0:c>
      <ns0:c r="H510" t="n">
        <ns0:v>1160</ns0:v>
      </ns0:c>
      <ns0:c r="I510" t="n">
        <ns0:v>261</ns0:v>
      </ns0:c>
      <ns0:c r="J510" t="n">
        <ns0:v>1421</ns0:v>
      </ns0:c>
      <ns0:c r="K510" t="n">
        <ns0:v>1</ns0:v>
      </ns0:c>
      <ns0:c r="L510" t="n">
        <ns0:v>1</ns0:v>
      </ns0:c>
      <ns0:c r="M510" t="n">
        <ns0:v>42384</ns0:v>
      </ns0:c>
      <ns0:c r="N510" t="n">
        <ns0:v>681</ns0:v>
      </ns0:c>
      <ns0:c r="O510" t="n">
        <ns0:v>43065</ns0:v>
      </ns0:c>
      <ns0:c r="P510" t="n">
        <ns0:v>5</ns0:v>
      </ns0:c>
      <ns0:c r="Q510">
        <ns0:f>IF(AND(L510=1,O510*Calculations!$B$2&lt;=Calculations!$B$10*Calculations!$B$4),1,0)</ns0:f>
        <ns0:v>0</ns0:v>
      </ns0:c>
      <ns0:c r="R510">
        <ns0:f>IF(AND(L510=1,O510*Calculations!$B$2&lt;=Calculations!$B$11*Calculations!$B$4),1,0)</ns0:f>
        <ns0:v>1</ns0:v>
      </ns0:c>
    </ns0:row>
    <ns0:row r="511">
      <ns0:c r="A511" t="inlineStr">
        <ns0:is>
          <ns0:t>case_0510</ns0:t>
        </ns0:is>
      </ns0:c>
      <ns0:c r="B511" t="inlineStr">
        <ns0:is>
          <ns0:t>function_0091</ns0:t>
        </ns0:is>
      </ns0:c>
      <ns0:c r="C511" t="inlineStr">
        <ns0:is>
          <ns0:t>run_006</ns0:t>
        </ns0:is>
      </ns0:c>
      <ns0:c r="D511" t="inlineStr">
        <ns0:is>
          <ns0:t>humantime</ns0:t>
        </ns0:is>
      </ns0:c>
      <ns0:c r="E511" t="inlineStr">
        <ns0:is>
          <ns0:t>gpt-4.1-mini</ns0:t>
        </ns0:is>
      </ns0:c>
      <ns0:c r="F511" t="inlineStr">
        <ns0:is>
          <ns0:t>E0433</ns0:t>
        </ns0:is>
      </ns0:c>
      <ns0:c r="G511" t="n">
        <ns0:v>0</ns0:v>
      </ns0:c>
      <ns0:c r="H511" t="n">
        <ns0:v>3323</ns0:v>
      </ns0:c>
      <ns0:c r="I511" t="n">
        <ns0:v>450</ns0:v>
      </ns0:c>
      <ns0:c r="J511" t="n">
        <ns0:v>3773</ns0:v>
      </ns0:c>
      <ns0:c r="K511" t="n">
        <ns0:v>3</ns0:v>
      </ns0:c>
      <ns0:c r="L511" t="n">
        <ns0:v>0</ns0:v>
      </ns0:c>
      <ns0:c r="M511" t="n">
        <ns0:v>132456</ns0:v>
      </ns0:c>
      <ns0:c r="N511" t="n">
        <ns0:v>5120</ns0:v>
      </ns0:c>
      <ns0:c r="O511" t="n">
        <ns0:v>137576</ns0:v>
      </ns0:c>
      <ns0:c r="P511" t="n">
        <ns0:v>15</ns0:v>
      </ns0:c>
      <ns0:c r="Q511">
        <ns0:f>IF(AND(L511=1,O511*Calculations!$B$2&lt;=Calculations!$B$10*Calculations!$B$4),1,0)</ns0:f>
        <ns0:v>0</ns0:v>
      </ns0:c>
      <ns0:c r="R511">
        <ns0:f>IF(AND(L511=1,O511*Calculations!$B$2&lt;=Calculations!$B$11*Calculations!$B$4),1,0)</ns0:f>
        <ns0:v>0</ns0:v>
      </ns0:c>
    </ns0:row>
    <ns0:row r="512">
      <ns0:c r="A512" t="inlineStr">
        <ns0:is>
          <ns0:t>case_0511</ns0:t>
        </ns0:is>
      </ns0:c>
      <ns0:c r="B512" t="inlineStr">
        <ns0:is>
          <ns0:t>function_0091</ns0:t>
        </ns0:is>
      </ns0:c>
      <ns0:c r="C512" t="inlineStr">
        <ns0:is>
          <ns0:t>run_006</ns0:t>
        </ns0:is>
      </ns0:c>
      <ns0:c r="D512" t="inlineStr">
        <ns0:is>
          <ns0:t>humantime</ns0:t>
        </ns0:is>
      </ns0:c>
      <ns0:c r="E512" t="inlineStr">
        <ns0:is>
          <ns0:t>gpt-4.1-mini</ns0:t>
        </ns0:is>
      </ns0:c>
      <ns0:c r="F512" t="inlineStr">
        <ns0:is>
          <ns0:t>E0433</ns0:t>
        </ns0:is>
      </ns0:c>
      <ns0:c r="G512" t="n">
        <ns0:v>1</ns0:v>
      </ns0:c>
      <ns0:c r="H512" t="n">
        <ns0:v>863</ns0:v>
      </ns0:c>
      <ns0:c r="I512" t="n">
        <ns0:v>150</ns0:v>
      </ns0:c>
      <ns0:c r="J512" t="n">
        <ns0:v>1013</ns0:v>
      </ns0:c>
      <ns0:c r="K512" t="n">
        <ns0:v>1</ns0:v>
      </ns0:c>
      <ns0:c r="L512" t="n">
        <ns0:v>0</ns0:v>
      </ns0:c>
      <ns0:c r="M512" t="n">
        <ns0:v>162504</ns0:v>
      </ns0:c>
      <ns0:c r="N512" t="n">
        <ns0:v>1792</ns0:v>
      </ns0:c>
      <ns0:c r="O512" t="n">
        <ns0:v>164296</ns0:v>
      </ns0:c>
      <ns0:c r="P512" t="n">
        <ns0:v>20</ns0:v>
      </ns0:c>
      <ns0:c r="Q512">
        <ns0:f>IF(AND(L512=1,O512*Calculations!$B$2&lt;=Calculations!$B$10*Calculations!$B$4),1,0)</ns0:f>
        <ns0:v>0</ns0:v>
      </ns0:c>
      <ns0:c r="R512">
        <ns0:f>IF(AND(L512=1,O512*Calculations!$B$2&lt;=Calculations!$B$11*Calculations!$B$4),1,0)</ns0:f>
        <ns0:v>0</ns0:v>
      </ns0:c>
    </ns0:row>
    <ns0:row r="513">
      <ns0:c r="A513" t="inlineStr">
        <ns0:is>
          <ns0:t>case_0512</ns0:t>
        </ns0:is>
      </ns0:c>
      <ns0:c r="B513" t="inlineStr">
        <ns0:is>
          <ns0:t>function_0091</ns0:t>
        </ns0:is>
      </ns0:c>
      <ns0:c r="C513" t="inlineStr">
        <ns0:is>
          <ns0:t>run_006</ns0:t>
        </ns0:is>
      </ns0:c>
      <ns0:c r="D513" t="inlineStr">
        <ns0:is>
          <ns0:t>humantime</ns0:t>
        </ns0:is>
      </ns0:c>
      <ns0:c r="E513" t="inlineStr">
        <ns0:is>
          <ns0:t>gpt-4.1-mini</ns0:t>
        </ns0:is>
      </ns0:c>
      <ns0:c r="F513" t="inlineStr">
        <ns0:is>
          <ns0:t>E0433</ns0:t>
        </ns0:is>
      </ns0:c>
      <ns0:c r="G513" t="n">
        <ns0:v>1</ns0:v>
      </ns0:c>
      <ns0:c r="H513" t="n">
        <ns0:v>1099</ns0:v>
      </ns0:c>
      <ns0:c r="I513" t="n">
        <ns0:v>224</ns0:v>
      </ns0:c>
      <ns0:c r="J513" t="n">
        <ns0:v>1323</ns0:v>
      </ns0:c>
      <ns0:c r="K513" t="n">
        <ns0:v>1</ns0:v>
      </ns0:c>
      <ns0:c r="L513" t="n">
        <ns0:v>0</ns0:v>
      </ns0:c>
      <ns0:c r="M513" t="n">
        <ns0:v>440754</ns0:v>
      </ns0:c>
      <ns0:c r="N513" t="n">
        <ns0:v>2501</ns0:v>
      </ns0:c>
      <ns0:c r="O513" t="n">
        <ns0:v>443255</ns0:v>
      </ns0:c>
      <ns0:c r="P513" t="n">
        <ns0:v>20</ns0:v>
      </ns0:c>
      <ns0:c r="Q513">
        <ns0:f>IF(AND(L513=1,O513*Calculations!$B$2&lt;=Calculations!$B$10*Calculations!$B$4),1,0)</ns0:f>
        <ns0:v>0</ns0:v>
      </ns0:c>
      <ns0:c r="R513">
        <ns0:f>IF(AND(L513=1,O513*Calculations!$B$2&lt;=Calculations!$B$11*Calculations!$B$4),1,0)</ns0:f>
        <ns0:v>0</ns0:v>
      </ns0:c>
    </ns0:row>
    <ns0:row r="514">
      <ns0:c r="A514" t="inlineStr">
        <ns0:is>
          <ns0:t>case_0513</ns0:t>
        </ns0:is>
      </ns0:c>
      <ns0:c r="B514" t="inlineStr">
        <ns0:is>
          <ns0:t>function_0091</ns0:t>
        </ns0:is>
      </ns0:c>
      <ns0:c r="C514" t="inlineStr">
        <ns0:is>
          <ns0:t>run_006</ns0:t>
        </ns0:is>
      </ns0:c>
      <ns0:c r="D514" t="inlineStr">
        <ns0:is>
          <ns0:t>humantime</ns0:t>
        </ns0:is>
      </ns0:c>
      <ns0:c r="E514" t="inlineStr">
        <ns0:is>
          <ns0:t>gpt-4.1-mini</ns0:t>
        </ns0:is>
      </ns0:c>
      <ns0:c r="F514" t="inlineStr">
        <ns0:is>
          <ns0:t>E0433</ns0:t>
        </ns0:is>
      </ns0:c>
      <ns0:c r="G514" t="n">
        <ns0:v>1</ns0:v>
      </ns0:c>
      <ns0:c r="H514" t="n">
        <ns0:v>1118</ns0:v>
      </ns0:c>
      <ns0:c r="I514" t="n">
        <ns0:v>219</ns0:v>
      </ns0:c>
      <ns0:c r="J514" t="n">
        <ns0:v>1337</ns0:v>
      </ns0:c>
      <ns0:c r="K514" t="n">
        <ns0:v>1</ns0:v>
      </ns0:c>
      <ns0:c r="L514" t="n">
        <ns0:v>0</ns0:v>
      </ns0:c>
      <ns0:c r="M514" t="n">
        <ns0:v>181422</ns0:v>
      </ns0:c>
      <ns0:c r="N514" t="n">
        <ns0:v>1561</ns0:v>
      </ns0:c>
      <ns0:c r="O514" t="n">
        <ns0:v>182983</ns0:v>
      </ns0:c>
      <ns0:c r="P514" t="n">
        <ns0:v>20</ns0:v>
      </ns0:c>
      <ns0:c r="Q514">
        <ns0:f>IF(AND(L514=1,O514*Calculations!$B$2&lt;=Calculations!$B$10*Calculations!$B$4),1,0)</ns0:f>
        <ns0:v>0</ns0:v>
      </ns0:c>
      <ns0:c r="R514">
        <ns0:f>IF(AND(L514=1,O514*Calculations!$B$2&lt;=Calculations!$B$11*Calculations!$B$4),1,0)</ns0:f>
        <ns0:v>0</ns0:v>
      </ns0:c>
    </ns0:row>
    <ns0:row r="515">
      <ns0:c r="A515" t="inlineStr">
        <ns0:is>
          <ns0:t>case_0514</ns0:t>
        </ns0:is>
      </ns0:c>
      <ns0:c r="B515" t="inlineStr">
        <ns0:is>
          <ns0:t>function_0091</ns0:t>
        </ns0:is>
      </ns0:c>
      <ns0:c r="C515" t="inlineStr">
        <ns0:is>
          <ns0:t>run_006</ns0:t>
        </ns0:is>
      </ns0:c>
      <ns0:c r="D515" t="inlineStr">
        <ns0:is>
          <ns0:t>humantime</ns0:t>
        </ns0:is>
      </ns0:c>
      <ns0:c r="E515" t="inlineStr">
        <ns0:is>
          <ns0:t>gpt-4.1-mini</ns0:t>
        </ns0:is>
      </ns0:c>
      <ns0:c r="F515" t="inlineStr">
        <ns0:is>
          <ns0:t>E0433</ns0:t>
        </ns0:is>
      </ns0:c>
      <ns0:c r="G515" t="n">
        <ns0:v>0</ns0:v>
      </ns0:c>
      <ns0:c r="H515" t="n">
        <ns0:v>4184</ns0:v>
      </ns0:c>
      <ns0:c r="I515" t="n">
        <ns0:v>942</ns0:v>
      </ns0:c>
      <ns0:c r="J515" t="n">
        <ns0:v>5126</ns0:v>
      </ns0:c>
      <ns0:c r="K515" t="n">
        <ns0:v>3</ns0:v>
      </ns0:c>
      <ns0:c r="L515" t="n">
        <ns0:v>0</ns0:v>
      </ns0:c>
      <ns0:c r="M515" t="n">
        <ns0:v>217854</ns0:v>
      </ns0:c>
      <ns0:c r="N515" t="n">
        <ns0:v>4104</ns0:v>
      </ns0:c>
      <ns0:c r="O515" t="n">
        <ns0:v>221958</ns0:v>
      </ns0:c>
      <ns0:c r="P515" t="n">
        <ns0:v>20</ns0:v>
      </ns0:c>
      <ns0:c r="Q515">
        <ns0:f>IF(AND(L515=1,O515*Calculations!$B$2&lt;=Calculations!$B$10*Calculations!$B$4),1,0)</ns0:f>
        <ns0:v>0</ns0:v>
      </ns0:c>
      <ns0:c r="R515">
        <ns0:f>IF(AND(L515=1,O515*Calculations!$B$2&lt;=Calculations!$B$11*Calculations!$B$4),1,0)</ns0:f>
        <ns0:v>0</ns0:v>
      </ns0:c>
    </ns0:row>
    <ns0:row r="516">
      <ns0:c r="A516" t="inlineStr">
        <ns0:is>
          <ns0:t>case_0515</ns0:t>
        </ns0:is>
      </ns0:c>
      <ns0:c r="B516" t="inlineStr">
        <ns0:is>
          <ns0:t>function_0092</ns0:t>
        </ns0:is>
      </ns0:c>
      <ns0:c r="C516" t="inlineStr">
        <ns0:is>
          <ns0:t>run_006</ns0:t>
        </ns0:is>
      </ns0:c>
      <ns0:c r="D516" t="inlineStr">
        <ns0:is>
          <ns0:t>humantime</ns0:t>
        </ns0:is>
      </ns0:c>
      <ns0:c r="E516" t="inlineStr">
        <ns0:is>
          <ns0:t>gpt-4.1-mini</ns0:t>
        </ns0:is>
      </ns0:c>
      <ns0:c r="F516" t="inlineStr">
        <ns0:is>
          <ns0:t>E0432</ns0:t>
        </ns0:is>
      </ns0:c>
      <ns0:c r="G516" t="n">
        <ns0:v>1</ns0:v>
      </ns0:c>
      <ns0:c r="H516" t="n">
        <ns0:v>0</ns0:v>
      </ns0:c>
      <ns0:c r="I516" t="n">
        <ns0:v>0</ns0:v>
      </ns0:c>
      <ns0:c r="J516" t="n">
        <ns0:v>0</ns0:v>
      </ns0:c>
      <ns0:c r="K516" t="n">
        <ns0:v>0</ns0:v>
      </ns0:c>
      <ns0:c r="L516" t="n">
        <ns0:v>1</ns0:v>
      </ns0:c>
      <ns0:c r="M516" t="n">
        <ns0:v>20444</ns0:v>
      </ns0:c>
      <ns0:c r="N516" t="n">
        <ns0:v>188</ns0:v>
      </ns0:c>
      <ns0:c r="O516" t="n">
        <ns0:v>20632</ns0:v>
      </ns0:c>
      <ns0:c r="P516" t="n">
        <ns0:v>3</ns0:v>
      </ns0:c>
      <ns0:c r="Q516">
        <ns0:f>IF(AND(L516=1,O516*Calculations!$B$2&lt;=Calculations!$B$10*Calculations!$B$4),1,0)</ns0:f>
        <ns0:v>1</ns0:v>
      </ns0:c>
      <ns0:c r="R516">
        <ns0:f>IF(AND(L516=1,O516*Calculations!$B$2&lt;=Calculations!$B$11*Calculations!$B$4),1,0)</ns0:f>
        <ns0:v>1</ns0:v>
      </ns0:c>
    </ns0:row>
    <ns0:row r="517">
      <ns0:c r="A517" t="inlineStr">
        <ns0:is>
          <ns0:t>case_0516</ns0:t>
        </ns0:is>
      </ns0:c>
      <ns0:c r="B517" t="inlineStr">
        <ns0:is>
          <ns0:t>function_0093</ns0:t>
        </ns0:is>
      </ns0:c>
      <ns0:c r="C517" t="inlineStr">
        <ns0:is>
          <ns0:t>run_006</ns0:t>
        </ns0:is>
      </ns0:c>
      <ns0:c r="D517" t="inlineStr">
        <ns0:is>
          <ns0:t>humantime</ns0:t>
        </ns0:is>
      </ns0:c>
      <ns0:c r="E517" t="inlineStr">
        <ns0:is>
          <ns0:t>gpt-4.1-mini</ns0:t>
        </ns0:is>
      </ns0:c>
      <ns0:c r="F517" t="inlineStr">
        <ns0:is>
          <ns0:t>E0433</ns0:t>
        </ns0:is>
      </ns0:c>
      <ns0:c r="G517" t="n">
        <ns0:v>1</ns0:v>
      </ns0:c>
      <ns0:c r="H517" t="n">
        <ns0:v>2144</ns0:v>
      </ns0:c>
      <ns0:c r="I517" t="n">
        <ns0:v>99</ns0:v>
      </ns0:c>
      <ns0:c r="J517" t="n">
        <ns0:v>2243</ns0:v>
      </ns0:c>
      <ns0:c r="K517" t="n">
        <ns0:v>1</ns0:v>
      </ns0:c>
      <ns0:c r="L517" t="n">
        <ns0:v>0</ns0:v>
      </ns0:c>
      <ns0:c r="M517" t="n">
        <ns0:v>27591</ns0:v>
      </ns0:c>
      <ns0:c r="N517" t="n">
        <ns0:v>761</ns0:v>
      </ns0:c>
      <ns0:c r="O517" t="n">
        <ns0:v>28352</ns0:v>
      </ns0:c>
      <ns0:c r="P517" t="n">
        <ns0:v>4</ns0:v>
      </ns0:c>
      <ns0:c r="Q517">
        <ns0:f>IF(AND(L517=1,O517*Calculations!$B$2&lt;=Calculations!$B$10*Calculations!$B$4),1,0)</ns0:f>
        <ns0:v>0</ns0:v>
      </ns0:c>
      <ns0:c r="R517">
        <ns0:f>IF(AND(L517=1,O517*Calculations!$B$2&lt;=Calculations!$B$11*Calculations!$B$4),1,0)</ns0:f>
        <ns0:v>0</ns0:v>
      </ns0:c>
    </ns0:row>
    <ns0:row r="518">
      <ns0:c r="A518" t="inlineStr">
        <ns0:is>
          <ns0:t>case_0517</ns0:t>
        </ns0:is>
      </ns0:c>
      <ns0:c r="B518" t="inlineStr">
        <ns0:is>
          <ns0:t>function_0093</ns0:t>
        </ns0:is>
      </ns0:c>
      <ns0:c r="C518" t="inlineStr">
        <ns0:is>
          <ns0:t>run_006</ns0:t>
        </ns0:is>
      </ns0:c>
      <ns0:c r="D518" t="inlineStr">
        <ns0:is>
          <ns0:t>humantime</ns0:t>
        </ns0:is>
      </ns0:c>
      <ns0:c r="E518" t="inlineStr">
        <ns0:is>
          <ns0:t>gpt-4.1-mini</ns0:t>
        </ns0:is>
      </ns0:c>
      <ns0:c r="F518" t="inlineStr">
        <ns0:is>
          <ns0:t>E0433</ns0:t>
        </ns0:is>
      </ns0:c>
      <ns0:c r="G518" t="n">
        <ns0:v>1</ns0:v>
      </ns0:c>
      <ns0:c r="H518" t="n">
        <ns0:v>2353</ns0:v>
      </ns0:c>
      <ns0:c r="I518" t="n">
        <ns0:v>102</ns0:v>
      </ns0:c>
      <ns0:c r="J518" t="n">
        <ns0:v>2455</ns0:v>
      </ns0:c>
      <ns0:c r="K518" t="n">
        <ns0:v>1</ns0:v>
      </ns0:c>
      <ns0:c r="L518" t="n">
        <ns0:v>1</ns0:v>
      </ns0:c>
      <ns0:c r="M518" t="n">
        <ns0:v>80905</ns0:v>
      </ns0:c>
      <ns0:c r="N518" t="n">
        <ns0:v>658</ns0:v>
      </ns0:c>
      <ns0:c r="O518" t="n">
        <ns0:v>81563</ns0:v>
      </ns0:c>
      <ns0:c r="P518" t="n">
        <ns0:v>6</ns0:v>
      </ns0:c>
      <ns0:c r="Q518">
        <ns0:f>IF(AND(L518=1,O518*Calculations!$B$2&lt;=Calculations!$B$10*Calculations!$B$4),1,0)</ns0:f>
        <ns0:v>0</ns0:v>
      </ns0:c>
      <ns0:c r="R518">
        <ns0:f>IF(AND(L518=1,O518*Calculations!$B$2&lt;=Calculations!$B$11*Calculations!$B$4),1,0)</ns0:f>
        <ns0:v>0</ns0:v>
      </ns0:c>
    </ns0:row>
    <ns0:row r="519">
      <ns0:c r="A519" t="inlineStr">
        <ns0:is>
          <ns0:t>case_0518</ns0:t>
        </ns0:is>
      </ns0:c>
      <ns0:c r="B519" t="inlineStr">
        <ns0:is>
          <ns0:t>function_0093</ns0:t>
        </ns0:is>
      </ns0:c>
      <ns0:c r="C519" t="inlineStr">
        <ns0:is>
          <ns0:t>run_006</ns0:t>
        </ns0:is>
      </ns0:c>
      <ns0:c r="D519" t="inlineStr">
        <ns0:is>
          <ns0:t>humantime</ns0:t>
        </ns0:is>
      </ns0:c>
      <ns0:c r="E519" t="inlineStr">
        <ns0:is>
          <ns0:t>gpt-4.1-mini</ns0:t>
        </ns0:is>
      </ns0:c>
      <ns0:c r="F519" t="inlineStr">
        <ns0:is>
          <ns0:t>E0433</ns0:t>
        </ns0:is>
      </ns0:c>
      <ns0:c r="G519" t="n">
        <ns0:v>1</ns0:v>
      </ns0:c>
      <ns0:c r="H519" t="n">
        <ns0:v>2768</ns0:v>
      </ns0:c>
      <ns0:c r="I519" t="n">
        <ns0:v>97</ns0:v>
      </ns0:c>
      <ns0:c r="J519" t="n">
        <ns0:v>2865</ns0:v>
      </ns0:c>
      <ns0:c r="K519" t="n">
        <ns0:v>1</ns0:v>
      </ns0:c>
      <ns0:c r="L519" t="n">
        <ns0:v>1</ns0:v>
      </ns0:c>
      <ns0:c r="M519" t="n">
        <ns0:v>96880</ns0:v>
      </ns0:c>
      <ns0:c r="N519" t="n">
        <ns0:v>1002</ns0:v>
      </ns0:c>
      <ns0:c r="O519" t="n">
        <ns0:v>97882</ns0:v>
      </ns0:c>
      <ns0:c r="P519" t="n">
        <ns0:v>9</ns0:v>
      </ns0:c>
      <ns0:c r="Q519">
        <ns0:f>IF(AND(L519=1,O519*Calculations!$B$2&lt;=Calculations!$B$10*Calculations!$B$4),1,0)</ns0:f>
        <ns0:v>0</ns0:v>
      </ns0:c>
      <ns0:c r="R519">
        <ns0:f>IF(AND(L519=1,O519*Calculations!$B$2&lt;=Calculations!$B$11*Calculations!$B$4),1,0)</ns0:f>
        <ns0:v>0</ns0:v>
      </ns0:c>
    </ns0:row>
    <ns0:row r="520">
      <ns0:c r="A520" t="inlineStr">
        <ns0:is>
          <ns0:t>case_0519</ns0:t>
        </ns0:is>
      </ns0:c>
      <ns0:c r="B520" t="inlineStr">
        <ns0:is>
          <ns0:t>function_0093</ns0:t>
        </ns0:is>
      </ns0:c>
      <ns0:c r="C520" t="inlineStr">
        <ns0:is>
          <ns0:t>run_006</ns0:t>
        </ns0:is>
      </ns0:c>
      <ns0:c r="D520" t="inlineStr">
        <ns0:is>
          <ns0:t>humantime</ns0:t>
        </ns0:is>
      </ns0:c>
      <ns0:c r="E520" t="inlineStr">
        <ns0:is>
          <ns0:t>gpt-4.1-mini</ns0:t>
        </ns0:is>
      </ns0:c>
      <ns0:c r="F520" t="inlineStr">
        <ns0:is>
          <ns0:t>E0063,E0308</ns0:t>
        </ns0:is>
      </ns0:c>
      <ns0:c r="G520" t="n">
        <ns0:v>1</ns0:v>
      </ns0:c>
      <ns0:c r="H520" t="n">
        <ns0:v>1807</ns0:v>
      </ns0:c>
      <ns0:c r="I520" t="n">
        <ns0:v>87</ns0:v>
      </ns0:c>
      <ns0:c r="J520" t="n">
        <ns0:v>1894</ns0:v>
      </ns0:c>
      <ns0:c r="K520" t="n">
        <ns0:v>1</ns0:v>
      </ns0:c>
      <ns0:c r="L520" t="n">
        <ns0:v>1</ns0:v>
      </ns0:c>
      <ns0:c r="M520" t="n">
        <ns0:v>374491</ns0:v>
      </ns0:c>
      <ns0:c r="N520" t="n">
        <ns0:v>3016</ns0:v>
      </ns0:c>
      <ns0:c r="O520" t="n">
        <ns0:v>377507</ns0:v>
      </ns0:c>
      <ns0:c r="P520" t="n">
        <ns0:v>20</ns0:v>
      </ns0:c>
      <ns0:c r="Q520">
        <ns0:f>IF(AND(L520=1,O520*Calculations!$B$2&lt;=Calculations!$B$10*Calculations!$B$4),1,0)</ns0:f>
        <ns0:v>0</ns0:v>
      </ns0:c>
      <ns0:c r="R520">
        <ns0:f>IF(AND(L520=1,O520*Calculations!$B$2&lt;=Calculations!$B$11*Calculations!$B$4),1,0)</ns0:f>
        <ns0:v>0</ns0:v>
      </ns0:c>
    </ns0:row>
    <ns0:row r="521">
      <ns0:c r="A521" t="inlineStr">
        <ns0:is>
          <ns0:t>case_0520</ns0:t>
        </ns0:is>
      </ns0:c>
      <ns0:c r="B521" t="inlineStr">
        <ns0:is>
          <ns0:t>function_0093</ns0:t>
        </ns0:is>
      </ns0:c>
      <ns0:c r="C521" t="inlineStr">
        <ns0:is>
          <ns0:t>run_006</ns0:t>
        </ns0:is>
      </ns0:c>
      <ns0:c r="D521" t="inlineStr">
        <ns0:is>
          <ns0:t>humantime</ns0:t>
        </ns0:is>
      </ns0:c>
      <ns0:c r="E521" t="inlineStr">
        <ns0:is>
          <ns0:t>gpt-4.1-mini</ns0:t>
        </ns0:is>
      </ns0:c>
      <ns0:c r="F521" t="inlineStr">
        <ns0:is>
          <ns0:t>E0063</ns0:t>
        </ns0:is>
      </ns0:c>
      <ns0:c r="G521" t="n">
        <ns0:v>1</ns0:v>
      </ns0:c>
      <ns0:c r="H521" t="n">
        <ns0:v>1620</ns0:v>
      </ns0:c>
      <ns0:c r="I521" t="n">
        <ns0:v>86</ns0:v>
      </ns0:c>
      <ns0:c r="J521" t="n">
        <ns0:v>1706</ns0:v>
      </ns0:c>
      <ns0:c r="K521" t="n">
        <ns0:v>1</ns0:v>
      </ns0:c>
      <ns0:c r="L521" t="n">
        <ns0:v>1</ns0:v>
      </ns0:c>
      <ns0:c r="M521" t="n">
        <ns0:v>49307</ns0:v>
      </ns0:c>
      <ns0:c r="N521" t="n">
        <ns0:v>388</ns0:v>
      </ns0:c>
      <ns0:c r="O521" t="n">
        <ns0:v>49695</ns0:v>
      </ns0:c>
      <ns0:c r="P521" t="n">
        <ns0:v>4</ns0:v>
      </ns0:c>
      <ns0:c r="Q521">
        <ns0:f>IF(AND(L521=1,O521*Calculations!$B$2&lt;=Calculations!$B$10*Calculations!$B$4),1,0)</ns0:f>
        <ns0:v>0</ns0:v>
      </ns0:c>
      <ns0:c r="R521">
        <ns0:f>IF(AND(L521=1,O521*Calculations!$B$2&lt;=Calculations!$B$11*Calculations!$B$4),1,0)</ns0:f>
        <ns0:v>0</ns0:v>
      </ns0:c>
    </ns0:row>
    <ns0:row r="522">
      <ns0:c r="A522" t="inlineStr">
        <ns0:is>
          <ns0:t>case_0521</ns0:t>
        </ns0:is>
      </ns0:c>
      <ns0:c r="B522" t="inlineStr">
        <ns0:is>
          <ns0:t>function_0093</ns0:t>
        </ns0:is>
      </ns0:c>
      <ns0:c r="C522" t="inlineStr">
        <ns0:is>
          <ns0:t>run_006</ns0:t>
        </ns0:is>
      </ns0:c>
      <ns0:c r="D522" t="inlineStr">
        <ns0:is>
          <ns0:t>humantime</ns0:t>
        </ns0:is>
      </ns0:c>
      <ns0:c r="E522" t="inlineStr">
        <ns0:is>
          <ns0:t>gpt-4.1-mini</ns0:t>
        </ns0:is>
      </ns0:c>
      <ns0:c r="F522" t="inlineStr">
        <ns0:is>
          <ns0:t>E0063</ns0:t>
        </ns0:is>
      </ns0:c>
      <ns0:c r="G522" t="n">
        <ns0:v>1</ns0:v>
      </ns0:c>
      <ns0:c r="H522" t="n">
        <ns0:v>1654</ns0:v>
      </ns0:c>
      <ns0:c r="I522" t="n">
        <ns0:v>106</ns0:v>
      </ns0:c>
      <ns0:c r="J522" t="n">
        <ns0:v>1760</ns0:v>
      </ns0:c>
      <ns0:c r="K522" t="n">
        <ns0:v>1</ns0:v>
      </ns0:c>
      <ns0:c r="L522" t="n">
        <ns0:v>1</ns0:v>
      </ns0:c>
      <ns0:c r="M522" t="n">
        <ns0:v>27122</ns0:v>
      </ns0:c>
      <ns0:c r="N522" t="n">
        <ns0:v>385</ns0:v>
      </ns0:c>
      <ns0:c r="O522" t="n">
        <ns0:v>27507</ns0:v>
      </ns0:c>
      <ns0:c r="P522" t="n">
        <ns0:v>4</ns0:v>
      </ns0:c>
      <ns0:c r="Q522">
        <ns0:f>IF(AND(L522=1,O522*Calculations!$B$2&lt;=Calculations!$B$10*Calculations!$B$4),1,0)</ns0:f>
        <ns0:v>0</ns0:v>
      </ns0:c>
      <ns0:c r="R522">
        <ns0:f>IF(AND(L522=1,O522*Calculations!$B$2&lt;=Calculations!$B$11*Calculations!$B$4),1,0)</ns0:f>
        <ns0:v>1</ns0:v>
      </ns0:c>
    </ns0:row>
    <ns0:row r="523">
      <ns0:c r="A523" t="inlineStr">
        <ns0:is>
          <ns0:t>case_0522</ns0:t>
        </ns0:is>
      </ns0:c>
      <ns0:c r="B523" t="inlineStr">
        <ns0:is>
          <ns0:t>function_0093</ns0:t>
        </ns0:is>
      </ns0:c>
      <ns0:c r="C523" t="inlineStr">
        <ns0:is>
          <ns0:t>run_006</ns0:t>
        </ns0:is>
      </ns0:c>
      <ns0:c r="D523" t="inlineStr">
        <ns0:is>
          <ns0:t>humantime</ns0:t>
        </ns0:is>
      </ns0:c>
      <ns0:c r="E523" t="inlineStr">
        <ns0:is>
          <ns0:t>gpt-4.1-mini</ns0:t>
        </ns0:is>
      </ns0:c>
      <ns0:c r="F523" t="inlineStr">
        <ns0:is>
          <ns0:t>E0433</ns0:t>
        </ns0:is>
      </ns0:c>
      <ns0:c r="G523" t="n">
        <ns0:v>1</ns0:v>
      </ns0:c>
      <ns0:c r="H523" t="n">
        <ns0:v>2579</ns0:v>
      </ns0:c>
      <ns0:c r="I523" t="n">
        <ns0:v>106</ns0:v>
      </ns0:c>
      <ns0:c r="J523" t="n">
        <ns0:v>2685</ns0:v>
      </ns0:c>
      <ns0:c r="K523" t="n">
        <ns0:v>1</ns0:v>
      </ns0:c>
      <ns0:c r="L523" t="n">
        <ns0:v>1</ns0:v>
      </ns0:c>
      <ns0:c r="M523" t="n">
        <ns0:v>97993</ns0:v>
      </ns0:c>
      <ns0:c r="N523" t="n">
        <ns0:v>702</ns0:v>
      </ns0:c>
      <ns0:c r="O523" t="n">
        <ns0:v>98695</ns0:v>
      </ns0:c>
      <ns0:c r="P523" t="n">
        <ns0:v>7</ns0:v>
      </ns0:c>
      <ns0:c r="Q523">
        <ns0:f>IF(AND(L523=1,O523*Calculations!$B$2&lt;=Calculations!$B$10*Calculations!$B$4),1,0)</ns0:f>
        <ns0:v>0</ns0:v>
      </ns0:c>
      <ns0:c r="R523">
        <ns0:f>IF(AND(L523=1,O523*Calculations!$B$2&lt;=Calculations!$B$11*Calculations!$B$4),1,0)</ns0:f>
        <ns0:v>0</ns0:v>
      </ns0:c>
    </ns0:row>
    <ns0:row r="524">
      <ns0:c r="A524" t="inlineStr">
        <ns0:is>
          <ns0:t>case_0523</ns0:t>
        </ns0:is>
      </ns0:c>
      <ns0:c r="B524" t="inlineStr">
        <ns0:is>
          <ns0:t>function_0093</ns0:t>
        </ns0:is>
      </ns0:c>
      <ns0:c r="C524" t="inlineStr">
        <ns0:is>
          <ns0:t>run_006</ns0:t>
        </ns0:is>
      </ns0:c>
      <ns0:c r="D524" t="inlineStr">
        <ns0:is>
          <ns0:t>humantime</ns0:t>
        </ns0:is>
      </ns0:c>
      <ns0:c r="E524" t="inlineStr">
        <ns0:is>
          <ns0:t>gpt-4.1-mini</ns0:t>
        </ns0:is>
      </ns0:c>
      <ns0:c r="F524" t="inlineStr">
        <ns0:is>
          <ns0:t>E0433</ns0:t>
        </ns0:is>
      </ns0:c>
      <ns0:c r="G524" t="n">
        <ns0:v>1</ns0:v>
      </ns0:c>
      <ns0:c r="H524" t="n">
        <ns0:v>2580</ns0:v>
      </ns0:c>
      <ns0:c r="I524" t="n">
        <ns0:v>176</ns0:v>
      </ns0:c>
      <ns0:c r="J524" t="n">
        <ns0:v>2756</ns0:v>
      </ns0:c>
      <ns0:c r="K524" t="n">
        <ns0:v>1</ns0:v>
      </ns0:c>
      <ns0:c r="L524" t="n">
        <ns0:v>1</ns0:v>
      </ns0:c>
      <ns0:c r="M524" t="n">
        <ns0:v>66988</ns0:v>
      </ns0:c>
      <ns0:c r="N524" t="n">
        <ns0:v>371</ns0:v>
      </ns0:c>
      <ns0:c r="O524" t="n">
        <ns0:v>67359</ns0:v>
      </ns0:c>
      <ns0:c r="P524" t="n">
        <ns0:v>6</ns0:v>
      </ns0:c>
      <ns0:c r="Q524">
        <ns0:f>IF(AND(L524=1,O524*Calculations!$B$2&lt;=Calculations!$B$10*Calculations!$B$4),1,0)</ns0:f>
        <ns0:v>0</ns0:v>
      </ns0:c>
      <ns0:c r="R524">
        <ns0:f>IF(AND(L524=1,O524*Calculations!$B$2&lt;=Calculations!$B$11*Calculations!$B$4),1,0)</ns0:f>
        <ns0:v>0</ns0:v>
      </ns0:c>
    </ns0:row>
    <ns0:row r="525">
      <ns0:c r="A525" t="inlineStr">
        <ns0:is>
          <ns0:t>case_0524</ns0:t>
        </ns0:is>
      </ns0:c>
      <ns0:c r="B525" t="inlineStr">
        <ns0:is>
          <ns0:t>function_0093</ns0:t>
        </ns0:is>
      </ns0:c>
      <ns0:c r="C525" t="inlineStr">
        <ns0:is>
          <ns0:t>run_006</ns0:t>
        </ns0:is>
      </ns0:c>
      <ns0:c r="D525" t="inlineStr">
        <ns0:is>
          <ns0:t>humantime</ns0:t>
        </ns0:is>
      </ns0:c>
      <ns0:c r="E525" t="inlineStr">
        <ns0:is>
          <ns0:t>gpt-4.1-mini</ns0:t>
        </ns0:is>
      </ns0:c>
      <ns0:c r="F525" t="inlineStr">
        <ns0:is>
          <ns0:t>E0433</ns0:t>
        </ns0:is>
      </ns0:c>
      <ns0:c r="G525" t="n">
        <ns0:v>1</ns0:v>
      </ns0:c>
      <ns0:c r="H525" t="n">
        <ns0:v>2338</ns0:v>
      </ns0:c>
      <ns0:c r="I525" t="n">
        <ns0:v>100</ns0:v>
      </ns0:c>
      <ns0:c r="J525" t="n">
        <ns0:v>2438</ns0:v>
      </ns0:c>
      <ns0:c r="K525" t="n">
        <ns0:v>1</ns0:v>
      </ns0:c>
      <ns0:c r="L525" t="n">
        <ns0:v>1</ns0:v>
      </ns0:c>
      <ns0:c r="M525" t="n">
        <ns0:v>54520</ns0:v>
      </ns0:c>
      <ns0:c r="N525" t="n">
        <ns0:v>670</ns0:v>
      </ns0:c>
      <ns0:c r="O525" t="n">
        <ns0:v>55190</ns0:v>
      </ns0:c>
      <ns0:c r="P525" t="n">
        <ns0:v>7</ns0:v>
      </ns0:c>
      <ns0:c r="Q525">
        <ns0:f>IF(AND(L525=1,O525*Calculations!$B$2&lt;=Calculations!$B$10*Calculations!$B$4),1,0)</ns0:f>
        <ns0:v>0</ns0:v>
      </ns0:c>
      <ns0:c r="R525">
        <ns0:f>IF(AND(L525=1,O525*Calculations!$B$2&lt;=Calculations!$B$11*Calculations!$B$4),1,0)</ns0:f>
        <ns0:v>0</ns0:v>
      </ns0:c>
    </ns0:row>
    <ns0:row r="526">
      <ns0:c r="A526" t="inlineStr">
        <ns0:is>
          <ns0:t>case_0525</ns0:t>
        </ns0:is>
      </ns0:c>
      <ns0:c r="B526" t="inlineStr">
        <ns0:is>
          <ns0:t>function_0093</ns0:t>
        </ns0:is>
      </ns0:c>
      <ns0:c r="C526" t="inlineStr">
        <ns0:is>
          <ns0:t>run_006</ns0:t>
        </ns0:is>
      </ns0:c>
      <ns0:c r="D526" t="inlineStr">
        <ns0:is>
          <ns0:t>humantime</ns0:t>
        </ns0:is>
      </ns0:c>
      <ns0:c r="E526" t="inlineStr">
        <ns0:is>
          <ns0:t>gpt-4.1-mini</ns0:t>
        </ns0:is>
      </ns0:c>
      <ns0:c r="F526" t="inlineStr">
        <ns0:is>
          <ns0:t>E0433</ns0:t>
        </ns0:is>
      </ns0:c>
      <ns0:c r="G526" t="n">
        <ns0:v>1</ns0:v>
      </ns0:c>
      <ns0:c r="H526" t="n">
        <ns0:v>2310</ns0:v>
      </ns0:c>
      <ns0:c r="I526" t="n">
        <ns0:v>99</ns0:v>
      </ns0:c>
      <ns0:c r="J526" t="n">
        <ns0:v>2409</ns0:v>
      </ns0:c>
      <ns0:c r="K526" t="n">
        <ns0:v>1</ns0:v>
      </ns0:c>
      <ns0:c r="L526" t="n">
        <ns0:v>1</ns0:v>
      </ns0:c>
      <ns0:c r="M526" t="n">
        <ns0:v>49055</ns0:v>
      </ns0:c>
      <ns0:c r="N526" t="n">
        <ns0:v>489</ns0:v>
      </ns0:c>
      <ns0:c r="O526" t="n">
        <ns0:v>49544</ns0:v>
      </ns0:c>
      <ns0:c r="P526" t="n">
        <ns0:v>6</ns0:v>
      </ns0:c>
      <ns0:c r="Q526">
        <ns0:f>IF(AND(L526=1,O526*Calculations!$B$2&lt;=Calculations!$B$10*Calculations!$B$4),1,0)</ns0:f>
        <ns0:v>0</ns0:v>
      </ns0:c>
      <ns0:c r="R526">
        <ns0:f>IF(AND(L526=1,O526*Calculations!$B$2&lt;=Calculations!$B$11*Calculations!$B$4),1,0)</ns0:f>
        <ns0:v>0</ns0:v>
      </ns0:c>
    </ns0:row>
    <ns0:row r="527">
      <ns0:c r="A527" t="inlineStr">
        <ns0:is>
          <ns0:t>case_0526</ns0:t>
        </ns0:is>
      </ns0:c>
      <ns0:c r="B527" t="inlineStr">
        <ns0:is>
          <ns0:t>function_0093</ns0:t>
        </ns0:is>
      </ns0:c>
      <ns0:c r="C527" t="inlineStr">
        <ns0:is>
          <ns0:t>run_006</ns0:t>
        </ns0:is>
      </ns0:c>
      <ns0:c r="D527" t="inlineStr">
        <ns0:is>
          <ns0:t>humantime</ns0:t>
        </ns0:is>
      </ns0:c>
      <ns0:c r="E527" t="inlineStr">
        <ns0:is>
          <ns0:t>gpt-4.1-mini</ns0:t>
        </ns0:is>
      </ns0:c>
      <ns0:c r="F527" t="inlineStr">
        <ns0:is>
          <ns0:t>E0433</ns0:t>
        </ns0:is>
      </ns0:c>
      <ns0:c r="G527" t="n">
        <ns0:v>1</ns0:v>
      </ns0:c>
      <ns0:c r="H527" t="n">
        <ns0:v>3212</ns0:v>
      </ns0:c>
      <ns0:c r="I527" t="n">
        <ns0:v>217</ns0:v>
      </ns0:c>
      <ns0:c r="J527" t="n">
        <ns0:v>3429</ns0:v>
      </ns0:c>
      <ns0:c r="K527" t="n">
        <ns0:v>1</ns0:v>
      </ns0:c>
      <ns0:c r="L527" t="n">
        <ns0:v>1</ns0:v>
      </ns0:c>
      <ns0:c r="M527" t="n">
        <ns0:v>165231</ns0:v>
      </ns0:c>
      <ns0:c r="N527" t="n">
        <ns0:v>2157</ns0:v>
      </ns0:c>
      <ns0:c r="O527" t="n">
        <ns0:v>167388</ns0:v>
      </ns0:c>
      <ns0:c r="P527" t="n">
        <ns0:v>17</ns0:v>
      </ns0:c>
      <ns0:c r="Q527">
        <ns0:f>IF(AND(L527=1,O527*Calculations!$B$2&lt;=Calculations!$B$10*Calculations!$B$4),1,0)</ns0:f>
        <ns0:v>0</ns0:v>
      </ns0:c>
      <ns0:c r="R527">
        <ns0:f>IF(AND(L527=1,O527*Calculations!$B$2&lt;=Calculations!$B$11*Calculations!$B$4),1,0)</ns0:f>
        <ns0:v>0</ns0:v>
      </ns0:c>
    </ns0:row>
    <ns0:row r="528">
      <ns0:c r="A528" t="inlineStr">
        <ns0:is>
          <ns0:t>case_0527</ns0:t>
        </ns0:is>
      </ns0:c>
      <ns0:c r="B528" t="inlineStr">
        <ns0:is>
          <ns0:t>function_0093</ns0:t>
        </ns0:is>
      </ns0:c>
      <ns0:c r="C528" t="inlineStr">
        <ns0:is>
          <ns0:t>run_006</ns0:t>
        </ns0:is>
      </ns0:c>
      <ns0:c r="D528" t="inlineStr">
        <ns0:is>
          <ns0:t>humantime</ns0:t>
        </ns0:is>
      </ns0:c>
      <ns0:c r="E528" t="inlineStr">
        <ns0:is>
          <ns0:t>gpt-4.1-mini</ns0:t>
        </ns0:is>
      </ns0:c>
      <ns0:c r="F528" t="inlineStr">
        <ns0:is>
          <ns0:t>E0433</ns0:t>
        </ns0:is>
      </ns0:c>
      <ns0:c r="G528" t="n">
        <ns0:v>1</ns0:v>
      </ns0:c>
      <ns0:c r="H528" t="n">
        <ns0:v>2342</ns0:v>
      </ns0:c>
      <ns0:c r="I528" t="n">
        <ns0:v>97</ns0:v>
      </ns0:c>
      <ns0:c r="J528" t="n">
        <ns0:v>2439</ns0:v>
      </ns0:c>
      <ns0:c r="K528" t="n">
        <ns0:v>1</ns0:v>
      </ns0:c>
      <ns0:c r="L528" t="n">
        <ns0:v>1</ns0:v>
      </ns0:c>
      <ns0:c r="M528" t="n">
        <ns0:v>80842</ns0:v>
      </ns0:c>
      <ns0:c r="N528" t="n">
        <ns0:v>688</ns0:v>
      </ns0:c>
      <ns0:c r="O528" t="n">
        <ns0:v>81530</ns0:v>
      </ns0:c>
      <ns0:c r="P528" t="n">
        <ns0:v>6</ns0:v>
      </ns0:c>
      <ns0:c r="Q528">
        <ns0:f>IF(AND(L528=1,O528*Calculations!$B$2&lt;=Calculations!$B$10*Calculations!$B$4),1,0)</ns0:f>
        <ns0:v>0</ns0:v>
      </ns0:c>
      <ns0:c r="R528">
        <ns0:f>IF(AND(L528=1,O528*Calculations!$B$2&lt;=Calculations!$B$11*Calculations!$B$4),1,0)</ns0:f>
        <ns0:v>0</ns0:v>
      </ns0:c>
    </ns0:row>
    <ns0:row r="529">
      <ns0:c r="A529" t="inlineStr">
        <ns0:is>
          <ns0:t>case_0528</ns0:t>
        </ns0:is>
      </ns0:c>
      <ns0:c r="B529" t="inlineStr">
        <ns0:is>
          <ns0:t>function_0094</ns0:t>
        </ns0:is>
      </ns0:c>
      <ns0:c r="C529" t="inlineStr">
        <ns0:is>
          <ns0:t>run_006</ns0:t>
        </ns0:is>
      </ns0:c>
      <ns0:c r="D529" t="inlineStr">
        <ns0:is>
          <ns0:t>humantime</ns0:t>
        </ns0:is>
      </ns0:c>
      <ns0:c r="E529" t="inlineStr">
        <ns0:is>
          <ns0:t>gpt-4.1-mini</ns0:t>
        </ns0:is>
      </ns0:c>
      <ns0:c r="F529" t="inlineStr">
        <ns0:is>
          <ns0:t>E0433</ns0:t>
        </ns0:is>
      </ns0:c>
      <ns0:c r="G529" t="n">
        <ns0:v>0</ns0:v>
      </ns0:c>
      <ns0:c r="H529" t="n">
        <ns0:v>5016</ns0:v>
      </ns0:c>
      <ns0:c r="I529" t="n">
        <ns0:v>216</ns0:v>
      </ns0:c>
      <ns0:c r="J529" t="n">
        <ns0:v>5232</ns0:v>
      </ns0:c>
      <ns0:c r="K529" t="n">
        <ns0:v>3</ns0:v>
      </ns0:c>
      <ns0:c r="L529" t="n">
        <ns0:v>1</ns0:v>
      </ns0:c>
      <ns0:c r="M529" t="n">
        <ns0:v>68447</ns0:v>
      </ns0:c>
      <ns0:c r="N529" t="n">
        <ns0:v>999</ns0:v>
      </ns0:c>
      <ns0:c r="O529" t="n">
        <ns0:v>69446</ns0:v>
      </ns0:c>
      <ns0:c r="P529" t="n">
        <ns0:v>6</ns0:v>
      </ns0:c>
      <ns0:c r="Q529">
        <ns0:f>IF(AND(L529=1,O529*Calculations!$B$2&lt;=Calculations!$B$10*Calculations!$B$4),1,0)</ns0:f>
        <ns0:v>0</ns0:v>
      </ns0:c>
      <ns0:c r="R529">
        <ns0:f>IF(AND(L529=1,O529*Calculations!$B$2&lt;=Calculations!$B$11*Calculations!$B$4),1,0)</ns0:f>
        <ns0:v>0</ns0:v>
      </ns0:c>
    </ns0:row>
    <ns0:row r="530">
      <ns0:c r="A530" t="inlineStr">
        <ns0:is>
          <ns0:t>case_0529</ns0:t>
        </ns0:is>
      </ns0:c>
      <ns0:c r="B530" t="inlineStr">
        <ns0:is>
          <ns0:t>function_0094</ns0:t>
        </ns0:is>
      </ns0:c>
      <ns0:c r="C530" t="inlineStr">
        <ns0:is>
          <ns0:t>run_006</ns0:t>
        </ns0:is>
      </ns0:c>
      <ns0:c r="D530" t="inlineStr">
        <ns0:is>
          <ns0:t>humantime</ns0:t>
        </ns0:is>
      </ns0:c>
      <ns0:c r="E530" t="inlineStr">
        <ns0:is>
          <ns0:t>gpt-4.1-mini</ns0:t>
        </ns0:is>
      </ns0:c>
      <ns0:c r="F530" t="inlineStr">
        <ns0:is>
          <ns0:t>E0599</ns0:t>
        </ns0:is>
      </ns0:c>
      <ns0:c r="G530" t="n">
        <ns0:v>1</ns0:v>
      </ns0:c>
      <ns0:c r="H530" t="n">
        <ns0:v>1736</ns0:v>
      </ns0:c>
      <ns0:c r="I530" t="n">
        <ns0:v>80</ns0:v>
      </ns0:c>
      <ns0:c r="J530" t="n">
        <ns0:v>1816</ns0:v>
      </ns0:c>
      <ns0:c r="K530" t="n">
        <ns0:v>1</ns0:v>
      </ns0:c>
      <ns0:c r="L530" t="n">
        <ns0:v>0</ns0:v>
      </ns0:c>
      <ns0:c r="M530" t="n">
        <ns0:v>28006</ns0:v>
      </ns0:c>
      <ns0:c r="N530" t="n">
        <ns0:v>620</ns0:v>
      </ns0:c>
      <ns0:c r="O530" t="n">
        <ns0:v>28626</ns0:v>
      </ns0:c>
      <ns0:c r="P530" t="n">
        <ns0:v>4</ns0:v>
      </ns0:c>
      <ns0:c r="Q530">
        <ns0:f>IF(AND(L530=1,O530*Calculations!$B$2&lt;=Calculations!$B$10*Calculations!$B$4),1,0)</ns0:f>
        <ns0:v>0</ns0:v>
      </ns0:c>
      <ns0:c r="R530">
        <ns0:f>IF(AND(L530=1,O530*Calculations!$B$2&lt;=Calculations!$B$11*Calculations!$B$4),1,0)</ns0:f>
        <ns0:v>0</ns0:v>
      </ns0:c>
    </ns0:row>
    <ns0:row r="531">
      <ns0:c r="A531" t="inlineStr">
        <ns0:is>
          <ns0:t>case_0530</ns0:t>
        </ns0:is>
      </ns0:c>
      <ns0:c r="B531" t="inlineStr">
        <ns0:is>
          <ns0:t>function_0094</ns0:t>
        </ns0:is>
      </ns0:c>
      <ns0:c r="C531" t="inlineStr">
        <ns0:is>
          <ns0:t>run_006</ns0:t>
        </ns0:is>
      </ns0:c>
      <ns0:c r="D531" t="inlineStr">
        <ns0:is>
          <ns0:t>humantime</ns0:t>
        </ns0:is>
      </ns0:c>
      <ns0:c r="E531" t="inlineStr">
        <ns0:is>
          <ns0:t>gpt-4.1-mini</ns0:t>
        </ns0:is>
      </ns0:c>
      <ns0:c r="F531" t="inlineStr">
        <ns0:is>
          <ns0:t>E0599</ns0:t>
        </ns0:is>
      </ns0:c>
      <ns0:c r="G531" t="n">
        <ns0:v>1</ns0:v>
      </ns0:c>
      <ns0:c r="H531" t="n">
        <ns0:v>1833</ns0:v>
      </ns0:c>
      <ns0:c r="I531" t="n">
        <ns0:v>127</ns0:v>
      </ns0:c>
      <ns0:c r="J531" t="n">
        <ns0:v>1960</ns0:v>
      </ns0:c>
      <ns0:c r="K531" t="n">
        <ns0:v>1</ns0:v>
      </ns0:c>
      <ns0:c r="L531" t="n">
        <ns0:v>0</ns0:v>
      </ns0:c>
      <ns0:c r="M531" t="n">
        <ns0:v>86715</ns0:v>
      </ns0:c>
      <ns0:c r="N531" t="n">
        <ns0:v>1269</ns0:v>
      </ns0:c>
      <ns0:c r="O531" t="n">
        <ns0:v>87984</ns0:v>
      </ns0:c>
      <ns0:c r="P531" t="n">
        <ns0:v>10</ns0:v>
      </ns0:c>
      <ns0:c r="Q531">
        <ns0:f>IF(AND(L531=1,O531*Calculations!$B$2&lt;=Calculations!$B$10*Calculations!$B$4),1,0)</ns0:f>
        <ns0:v>0</ns0:v>
      </ns0:c>
      <ns0:c r="R531">
        <ns0:f>IF(AND(L531=1,O531*Calculations!$B$2&lt;=Calculations!$B$11*Calculations!$B$4),1,0)</ns0:f>
        <ns0:v>0</ns0:v>
      </ns0:c>
    </ns0:row>
    <ns0:row r="532">
      <ns0:c r="A532" t="inlineStr">
        <ns0:is>
          <ns0:t>case_0531</ns0:t>
        </ns0:is>
      </ns0:c>
      <ns0:c r="B532" t="inlineStr">
        <ns0:is>
          <ns0:t>function_0094</ns0:t>
        </ns0:is>
      </ns0:c>
      <ns0:c r="C532" t="inlineStr">
        <ns0:is>
          <ns0:t>run_006</ns0:t>
        </ns0:is>
      </ns0:c>
      <ns0:c r="D532" t="inlineStr">
        <ns0:is>
          <ns0:t>humantime</ns0:t>
        </ns0:is>
      </ns0:c>
      <ns0:c r="E532" t="inlineStr">
        <ns0:is>
          <ns0:t>gpt-4.1-mini</ns0:t>
        </ns0:is>
      </ns0:c>
      <ns0:c r="F532" t="inlineStr">
        <ns0:is>
          <ns0:t>E0560</ns0:t>
        </ns0:is>
      </ns0:c>
      <ns0:c r="G532" t="n">
        <ns0:v>1</ns0:v>
      </ns0:c>
      <ns0:c r="H532" t="n">
        <ns0:v>1845</ns0:v>
      </ns0:c>
      <ns0:c r="I532" t="n">
        <ns0:v>138</ns0:v>
      </ns0:c>
      <ns0:c r="J532" t="n">
        <ns0:v>1983</ns0:v>
      </ns0:c>
      <ns0:c r="K532" t="n">
        <ns0:v>1</ns0:v>
      </ns0:c>
      <ns0:c r="L532" t="n">
        <ns0:v>1</ns0:v>
      </ns0:c>
      <ns0:c r="M532" t="n">
        <ns0:v>50394</ns0:v>
      </ns0:c>
      <ns0:c r="N532" t="n">
        <ns0:v>471</ns0:v>
      </ns0:c>
      <ns0:c r="O532" t="n">
        <ns0:v>50865</ns0:v>
      </ns0:c>
      <ns0:c r="P532" t="n">
        <ns0:v>4</ns0:v>
      </ns0:c>
      <ns0:c r="Q532">
        <ns0:f>IF(AND(L532=1,O532*Calculations!$B$2&lt;=Calculations!$B$10*Calculations!$B$4),1,0)</ns0:f>
        <ns0:v>0</ns0:v>
      </ns0:c>
      <ns0:c r="R532">
        <ns0:f>IF(AND(L532=1,O532*Calculations!$B$2&lt;=Calculations!$B$11*Calculations!$B$4),1,0)</ns0:f>
        <ns0:v>0</ns0:v>
      </ns0:c>
    </ns0:row>
    <ns0:row r="533">
      <ns0:c r="A533" t="inlineStr">
        <ns0:is>
          <ns0:t>case_0532</ns0:t>
        </ns0:is>
      </ns0:c>
      <ns0:c r="B533" t="inlineStr">
        <ns0:is>
          <ns0:t>function_0094</ns0:t>
        </ns0:is>
      </ns0:c>
      <ns0:c r="C533" t="inlineStr">
        <ns0:is>
          <ns0:t>run_006</ns0:t>
        </ns0:is>
      </ns0:c>
      <ns0:c r="D533" t="inlineStr">
        <ns0:is>
          <ns0:t>humantime</ns0:t>
        </ns0:is>
      </ns0:c>
      <ns0:c r="E533" t="inlineStr">
        <ns0:is>
          <ns0:t>gpt-4.1-mini</ns0:t>
        </ns0:is>
      </ns0:c>
      <ns0:c r="F533" t="inlineStr">
        <ns0:is>
          <ns0:t>E0599</ns0:t>
        </ns0:is>
      </ns0:c>
      <ns0:c r="G533" t="n">
        <ns0:v>1</ns0:v>
      </ns0:c>
      <ns0:c r="H533" t="n">
        <ns0:v>1807</ns0:v>
      </ns0:c>
      <ns0:c r="I533" t="n">
        <ns0:v>118</ns0:v>
      </ns0:c>
      <ns0:c r="J533" t="n">
        <ns0:v>1925</ns0:v>
      </ns0:c>
      <ns0:c r="K533" t="n">
        <ns0:v>1</ns0:v>
      </ns0:c>
      <ns0:c r="L533" t="n">
        <ns0:v>0</ns0:v>
      </ns0:c>
      <ns0:c r="M533" t="n">
        <ns0:v>28163</ns0:v>
      </ns0:c>
      <ns0:c r="N533" t="n">
        <ns0:v>504</ns0:v>
      </ns0:c>
      <ns0:c r="O533" t="n">
        <ns0:v>28667</ns0:v>
      </ns0:c>
      <ns0:c r="P533" t="n">
        <ns0:v>4</ns0:v>
      </ns0:c>
      <ns0:c r="Q533">
        <ns0:f>IF(AND(L533=1,O533*Calculations!$B$2&lt;=Calculations!$B$10*Calculations!$B$4),1,0)</ns0:f>
        <ns0:v>0</ns0:v>
      </ns0:c>
      <ns0:c r="R533">
        <ns0:f>IF(AND(L533=1,O533*Calculations!$B$2&lt;=Calculations!$B$11*Calculations!$B$4),1,0)</ns0:f>
        <ns0:v>0</ns0:v>
      </ns0:c>
    </ns0:row>
    <ns0:row r="534">
      <ns0:c r="A534" t="inlineStr">
        <ns0:is>
          <ns0:t>case_0533</ns0:t>
        </ns0:is>
      </ns0:c>
      <ns0:c r="B534" t="inlineStr">
        <ns0:is>
          <ns0:t>function_0094</ns0:t>
        </ns0:is>
      </ns0:c>
      <ns0:c r="C534" t="inlineStr">
        <ns0:is>
          <ns0:t>run_006</ns0:t>
        </ns0:is>
      </ns0:c>
      <ns0:c r="D534" t="inlineStr">
        <ns0:is>
          <ns0:t>humantime</ns0:t>
        </ns0:is>
      </ns0:c>
      <ns0:c r="E534" t="inlineStr">
        <ns0:is>
          <ns0:t>gpt-4.1-mini</ns0:t>
        </ns0:is>
      </ns0:c>
      <ns0:c r="F534" t="inlineStr">
        <ns0:is>
          <ns0:t>E0560</ns0:t>
        </ns0:is>
      </ns0:c>
      <ns0:c r="G534" t="n">
        <ns0:v>1</ns0:v>
      </ns0:c>
      <ns0:c r="H534" t="n">
        <ns0:v>1667</ns0:v>
      </ns0:c>
      <ns0:c r="I534" t="n">
        <ns0:v>83</ns0:v>
      </ns0:c>
      <ns0:c r="J534" t="n">
        <ns0:v>1750</ns0:v>
      </ns0:c>
      <ns0:c r="K534" t="n">
        <ns0:v>1</ns0:v>
      </ns0:c>
      <ns0:c r="L534" t="n">
        <ns0:v>1</ns0:v>
      </ns0:c>
      <ns0:c r="M534" t="n">
        <ns0:v>49573</ns0:v>
      </ns0:c>
      <ns0:c r="N534" t="n">
        <ns0:v>379</ns0:v>
      </ns0:c>
      <ns0:c r="O534" t="n">
        <ns0:v>49952</ns0:v>
      </ns0:c>
      <ns0:c r="P534" t="n">
        <ns0:v>4</ns0:v>
      </ns0:c>
      <ns0:c r="Q534">
        <ns0:f>IF(AND(L534=1,O534*Calculations!$B$2&lt;=Calculations!$B$10*Calculations!$B$4),1,0)</ns0:f>
        <ns0:v>0</ns0:v>
      </ns0:c>
      <ns0:c r="R534">
        <ns0:f>IF(AND(L534=1,O534*Calculations!$B$2&lt;=Calculations!$B$11*Calculations!$B$4),1,0)</ns0:f>
        <ns0:v>0</ns0:v>
      </ns0:c>
    </ns0:row>
    <ns0:row r="535">
      <ns0:c r="A535" t="inlineStr">
        <ns0:is>
          <ns0:t>case_0534</ns0:t>
        </ns0:is>
      </ns0:c>
      <ns0:c r="B535" t="inlineStr">
        <ns0:is>
          <ns0:t>function_0094</ns0:t>
        </ns0:is>
      </ns0:c>
      <ns0:c r="C535" t="inlineStr">
        <ns0:is>
          <ns0:t>run_006</ns0:t>
        </ns0:is>
      </ns0:c>
      <ns0:c r="D535" t="inlineStr">
        <ns0:is>
          <ns0:t>humantime</ns0:t>
        </ns0:is>
      </ns0:c>
      <ns0:c r="E535" t="inlineStr">
        <ns0:is>
          <ns0:t>gpt-4.1-mini</ns0:t>
        </ns0:is>
      </ns0:c>
      <ns0:c r="F535" t="inlineStr">
        <ns0:is>
          <ns0:t>E0432,E0433</ns0:t>
        </ns0:is>
      </ns0:c>
      <ns0:c r="G535" t="n">
        <ns0:v>0</ns0:v>
      </ns0:c>
      <ns0:c r="H535" t="n">
        <ns0:v>7455</ns0:v>
      </ns0:c>
      <ns0:c r="I535" t="n">
        <ns0:v>355</ns0:v>
      </ns0:c>
      <ns0:c r="J535" t="n">
        <ns0:v>7810</ns0:v>
      </ns0:c>
      <ns0:c r="K535" t="n">
        <ns0:v>3</ns0:v>
      </ns0:c>
      <ns0:c r="L535" t="n">
        <ns0:v>0</ns0:v>
      </ns0:c>
      <ns0:c r="M535" t="n">
        <ns0:v>175923</ns0:v>
      </ns0:c>
      <ns0:c r="N535" t="n">
        <ns0:v>3409</ns0:v>
      </ns0:c>
      <ns0:c r="O535" t="n">
        <ns0:v>179332</ns0:v>
      </ns0:c>
      <ns0:c r="P535" t="n">
        <ns0:v>20</ns0:v>
      </ns0:c>
      <ns0:c r="Q535">
        <ns0:f>IF(AND(L535=1,O535*Calculations!$B$2&lt;=Calculations!$B$10*Calculations!$B$4),1,0)</ns0:f>
        <ns0:v>0</ns0:v>
      </ns0:c>
      <ns0:c r="R535">
        <ns0:f>IF(AND(L535=1,O535*Calculations!$B$2&lt;=Calculations!$B$11*Calculations!$B$4),1,0)</ns0:f>
        <ns0:v>0</ns0:v>
      </ns0:c>
    </ns0:row>
    <ns0:row r="536">
      <ns0:c r="A536" t="inlineStr">
        <ns0:is>
          <ns0:t>case_0535</ns0:t>
        </ns0:is>
      </ns0:c>
      <ns0:c r="B536" t="inlineStr">
        <ns0:is>
          <ns0:t>function_0094</ns0:t>
        </ns0:is>
      </ns0:c>
      <ns0:c r="C536" t="inlineStr">
        <ns0:is>
          <ns0:t>run_006</ns0:t>
        </ns0:is>
      </ns0:c>
      <ns0:c r="D536" t="inlineStr">
        <ns0:is>
          <ns0:t>humantime</ns0:t>
        </ns0:is>
      </ns0:c>
      <ns0:c r="E536" t="inlineStr">
        <ns0:is>
          <ns0:t>gpt-4.1-mini</ns0:t>
        </ns0:is>
      </ns0:c>
      <ns0:c r="F536" t="inlineStr">
        <ns0:is>
          <ns0:t>E0599</ns0:t>
        </ns0:is>
      </ns0:c>
      <ns0:c r="G536" t="n">
        <ns0:v>1</ns0:v>
      </ns0:c>
      <ns0:c r="H536" t="n">
        <ns0:v>1800</ns0:v>
      </ns0:c>
      <ns0:c r="I536" t="n">
        <ns0:v>109</ns0:v>
      </ns0:c>
      <ns0:c r="J536" t="n">
        <ns0:v>1909</ns0:v>
      </ns0:c>
      <ns0:c r="K536" t="n">
        <ns0:v>1</ns0:v>
      </ns0:c>
      <ns0:c r="L536" t="n">
        <ns0:v>0</ns0:v>
      </ns0:c>
      <ns0:c r="M536" t="n">
        <ns0:v>35697</ns0:v>
      </ns0:c>
      <ns0:c r="N536" t="n">
        <ns0:v>308</ns0:v>
      </ns0:c>
      <ns0:c r="O536" t="n">
        <ns0:v>36005</ns0:v>
      </ns0:c>
      <ns0:c r="P536" t="n">
        <ns0:v>4</ns0:v>
      </ns0:c>
      <ns0:c r="Q536">
        <ns0:f>IF(AND(L536=1,O536*Calculations!$B$2&lt;=Calculations!$B$10*Calculations!$B$4),1,0)</ns0:f>
        <ns0:v>0</ns0:v>
      </ns0:c>
      <ns0:c r="R536">
        <ns0:f>IF(AND(L536=1,O536*Calculations!$B$2&lt;=Calculations!$B$11*Calculations!$B$4),1,0)</ns0:f>
        <ns0:v>0</ns0:v>
      </ns0:c>
    </ns0:row>
    <ns0:row r="537">
      <ns0:c r="A537" t="inlineStr">
        <ns0:is>
          <ns0:t>case_0536</ns0:t>
        </ns0:is>
      </ns0:c>
      <ns0:c r="B537" t="inlineStr">
        <ns0:is>
          <ns0:t>function_0094</ns0:t>
        </ns0:is>
      </ns0:c>
      <ns0:c r="C537" t="inlineStr">
        <ns0:is>
          <ns0:t>run_006</ns0:t>
        </ns0:is>
      </ns0:c>
      <ns0:c r="D537" t="inlineStr">
        <ns0:is>
          <ns0:t>humantime</ns0:t>
        </ns0:is>
      </ns0:c>
      <ns0:c r="E537" t="inlineStr">
        <ns0:is>
          <ns0:t>gpt-4.1-mini</ns0:t>
        </ns0:is>
      </ns0:c>
      <ns0:c r="F537" t="inlineStr">
        <ns0:is>
          <ns0:t>E0433</ns0:t>
        </ns0:is>
      </ns0:c>
      <ns0:c r="G537" t="n">
        <ns0:v>1</ns0:v>
      </ns0:c>
      <ns0:c r="H537" t="n">
        <ns0:v>0</ns0:v>
      </ns0:c>
      <ns0:c r="I537" t="n">
        <ns0:v>0</ns0:v>
      </ns0:c>
      <ns0:c r="J537" t="n">
        <ns0:v>0</ns0:v>
      </ns0:c>
      <ns0:c r="K537" t="n">
        <ns0:v>0</ns0:v>
      </ns0:c>
      <ns0:c r="L537" t="n">
        <ns0:v>1</ns0:v>
      </ns0:c>
      <ns0:c r="M537" t="n">
        <ns0:v>98545</ns0:v>
      </ns0:c>
      <ns0:c r="N537" t="n">
        <ns0:v>1745</ns0:v>
      </ns0:c>
      <ns0:c r="O537" t="n">
        <ns0:v>100290</ns0:v>
      </ns0:c>
      <ns0:c r="P537" t="n">
        <ns0:v>7</ns0:v>
      </ns0:c>
      <ns0:c r="Q537">
        <ns0:f>IF(AND(L537=1,O537*Calculations!$B$2&lt;=Calculations!$B$10*Calculations!$B$4),1,0)</ns0:f>
        <ns0:v>0</ns0:v>
      </ns0:c>
      <ns0:c r="R537">
        <ns0:f>IF(AND(L537=1,O537*Calculations!$B$2&lt;=Calculations!$B$11*Calculations!$B$4),1,0)</ns0:f>
        <ns0:v>0</ns0:v>
      </ns0:c>
    </ns0:row>
    <ns0:row r="538">
      <ns0:c r="A538" t="inlineStr">
        <ns0:is>
          <ns0:t>case_0537</ns0:t>
        </ns0:is>
      </ns0:c>
      <ns0:c r="B538" t="inlineStr">
        <ns0:is>
          <ns0:t>function_0094</ns0:t>
        </ns0:is>
      </ns0:c>
      <ns0:c r="C538" t="inlineStr">
        <ns0:is>
          <ns0:t>run_006</ns0:t>
        </ns0:is>
      </ns0:c>
      <ns0:c r="D538" t="inlineStr">
        <ns0:is>
          <ns0:t>humantime</ns0:t>
        </ns0:is>
      </ns0:c>
      <ns0:c r="E538" t="inlineStr">
        <ns0:is>
          <ns0:t>gpt-4.1-mini</ns0:t>
        </ns0:is>
      </ns0:c>
      <ns0:c r="F538" t="inlineStr">
        <ns0:is>
          <ns0:t>E0433,E0599</ns0:t>
        </ns0:is>
      </ns0:c>
      <ns0:c r="G538" t="n">
        <ns0:v>0</ns0:v>
      </ns0:c>
      <ns0:c r="H538" t="n">
        <ns0:v>5917</ns0:v>
      </ns0:c>
      <ns0:c r="I538" t="n">
        <ns0:v>288</ns0:v>
      </ns0:c>
      <ns0:c r="J538" t="n">
        <ns0:v>6205</ns0:v>
      </ns0:c>
      <ns0:c r="K538" t="n">
        <ns0:v>3</ns0:v>
      </ns0:c>
      <ns0:c r="L538" t="n">
        <ns0:v>1</ns0:v>
      </ns0:c>
      <ns0:c r="M538" t="n">
        <ns0:v>93555</ns0:v>
      </ns0:c>
      <ns0:c r="N538" t="n">
        <ns0:v>2232</ns0:v>
      </ns0:c>
      <ns0:c r="O538" t="n">
        <ns0:v>95787</ns0:v>
      </ns0:c>
      <ns0:c r="P538" t="n">
        <ns0:v>12</ns0:v>
      </ns0:c>
      <ns0:c r="Q538">
        <ns0:f>IF(AND(L538=1,O538*Calculations!$B$2&lt;=Calculations!$B$10*Calculations!$B$4),1,0)</ns0:f>
        <ns0:v>0</ns0:v>
      </ns0:c>
      <ns0:c r="R538">
        <ns0:f>IF(AND(L538=1,O538*Calculations!$B$2&lt;=Calculations!$B$11*Calculations!$B$4),1,0)</ns0:f>
        <ns0:v>0</ns0:v>
      </ns0:c>
    </ns0:row>
    <ns0:row r="539">
      <ns0:c r="A539" t="inlineStr">
        <ns0:is>
          <ns0:t>case_0538</ns0:t>
        </ns0:is>
      </ns0:c>
      <ns0:c r="B539" t="inlineStr">
        <ns0:is>
          <ns0:t>function_0094</ns0:t>
        </ns0:is>
      </ns0:c>
      <ns0:c r="C539" t="inlineStr">
        <ns0:is>
          <ns0:t>run_006</ns0:t>
        </ns0:is>
      </ns0:c>
      <ns0:c r="D539" t="inlineStr">
        <ns0:is>
          <ns0:t>humantime</ns0:t>
        </ns0:is>
      </ns0:c>
      <ns0:c r="E539" t="inlineStr">
        <ns0:is>
          <ns0:t>gpt-4.1-mini</ns0:t>
        </ns0:is>
      </ns0:c>
      <ns0:c r="F539" t="inlineStr">
        <ns0:is>
          <ns0:t>E0433,E0599</ns0:t>
        </ns0:is>
      </ns0:c>
      <ns0:c r="G539" t="n">
        <ns0:v>0</ns0:v>
      </ns0:c>
      <ns0:c r="H539" t="n">
        <ns0:v>6138</ns0:v>
      </ns0:c>
      <ns0:c r="I539" t="n">
        <ns0:v>479</ns0:v>
      </ns0:c>
      <ns0:c r="J539" t="n">
        <ns0:v>6617</ns0:v>
      </ns0:c>
      <ns0:c r="K539" t="n">
        <ns0:v>3</ns0:v>
      </ns0:c>
      <ns0:c r="L539" t="n">
        <ns0:v>1</ns0:v>
      </ns0:c>
      <ns0:c r="M539" t="n">
        <ns0:v>53129</ns0:v>
      </ns0:c>
      <ns0:c r="N539" t="n">
        <ns0:v>1513</ns0:v>
      </ns0:c>
      <ns0:c r="O539" t="n">
        <ns0:v>54642</ns0:v>
      </ns0:c>
      <ns0:c r="P539" t="n">
        <ns0:v>7</ns0:v>
      </ns0:c>
      <ns0:c r="Q539">
        <ns0:f>IF(AND(L539=1,O539*Calculations!$B$2&lt;=Calculations!$B$10*Calculations!$B$4),1,0)</ns0:f>
        <ns0:v>0</ns0:v>
      </ns0:c>
      <ns0:c r="R539">
        <ns0:f>IF(AND(L539=1,O539*Calculations!$B$2&lt;=Calculations!$B$11*Calculations!$B$4),1,0)</ns0:f>
        <ns0:v>0</ns0:v>
      </ns0:c>
    </ns0:row>
    <ns0:row r="540">
      <ns0:c r="A540" t="inlineStr">
        <ns0:is>
          <ns0:t>case_0539</ns0:t>
        </ns0:is>
      </ns0:c>
      <ns0:c r="B540" t="inlineStr">
        <ns0:is>
          <ns0:t>function_0094</ns0:t>
        </ns0:is>
      </ns0:c>
      <ns0:c r="C540" t="inlineStr">
        <ns0:is>
          <ns0:t>run_006</ns0:t>
        </ns0:is>
      </ns0:c>
      <ns0:c r="D540" t="inlineStr">
        <ns0:is>
          <ns0:t>humantime</ns0:t>
        </ns0:is>
      </ns0:c>
      <ns0:c r="E540" t="inlineStr">
        <ns0:is>
          <ns0:t>gpt-4.1-mini</ns0:t>
        </ns0:is>
      </ns0:c>
      <ns0:c r="F540" t="inlineStr">
        <ns0:is>
          <ns0:t>E0433,E0599</ns0:t>
        </ns0:is>
      </ns0:c>
      <ns0:c r="G540" t="n">
        <ns0:v>0</ns0:v>
      </ns0:c>
      <ns0:c r="H540" t="n">
        <ns0:v>5955</ns0:v>
      </ns0:c>
      <ns0:c r="I540" t="n">
        <ns0:v>339</ns0:v>
      </ns0:c>
      <ns0:c r="J540" t="n">
        <ns0:v>6294</ns0:v>
      </ns0:c>
      <ns0:c r="K540" t="n">
        <ns0:v>3</ns0:v>
      </ns0:c>
      <ns0:c r="L540" t="n">
        <ns0:v>1</ns0:v>
      </ns0:c>
      <ns0:c r="M540" t="n">
        <ns0:v>222807</ns0:v>
      </ns0:c>
      <ns0:c r="N540" t="n">
        <ns0:v>3782</ns0:v>
      </ns0:c>
      <ns0:c r="O540" t="n">
        <ns0:v>226589</ns0:v>
      </ns0:c>
      <ns0:c r="P540" t="n">
        <ns0:v>22</ns0:v>
      </ns0:c>
      <ns0:c r="Q540">
        <ns0:f>IF(AND(L540=1,O540*Calculations!$B$2&lt;=Calculations!$B$10*Calculations!$B$4),1,0)</ns0:f>
        <ns0:v>0</ns0:v>
      </ns0:c>
      <ns0:c r="R540">
        <ns0:f>IF(AND(L540=1,O540*Calculations!$B$2&lt;=Calculations!$B$11*Calculations!$B$4),1,0)</ns0:f>
        <ns0:v>0</ns0:v>
      </ns0:c>
    </ns0:row>
    <ns0:row r="541">
      <ns0:c r="A541" t="inlineStr">
        <ns0:is>
          <ns0:t>case_0540</ns0:t>
        </ns0:is>
      </ns0:c>
      <ns0:c r="B541" t="inlineStr">
        <ns0:is>
          <ns0:t>function_0095</ns0:t>
        </ns0:is>
      </ns0:c>
      <ns0:c r="C541" t="inlineStr">
        <ns0:is>
          <ns0:t>run_006</ns0:t>
        </ns0:is>
      </ns0:c>
      <ns0:c r="D541" t="inlineStr">
        <ns0:is>
          <ns0:t>humantime</ns0:t>
        </ns0:is>
      </ns0:c>
      <ns0:c r="E541" t="inlineStr">
        <ns0:is>
          <ns0:t>gpt-4.1-mini</ns0:t>
        </ns0:is>
      </ns0:c>
      <ns0:c r="F541" t="inlineStr">
        <ns0:is>
          <ns0:t>E0560</ns0:t>
        </ns0:is>
      </ns0:c>
      <ns0:c r="G541" t="n">
        <ns0:v>1</ns0:v>
      </ns0:c>
      <ns0:c r="H541" t="n">
        <ns0:v>7104</ns0:v>
      </ns0:c>
      <ns0:c r="I541" t="n">
        <ns0:v>389</ns0:v>
      </ns0:c>
      <ns0:c r="J541" t="n">
        <ns0:v>7493</ns0:v>
      </ns0:c>
      <ns0:c r="K541" t="n">
        <ns0:v>4</ns0:v>
      </ns0:c>
      <ns0:c r="L541" t="n">
        <ns0:v>1</ns0:v>
      </ns0:c>
      <ns0:c r="M541" t="n">
        <ns0:v>186811</ns0:v>
      </ns0:c>
      <ns0:c r="N541" t="n">
        <ns0:v>2434</ns0:v>
      </ns0:c>
      <ns0:c r="O541" t="n">
        <ns0:v>189245</ns0:v>
      </ns0:c>
      <ns0:c r="P541" t="n">
        <ns0:v>14</ns0:v>
      </ns0:c>
      <ns0:c r="Q541">
        <ns0:f>IF(AND(L541=1,O541*Calculations!$B$2&lt;=Calculations!$B$10*Calculations!$B$4),1,0)</ns0:f>
        <ns0:v>0</ns0:v>
      </ns0:c>
      <ns0:c r="R541">
        <ns0:f>IF(AND(L541=1,O541*Calculations!$B$2&lt;=Calculations!$B$11*Calculations!$B$4),1,0)</ns0:f>
        <ns0:v>0</ns0:v>
      </ns0:c>
    </ns0:row>
    <ns0:row r="542">
      <ns0:c r="A542" t="inlineStr">
        <ns0:is>
          <ns0:t>case_0541</ns0:t>
        </ns0:is>
      </ns0:c>
      <ns0:c r="B542" t="inlineStr">
        <ns0:is>
          <ns0:t>function_0095</ns0:t>
        </ns0:is>
      </ns0:c>
      <ns0:c r="C542" t="inlineStr">
        <ns0:is>
          <ns0:t>run_006</ns0:t>
        </ns0:is>
      </ns0:c>
      <ns0:c r="D542" t="inlineStr">
        <ns0:is>
          <ns0:t>humantime</ns0:t>
        </ns0:is>
      </ns0:c>
      <ns0:c r="E542" t="inlineStr">
        <ns0:is>
          <ns0:t>gpt-4.1-mini</ns0:t>
        </ns0:is>
      </ns0:c>
      <ns0:c r="F542" t="inlineStr">
        <ns0:is>
          <ns0:t>E0560</ns0:t>
        </ns0:is>
      </ns0:c>
      <ns0:c r="G542" t="n">
        <ns0:v>1</ns0:v>
      </ns0:c>
      <ns0:c r="H542" t="n">
        <ns0:v>1720</ns0:v>
      </ns0:c>
      <ns0:c r="I542" t="n">
        <ns0:v>109</ns0:v>
      </ns0:c>
      <ns0:c r="J542" t="n">
        <ns0:v>1829</ns0:v>
      </ns0:c>
      <ns0:c r="K542" t="n">
        <ns0:v>1</ns0:v>
      </ns0:c>
      <ns0:c r="L542" t="n">
        <ns0:v>1</ns0:v>
      </ns0:c>
      <ns0:c r="M542" t="n">
        <ns0:v>45922</ns0:v>
      </ns0:c>
      <ns0:c r="N542" t="n">
        <ns0:v>877</ns0:v>
      </ns0:c>
      <ns0:c r="O542" t="n">
        <ns0:v>46799</ns0:v>
      </ns0:c>
      <ns0:c r="P542" t="n">
        <ns0:v>6</ns0:v>
      </ns0:c>
      <ns0:c r="Q542">
        <ns0:f>IF(AND(L542=1,O542*Calculations!$B$2&lt;=Calculations!$B$10*Calculations!$B$4),1,0)</ns0:f>
        <ns0:v>0</ns0:v>
      </ns0:c>
      <ns0:c r="R542">
        <ns0:f>IF(AND(L542=1,O542*Calculations!$B$2&lt;=Calculations!$B$11*Calculations!$B$4),1,0)</ns0:f>
        <ns0:v>0</ns0:v>
      </ns0:c>
    </ns0:row>
    <ns0:row r="543">
      <ns0:c r="A543" t="inlineStr">
        <ns0:is>
          <ns0:t>case_0542</ns0:t>
        </ns0:is>
      </ns0:c>
      <ns0:c r="B543" t="inlineStr">
        <ns0:is>
          <ns0:t>function_0095</ns0:t>
        </ns0:is>
      </ns0:c>
      <ns0:c r="C543" t="inlineStr">
        <ns0:is>
          <ns0:t>run_006</ns0:t>
        </ns0:is>
      </ns0:c>
      <ns0:c r="D543" t="inlineStr">
        <ns0:is>
          <ns0:t>humantime</ns0:t>
        </ns0:is>
      </ns0:c>
      <ns0:c r="E543" t="inlineStr">
        <ns0:is>
          <ns0:t>gpt-4.1-mini</ns0:t>
        </ns0:is>
      </ns0:c>
      <ns0:c r="F543" t="inlineStr">
        <ns0:is>
          <ns0:t>E0404</ns0:t>
        </ns0:is>
      </ns0:c>
      <ns0:c r="G543" t="n">
        <ns0:v>0</ns0:v>
      </ns0:c>
      <ns0:c r="H543" t="n">
        <ns0:v>5824</ns0:v>
      </ns0:c>
      <ns0:c r="I543" t="n">
        <ns0:v>1040</ns0:v>
      </ns0:c>
      <ns0:c r="J543" t="n">
        <ns0:v>6864</ns0:v>
      </ns0:c>
      <ns0:c r="K543" t="n">
        <ns0:v>3</ns0:v>
      </ns0:c>
      <ns0:c r="L543" t="n">
        <ns0:v>1</ns0:v>
      </ns0:c>
      <ns0:c r="M543" t="n">
        <ns0:v>305409</ns0:v>
      </ns0:c>
      <ns0:c r="N543" t="n">
        <ns0:v>3176</ns0:v>
      </ns0:c>
      <ns0:c r="O543" t="n">
        <ns0:v>308585</ns0:v>
      </ns0:c>
      <ns0:c r="P543" t="n">
        <ns0:v>20</ns0:v>
      </ns0:c>
      <ns0:c r="Q543">
        <ns0:f>IF(AND(L543=1,O543*Calculations!$B$2&lt;=Calculations!$B$10*Calculations!$B$4),1,0)</ns0:f>
        <ns0:v>0</ns0:v>
      </ns0:c>
      <ns0:c r="R543">
        <ns0:f>IF(AND(L543=1,O543*Calculations!$B$2&lt;=Calculations!$B$11*Calculations!$B$4),1,0)</ns0:f>
        <ns0:v>0</ns0:v>
      </ns0:c>
    </ns0:row>
    <ns0:row r="544">
      <ns0:c r="A544" t="inlineStr">
        <ns0:is>
          <ns0:t>case_0543</ns0:t>
        </ns0:is>
      </ns0:c>
      <ns0:c r="B544" t="inlineStr">
        <ns0:is>
          <ns0:t>function_0095</ns0:t>
        </ns0:is>
      </ns0:c>
      <ns0:c r="C544" t="inlineStr">
        <ns0:is>
          <ns0:t>run_006</ns0:t>
        </ns0:is>
      </ns0:c>
      <ns0:c r="D544" t="inlineStr">
        <ns0:is>
          <ns0:t>humantime</ns0:t>
        </ns0:is>
      </ns0:c>
      <ns0:c r="E544" t="inlineStr">
        <ns0:is>
          <ns0:t>gpt-4.1-mini</ns0:t>
        </ns0:is>
      </ns0:c>
      <ns0:c r="F544" t="inlineStr">
        <ns0:is>
          <ns0:t>E0560</ns0:t>
        </ns0:is>
      </ns0:c>
      <ns0:c r="G544" t="n">
        <ns0:v>1</ns0:v>
      </ns0:c>
      <ns0:c r="H544" t="n">
        <ns0:v>6799</ns0:v>
      </ns0:c>
      <ns0:c r="I544" t="n">
        <ns0:v>405</ns0:v>
      </ns0:c>
      <ns0:c r="J544" t="n">
        <ns0:v>7204</ns0:v>
      </ns0:c>
      <ns0:c r="K544" t="n">
        <ns0:v>4</ns0:v>
      </ns0:c>
      <ns0:c r="L544" t="n">
        <ns0:v>0</ns0:v>
      </ns0:c>
      <ns0:c r="M544" t="n">
        <ns0:v>186250</ns0:v>
      </ns0:c>
      <ns0:c r="N544" t="n">
        <ns0:v>3241</ns0:v>
      </ns0:c>
      <ns0:c r="O544" t="n">
        <ns0:v>189491</ns0:v>
      </ns0:c>
      <ns0:c r="P544" t="n">
        <ns0:v>20</ns0:v>
      </ns0:c>
      <ns0:c r="Q544">
        <ns0:f>IF(AND(L544=1,O544*Calculations!$B$2&lt;=Calculations!$B$10*Calculations!$B$4),1,0)</ns0:f>
        <ns0:v>0</ns0:v>
      </ns0:c>
      <ns0:c r="R544">
        <ns0:f>IF(AND(L544=1,O544*Calculations!$B$2&lt;=Calculations!$B$11*Calculations!$B$4),1,0)</ns0:f>
        <ns0:v>0</ns0:v>
      </ns0:c>
    </ns0:row>
    <ns0:row r="545">
      <ns0:c r="A545" t="inlineStr">
        <ns0:is>
          <ns0:t>case_0544</ns0:t>
        </ns0:is>
      </ns0:c>
      <ns0:c r="B545" t="inlineStr">
        <ns0:is>
          <ns0:t>function_0095</ns0:t>
        </ns0:is>
      </ns0:c>
      <ns0:c r="C545" t="inlineStr">
        <ns0:is>
          <ns0:t>run_006</ns0:t>
        </ns0:is>
      </ns0:c>
      <ns0:c r="D545" t="inlineStr">
        <ns0:is>
          <ns0:t>humantime</ns0:t>
        </ns0:is>
      </ns0:c>
      <ns0:c r="E545" t="inlineStr">
        <ns0:is>
          <ns0:t>gpt-4.1-mini</ns0:t>
        </ns0:is>
      </ns0:c>
      <ns0:c r="F545" t="inlineStr">
        <ns0:is>
          <ns0:t>E0432,E0560</ns0:t>
        </ns0:is>
      </ns0:c>
      <ns0:c r="G545" t="n">
        <ns0:v>0</ns0:v>
      </ns0:c>
      <ns0:c r="H545" t="n">
        <ns0:v>11127</ns0:v>
      </ns0:c>
      <ns0:c r="I545" t="n">
        <ns0:v>600</ns0:v>
      </ns0:c>
      <ns0:c r="J545" t="n">
        <ns0:v>11727</ns0:v>
      </ns0:c>
      <ns0:c r="K545" t="n">
        <ns0:v>6</ns0:v>
      </ns0:c>
      <ns0:c r="L545" t="n">
        <ns0:v>1</ns0:v>
      </ns0:c>
      <ns0:c r="M545" t="n">
        <ns0:v>113381</ns0:v>
      </ns0:c>
      <ns0:c r="N545" t="n">
        <ns0:v>1456</ns0:v>
      </ns0:c>
      <ns0:c r="O545" t="n">
        <ns0:v>114837</ns0:v>
      </ns0:c>
      <ns0:c r="P545" t="n">
        <ns0:v>12</ns0:v>
      </ns0:c>
      <ns0:c r="Q545">
        <ns0:f>IF(AND(L545=1,O545*Calculations!$B$2&lt;=Calculations!$B$10*Calculations!$B$4),1,0)</ns0:f>
        <ns0:v>0</ns0:v>
      </ns0:c>
      <ns0:c r="R545">
        <ns0:f>IF(AND(L545=1,O545*Calculations!$B$2&lt;=Calculations!$B$11*Calculations!$B$4),1,0)</ns0:f>
        <ns0:v>0</ns0:v>
      </ns0:c>
    </ns0:row>
    <ns0:row r="546">
      <ns0:c r="A546" t="inlineStr">
        <ns0:is>
          <ns0:t>case_0545</ns0:t>
        </ns0:is>
      </ns0:c>
      <ns0:c r="B546" t="inlineStr">
        <ns0:is>
          <ns0:t>function_0095</ns0:t>
        </ns0:is>
      </ns0:c>
      <ns0:c r="C546" t="inlineStr">
        <ns0:is>
          <ns0:t>run_006</ns0:t>
        </ns0:is>
      </ns0:c>
      <ns0:c r="D546" t="inlineStr">
        <ns0:is>
          <ns0:t>humantime</ns0:t>
        </ns0:is>
      </ns0:c>
      <ns0:c r="E546" t="inlineStr">
        <ns0:is>
          <ns0:t>gpt-4.1-mini</ns0:t>
        </ns0:is>
      </ns0:c>
      <ns0:c r="F546" t="inlineStr">
        <ns0:is>
          <ns0:t>E0560</ns0:t>
        </ns0:is>
      </ns0:c>
      <ns0:c r="G546" t="n">
        <ns0:v>1</ns0:v>
      </ns0:c>
      <ns0:c r="H546" t="n">
        <ns0:v>1695</ns0:v>
      </ns0:c>
      <ns0:c r="I546" t="n">
        <ns0:v>99</ns0:v>
      </ns0:c>
      <ns0:c r="J546" t="n">
        <ns0:v>1794</ns0:v>
      </ns0:c>
      <ns0:c r="K546" t="n">
        <ns0:v>1</ns0:v>
      </ns0:c>
      <ns0:c r="L546" t="n">
        <ns0:v>1</ns0:v>
      </ns0:c>
      <ns0:c r="M546" t="n">
        <ns0:v>49462</ns0:v>
      </ns0:c>
      <ns0:c r="N546" t="n">
        <ns0:v>476</ns0:v>
      </ns0:c>
      <ns0:c r="O546" t="n">
        <ns0:v>49938</ns0:v>
      </ns0:c>
      <ns0:c r="P546" t="n">
        <ns0:v>4</ns0:v>
      </ns0:c>
      <ns0:c r="Q546">
        <ns0:f>IF(AND(L546=1,O546*Calculations!$B$2&lt;=Calculations!$B$10*Calculations!$B$4),1,0)</ns0:f>
        <ns0:v>0</ns0:v>
      </ns0:c>
      <ns0:c r="R546">
        <ns0:f>IF(AND(L546=1,O546*Calculations!$B$2&lt;=Calculations!$B$11*Calculations!$B$4),1,0)</ns0:f>
        <ns0:v>0</ns0:v>
      </ns0:c>
    </ns0:row>
    <ns0:row r="547">
      <ns0:c r="A547" t="inlineStr">
        <ns0:is>
          <ns0:t>case_0546</ns0:t>
        </ns0:is>
      </ns0:c>
      <ns0:c r="B547" t="inlineStr">
        <ns0:is>
          <ns0:t>function_0095</ns0:t>
        </ns0:is>
      </ns0:c>
      <ns0:c r="C547" t="inlineStr">
        <ns0:is>
          <ns0:t>run_006</ns0:t>
        </ns0:is>
      </ns0:c>
      <ns0:c r="D547" t="inlineStr">
        <ns0:is>
          <ns0:t>humantime</ns0:t>
        </ns0:is>
      </ns0:c>
      <ns0:c r="E547" t="inlineStr">
        <ns0:is>
          <ns0:t>gpt-4.1-mini</ns0:t>
        </ns0:is>
      </ns0:c>
      <ns0:c r="F547" t="inlineStr">
        <ns0:is>
          <ns0:t>E0560</ns0:t>
        </ns0:is>
      </ns0:c>
      <ns0:c r="G547" t="n">
        <ns0:v>1</ns0:v>
      </ns0:c>
      <ns0:c r="H547" t="n">
        <ns0:v>1759</ns0:v>
      </ns0:c>
      <ns0:c r="I547" t="n">
        <ns0:v>93</ns0:v>
      </ns0:c>
      <ns0:c r="J547" t="n">
        <ns0:v>1852</ns0:v>
      </ns0:c>
      <ns0:c r="K547" t="n">
        <ns0:v>1</ns0:v>
      </ns0:c>
      <ns0:c r="L547" t="n">
        <ns0:v>1</ns0:v>
      </ns0:c>
      <ns0:c r="M547" t="n">
        <ns0:v>79607</ns0:v>
      </ns0:c>
      <ns0:c r="N547" t="n">
        <ns0:v>923</ns0:v>
      </ns0:c>
      <ns0:c r="O547" t="n">
        <ns0:v>80530</ns0:v>
      </ns0:c>
      <ns0:c r="P547" t="n">
        <ns0:v>6</ns0:v>
      </ns0:c>
      <ns0:c r="Q547">
        <ns0:f>IF(AND(L547=1,O547*Calculations!$B$2&lt;=Calculations!$B$10*Calculations!$B$4),1,0)</ns0:f>
        <ns0:v>0</ns0:v>
      </ns0:c>
      <ns0:c r="R547">
        <ns0:f>IF(AND(L547=1,O547*Calculations!$B$2&lt;=Calculations!$B$11*Calculations!$B$4),1,0)</ns0:f>
        <ns0:v>0</ns0:v>
      </ns0:c>
    </ns0:row>
    <ns0:row r="548">
      <ns0:c r="A548" t="inlineStr">
        <ns0:is>
          <ns0:t>case_0547</ns0:t>
        </ns0:is>
      </ns0:c>
      <ns0:c r="B548" t="inlineStr">
        <ns0:is>
          <ns0:t>function_0095</ns0:t>
        </ns0:is>
      </ns0:c>
      <ns0:c r="C548" t="inlineStr">
        <ns0:is>
          <ns0:t>run_006</ns0:t>
        </ns0:is>
      </ns0:c>
      <ns0:c r="D548" t="inlineStr">
        <ns0:is>
          <ns0:t>humantime</ns0:t>
        </ns0:is>
      </ns0:c>
      <ns0:c r="E548" t="inlineStr">
        <ns0:is>
          <ns0:t>gpt-4.1-mini</ns0:t>
        </ns0:is>
      </ns0:c>
      <ns0:c r="F548" t="inlineStr">
        <ns0:is>
          <ns0:t>E0432,E0599</ns0:t>
        </ns0:is>
      </ns0:c>
      <ns0:c r="G548" t="n">
        <ns0:v>0</ns0:v>
      </ns0:c>
      <ns0:c r="H548" t="n">
        <ns0:v>6789</ns0:v>
      </ns0:c>
      <ns0:c r="I548" t="n">
        <ns0:v>726</ns0:v>
      </ns0:c>
      <ns0:c r="J548" t="n">
        <ns0:v>7515</ns0:v>
      </ns0:c>
      <ns0:c r="K548" t="n">
        <ns0:v>3</ns0:v>
      </ns0:c>
      <ns0:c r="L548" t="n">
        <ns0:v>1</ns0:v>
      </ns0:c>
      <ns0:c r="M548" t="n">
        <ns0:v>31310</ns0:v>
      </ns0:c>
      <ns0:c r="N548" t="n">
        <ns0:v>1396</ns0:v>
      </ns0:c>
      <ns0:c r="O548" t="n">
        <ns0:v>32706</ns0:v>
      </ns0:c>
      <ns0:c r="P548" t="n">
        <ns0:v>4</ns0:v>
      </ns0:c>
      <ns0:c r="Q548">
        <ns0:f>IF(AND(L548=1,O548*Calculations!$B$2&lt;=Calculations!$B$10*Calculations!$B$4),1,0)</ns0:f>
        <ns0:v>0</ns0:v>
      </ns0:c>
      <ns0:c r="R548">
        <ns0:f>IF(AND(L548=1,O548*Calculations!$B$2&lt;=Calculations!$B$11*Calculations!$B$4),1,0)</ns0:f>
        <ns0:v>1</ns0:v>
      </ns0:c>
    </ns0:row>
    <ns0:row r="549">
      <ns0:c r="A549" t="inlineStr">
        <ns0:is>
          <ns0:t>case_0548</ns0:t>
        </ns0:is>
      </ns0:c>
      <ns0:c r="B549" t="inlineStr">
        <ns0:is>
          <ns0:t>function_0095</ns0:t>
        </ns0:is>
      </ns0:c>
      <ns0:c r="C549" t="inlineStr">
        <ns0:is>
          <ns0:t>run_006</ns0:t>
        </ns0:is>
      </ns0:c>
      <ns0:c r="D549" t="inlineStr">
        <ns0:is>
          <ns0:t>humantime</ns0:t>
        </ns0:is>
      </ns0:c>
      <ns0:c r="E549" t="inlineStr">
        <ns0:is>
          <ns0:t>gpt-4.1-mini</ns0:t>
        </ns0:is>
      </ns0:c>
      <ns0:c r="F549" t="inlineStr">
        <ns0:is>
          <ns0:t>E0560</ns0:t>
        </ns0:is>
      </ns0:c>
      <ns0:c r="G549" t="n">
        <ns0:v>1</ns0:v>
      </ns0:c>
      <ns0:c r="H549" t="n">
        <ns0:v>2257</ns0:v>
      </ns0:c>
      <ns0:c r="I549" t="n">
        <ns0:v>368</ns0:v>
      </ns0:c>
      <ns0:c r="J549" t="n">
        <ns0:v>2625</ns0:v>
      </ns0:c>
      <ns0:c r="K549" t="n">
        <ns0:v>1</ns0:v>
      </ns0:c>
      <ns0:c r="L549" t="n">
        <ns0:v>1</ns0:v>
      </ns0:c>
      <ns0:c r="M549" t="n">
        <ns0:v>56912</ns0:v>
      </ns0:c>
      <ns0:c r="N549" t="n">
        <ns0:v>449</ns0:v>
      </ns0:c>
      <ns0:c r="O549" t="n">
        <ns0:v>57361</ns0:v>
      </ns0:c>
      <ns0:c r="P549" t="n">
        <ns0:v>4</ns0:v>
      </ns0:c>
      <ns0:c r="Q549">
        <ns0:f>IF(AND(L549=1,O549*Calculations!$B$2&lt;=Calculations!$B$10*Calculations!$B$4),1,0)</ns0:f>
        <ns0:v>0</ns0:v>
      </ns0:c>
      <ns0:c r="R549">
        <ns0:f>IF(AND(L549=1,O549*Calculations!$B$2&lt;=Calculations!$B$11*Calculations!$B$4),1,0)</ns0:f>
        <ns0:v>0</ns0:v>
      </ns0:c>
    </ns0:row>
    <ns0:row r="550">
      <ns0:c r="A550" t="inlineStr">
        <ns0:is>
          <ns0:t>case_0549</ns0:t>
        </ns0:is>
      </ns0:c>
      <ns0:c r="B550" t="inlineStr">
        <ns0:is>
          <ns0:t>function_0095</ns0:t>
        </ns0:is>
      </ns0:c>
      <ns0:c r="C550" t="inlineStr">
        <ns0:is>
          <ns0:t>run_006</ns0:t>
        </ns0:is>
      </ns0:c>
      <ns0:c r="D550" t="inlineStr">
        <ns0:is>
          <ns0:t>humantime</ns0:t>
        </ns0:is>
      </ns0:c>
      <ns0:c r="E550" t="inlineStr">
        <ns0:is>
          <ns0:t>gpt-4.1-mini</ns0:t>
        </ns0:is>
      </ns0:c>
      <ns0:c r="F550" t="inlineStr">
        <ns0:is>
          <ns0:t>E0560</ns0:t>
        </ns0:is>
      </ns0:c>
      <ns0:c r="G550" t="n">
        <ns0:v>1</ns0:v>
      </ns0:c>
      <ns0:c r="H550" t="n">
        <ns0:v>5327</ns0:v>
      </ns0:c>
      <ns0:c r="I550" t="n">
        <ns0:v>304</ns0:v>
      </ns0:c>
      <ns0:c r="J550" t="n">
        <ns0:v>5631</ns0:v>
      </ns0:c>
      <ns0:c r="K550" t="n">
        <ns0:v>3</ns0:v>
      </ns0:c>
      <ns0:c r="L550" t="n">
        <ns0:v>1</ns0:v>
      </ns0:c>
      <ns0:c r="M550" t="n">
        <ns0:v>53059</ns0:v>
      </ns0:c>
      <ns0:c r="N550" t="n">
        <ns0:v>350</ns0:v>
      </ns0:c>
      <ns0:c r="O550" t="n">
        <ns0:v>53409</ns0:v>
      </ns0:c>
      <ns0:c r="P550" t="n">
        <ns0:v>4</ns0:v>
      </ns0:c>
      <ns0:c r="Q550">
        <ns0:f>IF(AND(L550=1,O550*Calculations!$B$2&lt;=Calculations!$B$10*Calculations!$B$4),1,0)</ns0:f>
        <ns0:v>0</ns0:v>
      </ns0:c>
      <ns0:c r="R550">
        <ns0:f>IF(AND(L550=1,O550*Calculations!$B$2&lt;=Calculations!$B$11*Calculations!$B$4),1,0)</ns0:f>
        <ns0:v>0</ns0:v>
      </ns0:c>
    </ns0:row>
    <ns0:row r="551">
      <ns0:c r="A551" t="inlineStr">
        <ns0:is>
          <ns0:t>case_0550</ns0:t>
        </ns0:is>
      </ns0:c>
      <ns0:c r="B551" t="inlineStr">
        <ns0:is>
          <ns0:t>function_0096</ns0:t>
        </ns0:is>
      </ns0:c>
      <ns0:c r="C551" t="inlineStr">
        <ns0:is>
          <ns0:t>run_006</ns0:t>
        </ns0:is>
      </ns0:c>
      <ns0:c r="D551" t="inlineStr">
        <ns0:is>
          <ns0:t>humantime</ns0:t>
        </ns0:is>
      </ns0:c>
      <ns0:c r="E551" t="inlineStr">
        <ns0:is>
          <ns0:t>gpt-4.1-mini</ns0:t>
        </ns0:is>
      </ns0:c>
      <ns0:c r="F551" t="inlineStr">
        <ns0:is>
          <ns0:t>E0034</ns0:t>
        </ns0:is>
      </ns0:c>
      <ns0:c r="G551" t="n">
        <ns0:v>0</ns0:v>
      </ns0:c>
      <ns0:c r="H551" t="n">
        <ns0:v>9237</ns0:v>
      </ns0:c>
      <ns0:c r="I551" t="n">
        <ns0:v>563</ns0:v>
      </ns0:c>
      <ns0:c r="J551" t="n">
        <ns0:v>9800</ns0:v>
      </ns0:c>
      <ns0:c r="K551" t="n">
        <ns0:v>3</ns0:v>
      </ns0:c>
      <ns0:c r="L551" t="n">
        <ns0:v>0</ns0:v>
      </ns0:c>
      <ns0:c r="M551" t="n">
        <ns0:v>515855</ns0:v>
      </ns0:c>
      <ns0:c r="N551" t="n">
        <ns0:v>16675</ns0:v>
      </ns0:c>
      <ns0:c r="O551" t="n">
        <ns0:v>532530</ns0:v>
      </ns0:c>
      <ns0:c r="P551" t="n">
        <ns0:v>22</ns0:v>
      </ns0:c>
      <ns0:c r="Q551">
        <ns0:f>IF(AND(L551=1,O551*Calculations!$B$2&lt;=Calculations!$B$10*Calculations!$B$4),1,0)</ns0:f>
        <ns0:v>0</ns0:v>
      </ns0:c>
      <ns0:c r="R551">
        <ns0:f>IF(AND(L551=1,O551*Calculations!$B$2&lt;=Calculations!$B$11*Calculations!$B$4),1,0)</ns0:f>
        <ns0:v>0</ns0:v>
      </ns0:c>
    </ns0:row>
    <ns0:row r="552">
      <ns0:c r="A552" t="inlineStr">
        <ns0:is>
          <ns0:t>case_0551</ns0:t>
        </ns0:is>
      </ns0:c>
      <ns0:c r="B552" t="inlineStr">
        <ns0:is>
          <ns0:t>function_0096</ns0:t>
        </ns0:is>
      </ns0:c>
      <ns0:c r="C552" t="inlineStr">
        <ns0:is>
          <ns0:t>run_006</ns0:t>
        </ns0:is>
      </ns0:c>
      <ns0:c r="D552" t="inlineStr">
        <ns0:is>
          <ns0:t>humantime</ns0:t>
        </ns0:is>
      </ns0:c>
      <ns0:c r="E552" t="inlineStr">
        <ns0:is>
          <ns0:t>gpt-4.1-mini</ns0:t>
        </ns0:is>
      </ns0:c>
      <ns0:c r="F552" t="inlineStr">
        <ns0:is>
          <ns0:t>E0063,E0432,E0433</ns0:t>
        </ns0:is>
      </ns0:c>
      <ns0:c r="G552" t="n">
        <ns0:v>0</ns0:v>
      </ns0:c>
      <ns0:c r="H552" t="n">
        <ns0:v>6044</ns0:v>
      </ns0:c>
      <ns0:c r="I552" t="n">
        <ns0:v>504</ns0:v>
      </ns0:c>
      <ns0:c r="J552" t="n">
        <ns0:v>6548</ns0:v>
      </ns0:c>
      <ns0:c r="K552" t="n">
        <ns0:v>3</ns0:v>
      </ns0:c>
      <ns0:c r="L552" t="n">
        <ns0:v>1</ns0:v>
      </ns0:c>
      <ns0:c r="M552" t="n">
        <ns0:v>68491</ns0:v>
      </ns0:c>
      <ns0:c r="N552" t="n">
        <ns0:v>1269</ns0:v>
      </ns0:c>
      <ns0:c r="O552" t="n">
        <ns0:v>69760</ns0:v>
      </ns0:c>
      <ns0:c r="P552" t="n">
        <ns0:v>8</ns0:v>
      </ns0:c>
      <ns0:c r="Q552">
        <ns0:f>IF(AND(L552=1,O552*Calculations!$B$2&lt;=Calculations!$B$10*Calculations!$B$4),1,0)</ns0:f>
        <ns0:v>0</ns0:v>
      </ns0:c>
      <ns0:c r="R552">
        <ns0:f>IF(AND(L552=1,O552*Calculations!$B$2&lt;=Calculations!$B$11*Calculations!$B$4),1,0)</ns0:f>
        <ns0:v>0</ns0:v>
      </ns0:c>
    </ns0:row>
    <ns0:row r="553">
      <ns0:c r="A553" t="inlineStr">
        <ns0:is>
          <ns0:t>case_0552</ns0:t>
        </ns0:is>
      </ns0:c>
      <ns0:c r="B553" t="inlineStr">
        <ns0:is>
          <ns0:t>function_0096</ns0:t>
        </ns0:is>
      </ns0:c>
      <ns0:c r="C553" t="inlineStr">
        <ns0:is>
          <ns0:t>run_006</ns0:t>
        </ns0:is>
      </ns0:c>
      <ns0:c r="D553" t="inlineStr">
        <ns0:is>
          <ns0:t>humantime</ns0:t>
        </ns0:is>
      </ns0:c>
      <ns0:c r="E553" t="inlineStr">
        <ns0:is>
          <ns0:t>gpt-4.1-mini</ns0:t>
        </ns0:is>
      </ns0:c>
      <ns0:c r="F553" t="inlineStr">
        <ns0:is>
          <ns0:t>E0432,E0433,E0560</ns0:t>
        </ns0:is>
      </ns0:c>
      <ns0:c r="G553" t="n">
        <ns0:v>0</ns0:v>
      </ns0:c>
      <ns0:c r="H553" t="n">
        <ns0:v>6332</ns0:v>
      </ns0:c>
      <ns0:c r="I553" t="n">
        <ns0:v>567</ns0:v>
      </ns0:c>
      <ns0:c r="J553" t="n">
        <ns0:v>6899</ns0:v>
      </ns0:c>
      <ns0:c r="K553" t="n">
        <ns0:v>3</ns0:v>
      </ns0:c>
      <ns0:c r="L553" t="n">
        <ns0:v>1</ns0:v>
      </ns0:c>
      <ns0:c r="M553" t="n">
        <ns0:v>46304</ns0:v>
      </ns0:c>
      <ns0:c r="N553" t="n">
        <ns0:v>894</ns0:v>
      </ns0:c>
      <ns0:c r="O553" t="n">
        <ns0:v>47198</ns0:v>
      </ns0:c>
      <ns0:c r="P553" t="n">
        <ns0:v>6</ns0:v>
      </ns0:c>
      <ns0:c r="Q553">
        <ns0:f>IF(AND(L553=1,O553*Calculations!$B$2&lt;=Calculations!$B$10*Calculations!$B$4),1,0)</ns0:f>
        <ns0:v>0</ns0:v>
      </ns0:c>
      <ns0:c r="R553">
        <ns0:f>IF(AND(L553=1,O553*Calculations!$B$2&lt;=Calculations!$B$11*Calculations!$B$4),1,0)</ns0:f>
        <ns0:v>0</ns0:v>
      </ns0:c>
    </ns0:row>
    <ns0:row r="554">
      <ns0:c r="A554" t="inlineStr">
        <ns0:is>
          <ns0:t>case_0553</ns0:t>
        </ns0:is>
      </ns0:c>
      <ns0:c r="B554" t="inlineStr">
        <ns0:is>
          <ns0:t>function_0096</ns0:t>
        </ns0:is>
      </ns0:c>
      <ns0:c r="C554" t="inlineStr">
        <ns0:is>
          <ns0:t>run_006</ns0:t>
        </ns0:is>
      </ns0:c>
      <ns0:c r="D554" t="inlineStr">
        <ns0:is>
          <ns0:t>humantime</ns0:t>
        </ns0:is>
      </ns0:c>
      <ns0:c r="E554" t="inlineStr">
        <ns0:is>
          <ns0:t>gpt-4.1-mini</ns0:t>
        </ns0:is>
      </ns0:c>
      <ns0:c r="F554" t="inlineStr">
        <ns0:is>
          <ns0:t>E0063,E0432</ns0:t>
        </ns0:is>
      </ns0:c>
      <ns0:c r="G554" t="n">
        <ns0:v>0</ns0:v>
      </ns0:c>
      <ns0:c r="H554" t="n">
        <ns0:v>6002</ns0:v>
      </ns0:c>
      <ns0:c r="I554" t="n">
        <ns0:v>507</ns0:v>
      </ns0:c>
      <ns0:c r="J554" t="n">
        <ns0:v>6509</ns0:v>
      </ns0:c>
      <ns0:c r="K554" t="n">
        <ns0:v>3</ns0:v>
      </ns0:c>
      <ns0:c r="L554" t="n">
        <ns0:v>1</ns0:v>
      </ns0:c>
      <ns0:c r="M554" t="n">
        <ns0:v>29245</ns0:v>
      </ns0:c>
      <ns0:c r="N554" t="n">
        <ns0:v>313</ns0:v>
      </ns0:c>
      <ns0:c r="O554" t="n">
        <ns0:v>29558</ns0:v>
      </ns0:c>
      <ns0:c r="P554" t="n">
        <ns0:v>4</ns0:v>
      </ns0:c>
      <ns0:c r="Q554">
        <ns0:f>IF(AND(L554=1,O554*Calculations!$B$2&lt;=Calculations!$B$10*Calculations!$B$4),1,0)</ns0:f>
        <ns0:v>0</ns0:v>
      </ns0:c>
      <ns0:c r="R554">
        <ns0:f>IF(AND(L554=1,O554*Calculations!$B$2&lt;=Calculations!$B$11*Calculations!$B$4),1,0)</ns0:f>
        <ns0:v>1</ns0:v>
      </ns0:c>
    </ns0:row>
    <ns0:row r="555">
      <ns0:c r="A555" t="inlineStr">
        <ns0:is>
          <ns0:t>case_0554</ns0:t>
        </ns0:is>
      </ns0:c>
      <ns0:c r="B555" t="inlineStr">
        <ns0:is>
          <ns0:t>function_0096</ns0:t>
        </ns0:is>
      </ns0:c>
      <ns0:c r="C555" t="inlineStr">
        <ns0:is>
          <ns0:t>run_006</ns0:t>
        </ns0:is>
      </ns0:c>
      <ns0:c r="D555" t="inlineStr">
        <ns0:is>
          <ns0:t>humantime</ns0:t>
        </ns0:is>
      </ns0:c>
      <ns0:c r="E555" t="inlineStr">
        <ns0:is>
          <ns0:t>gpt-4.1-mini</ns0:t>
        </ns0:is>
      </ns0:c>
      <ns0:c r="F555" t="inlineStr">
        <ns0:is>
          <ns0:t>E0560</ns0:t>
        </ns0:is>
      </ns0:c>
      <ns0:c r="G555" t="n">
        <ns0:v>1</ns0:v>
      </ns0:c>
      <ns0:c r="H555" t="n">
        <ns0:v>1898</ns0:v>
      </ns0:c>
      <ns0:c r="I555" t="n">
        <ns0:v>169</ns0:v>
      </ns0:c>
      <ns0:c r="J555" t="n">
        <ns0:v>2067</ns0:v>
      </ns0:c>
      <ns0:c r="K555" t="n">
        <ns0:v>1</ns0:v>
      </ns0:c>
      <ns0:c r="L555" t="n">
        <ns0:v>1</ns0:v>
      </ns0:c>
      <ns0:c r="M555" t="n">
        <ns0:v>50221</ns0:v>
      </ns0:c>
      <ns0:c r="N555" t="n">
        <ns0:v>308</ns0:v>
      </ns0:c>
      <ns0:c r="O555" t="n">
        <ns0:v>50529</ns0:v>
      </ns0:c>
      <ns0:c r="P555" t="n">
        <ns0:v>4</ns0:v>
      </ns0:c>
      <ns0:c r="Q555">
        <ns0:f>IF(AND(L555=1,O555*Calculations!$B$2&lt;=Calculations!$B$10*Calculations!$B$4),1,0)</ns0:f>
        <ns0:v>0</ns0:v>
      </ns0:c>
      <ns0:c r="R555">
        <ns0:f>IF(AND(L555=1,O555*Calculations!$B$2&lt;=Calculations!$B$11*Calculations!$B$4),1,0)</ns0:f>
        <ns0:v>0</ns0:v>
      </ns0:c>
    </ns0:row>
    <ns0:row r="556">
      <ns0:c r="A556" t="inlineStr">
        <ns0:is>
          <ns0:t>case_0555</ns0:t>
        </ns0:is>
      </ns0:c>
      <ns0:c r="B556" t="inlineStr">
        <ns0:is>
          <ns0:t>function_0096</ns0:t>
        </ns0:is>
      </ns0:c>
      <ns0:c r="C556" t="inlineStr">
        <ns0:is>
          <ns0:t>run_006</ns0:t>
        </ns0:is>
      </ns0:c>
      <ns0:c r="D556" t="inlineStr">
        <ns0:is>
          <ns0:t>humantime</ns0:t>
        </ns0:is>
      </ns0:c>
      <ns0:c r="E556" t="inlineStr">
        <ns0:is>
          <ns0:t>gpt-4.1-mini</ns0:t>
        </ns0:is>
      </ns0:c>
      <ns0:c r="F556" t="inlineStr">
        <ns0:is>
          <ns0:t>E0063</ns0:t>
        </ns0:is>
      </ns0:c>
      <ns0:c r="G556" t="n">
        <ns0:v>1</ns0:v>
      </ns0:c>
      <ns0:c r="H556" t="n">
        <ns0:v>5602</ns0:v>
      </ns0:c>
      <ns0:c r="I556" t="n">
        <ns0:v>588</ns0:v>
      </ns0:c>
      <ns0:c r="J556" t="n">
        <ns0:v>6190</ns0:v>
      </ns0:c>
      <ns0:c r="K556" t="n">
        <ns0:v>3</ns0:v>
      </ns0:c>
      <ns0:c r="L556" t="n">
        <ns0:v>1</ns0:v>
      </ns0:c>
      <ns0:c r="M556" t="n">
        <ns0:v>51815</ns0:v>
      </ns0:c>
      <ns0:c r="N556" t="n">
        <ns0:v>637</ns0:v>
      </ns0:c>
      <ns0:c r="O556" t="n">
        <ns0:v>52452</ns0:v>
      </ns0:c>
      <ns0:c r="P556" t="n">
        <ns0:v>6</ns0:v>
      </ns0:c>
      <ns0:c r="Q556">
        <ns0:f>IF(AND(L556=1,O556*Calculations!$B$2&lt;=Calculations!$B$10*Calculations!$B$4),1,0)</ns0:f>
        <ns0:v>0</ns0:v>
      </ns0:c>
      <ns0:c r="R556">
        <ns0:f>IF(AND(L556=1,O556*Calculations!$B$2&lt;=Calculations!$B$11*Calculations!$B$4),1,0)</ns0:f>
        <ns0:v>0</ns0:v>
      </ns0:c>
    </ns0:row>
    <ns0:row r="557">
      <ns0:c r="A557" t="inlineStr">
        <ns0:is>
          <ns0:t>case_0556</ns0:t>
        </ns0:is>
      </ns0:c>
      <ns0:c r="B557" t="inlineStr">
        <ns0:is>
          <ns0:t>function_0096</ns0:t>
        </ns0:is>
      </ns0:c>
      <ns0:c r="C557" t="inlineStr">
        <ns0:is>
          <ns0:t>run_006</ns0:t>
        </ns0:is>
      </ns0:c>
      <ns0:c r="D557" t="inlineStr">
        <ns0:is>
          <ns0:t>humantime</ns0:t>
        </ns0:is>
      </ns0:c>
      <ns0:c r="E557" t="inlineStr">
        <ns0:is>
          <ns0:t>gpt-4.1-mini</ns0:t>
        </ns0:is>
      </ns0:c>
      <ns0:c r="F557" t="inlineStr">
        <ns0:is>
          <ns0:t>E0433</ns0:t>
        </ns0:is>
      </ns0:c>
      <ns0:c r="G557" t="n">
        <ns0:v>1</ns0:v>
      </ns0:c>
      <ns0:c r="H557" t="n">
        <ns0:v>2908</ns0:v>
      </ns0:c>
      <ns0:c r="I557" t="n">
        <ns0:v>148</ns0:v>
      </ns0:c>
      <ns0:c r="J557" t="n">
        <ns0:v>3056</ns0:v>
      </ns0:c>
      <ns0:c r="K557" t="n">
        <ns0:v>1</ns0:v>
      </ns0:c>
      <ns0:c r="L557" t="n">
        <ns0:v>1</ns0:v>
      </ns0:c>
      <ns0:c r="M557" t="n">
        <ns0:v>86267</ns0:v>
      </ns0:c>
      <ns0:c r="N557" t="n">
        <ns0:v>1140</ns0:v>
      </ns0:c>
      <ns0:c r="O557" t="n">
        <ns0:v>87407</ns0:v>
      </ns0:c>
      <ns0:c r="P557" t="n">
        <ns0:v>8</ns0:v>
      </ns0:c>
      <ns0:c r="Q557">
        <ns0:f>IF(AND(L557=1,O557*Calculations!$B$2&lt;=Calculations!$B$10*Calculations!$B$4),1,0)</ns0:f>
        <ns0:v>0</ns0:v>
      </ns0:c>
      <ns0:c r="R557">
        <ns0:f>IF(AND(L557=1,O557*Calculations!$B$2&lt;=Calculations!$B$11*Calculations!$B$4),1,0)</ns0:f>
        <ns0:v>0</ns0:v>
      </ns0:c>
    </ns0:row>
    <ns0:row r="558">
      <ns0:c r="A558" t="inlineStr">
        <ns0:is>
          <ns0:t>case_0557</ns0:t>
        </ns0:is>
      </ns0:c>
      <ns0:c r="B558" t="inlineStr">
        <ns0:is>
          <ns0:t>function_0096</ns0:t>
        </ns0:is>
      </ns0:c>
      <ns0:c r="C558" t="inlineStr">
        <ns0:is>
          <ns0:t>run_006</ns0:t>
        </ns0:is>
      </ns0:c>
      <ns0:c r="D558" t="inlineStr">
        <ns0:is>
          <ns0:t>humantime</ns0:t>
        </ns0:is>
      </ns0:c>
      <ns0:c r="E558" t="inlineStr">
        <ns0:is>
          <ns0:t>gpt-4.1-mini</ns0:t>
        </ns0:is>
      </ns0:c>
      <ns0:c r="F558" t="inlineStr">
        <ns0:is>
          <ns0:t>E0433</ns0:t>
        </ns0:is>
      </ns0:c>
      <ns0:c r="G558" t="n">
        <ns0:v>1</ns0:v>
      </ns0:c>
      <ns0:c r="H558" t="n">
        <ns0:v>2411</ns0:v>
      </ns0:c>
      <ns0:c r="I558" t="n">
        <ns0:v>177</ns0:v>
      </ns0:c>
      <ns0:c r="J558" t="n">
        <ns0:v>2588</ns0:v>
      </ns0:c>
      <ns0:c r="K558" t="n">
        <ns0:v>1</ns0:v>
      </ns0:c>
      <ns0:c r="L558" t="n">
        <ns0:v>1</ns0:v>
      </ns0:c>
      <ns0:c r="M558" t="n">
        <ns0:v>67926</ns0:v>
      </ns0:c>
      <ns0:c r="N558" t="n">
        <ns0:v>1089</ns0:v>
      </ns0:c>
      <ns0:c r="O558" t="n">
        <ns0:v>69015</ns0:v>
      </ns0:c>
      <ns0:c r="P558" t="n">
        <ns0:v>6</ns0:v>
      </ns0:c>
      <ns0:c r="Q558">
        <ns0:f>IF(AND(L558=1,O558*Calculations!$B$2&lt;=Calculations!$B$10*Calculations!$B$4),1,0)</ns0:f>
        <ns0:v>0</ns0:v>
      </ns0:c>
      <ns0:c r="R558">
        <ns0:f>IF(AND(L558=1,O558*Calculations!$B$2&lt;=Calculations!$B$11*Calculations!$B$4),1,0)</ns0:f>
        <ns0:v>0</ns0:v>
      </ns0:c>
    </ns0:row>
    <ns0:row r="559">
      <ns0:c r="A559" t="inlineStr">
        <ns0:is>
          <ns0:t>case_0558</ns0:t>
        </ns0:is>
      </ns0:c>
      <ns0:c r="B559" t="inlineStr">
        <ns0:is>
          <ns0:t>function_0096</ns0:t>
        </ns0:is>
      </ns0:c>
      <ns0:c r="C559" t="inlineStr">
        <ns0:is>
          <ns0:t>run_006</ns0:t>
        </ns0:is>
      </ns0:c>
      <ns0:c r="D559" t="inlineStr">
        <ns0:is>
          <ns0:t>humantime</ns0:t>
        </ns0:is>
      </ns0:c>
      <ns0:c r="E559" t="inlineStr">
        <ns0:is>
          <ns0:t>gpt-4.1-mini</ns0:t>
        </ns0:is>
      </ns0:c>
      <ns0:c r="F559" t="inlineStr">
        <ns0:is>
          <ns0:t>E0433</ns0:t>
        </ns0:is>
      </ns0:c>
      <ns0:c r="G559" t="n">
        <ns0:v>1</ns0:v>
      </ns0:c>
      <ns0:c r="H559" t="n">
        <ns0:v>2597</ns0:v>
      </ns0:c>
      <ns0:c r="I559" t="n">
        <ns0:v>177</ns0:v>
      </ns0:c>
      <ns0:c r="J559" t="n">
        <ns0:v>2774</ns0:v>
      </ns0:c>
      <ns0:c r="K559" t="n">
        <ns0:v>1</ns0:v>
      </ns0:c>
      <ns0:c r="L559" t="n">
        <ns0:v>1</ns0:v>
      </ns0:c>
      <ns0:c r="M559" t="n">
        <ns0:v>65300</ns0:v>
      </ns0:c>
      <ns0:c r="N559" t="n">
        <ns0:v>697</ns0:v>
      </ns0:c>
      <ns0:c r="O559" t="n">
        <ns0:v>65997</ns0:v>
      </ns0:c>
      <ns0:c r="P559" t="n">
        <ns0:v>8</ns0:v>
      </ns0:c>
      <ns0:c r="Q559">
        <ns0:f>IF(AND(L559=1,O559*Calculations!$B$2&lt;=Calculations!$B$10*Calculations!$B$4),1,0)</ns0:f>
        <ns0:v>0</ns0:v>
      </ns0:c>
      <ns0:c r="R559">
        <ns0:f>IF(AND(L559=1,O559*Calculations!$B$2&lt;=Calculations!$B$11*Calculations!$B$4),1,0)</ns0:f>
        <ns0:v>0</ns0:v>
      </ns0:c>
    </ns0:row>
    <ns0:row r="560">
      <ns0:c r="A560" t="inlineStr">
        <ns0:is>
          <ns0:t>case_0559</ns0:t>
        </ns0:is>
      </ns0:c>
      <ns0:c r="B560" t="inlineStr">
        <ns0:is>
          <ns0:t>function_0096</ns0:t>
        </ns0:is>
      </ns0:c>
      <ns0:c r="C560" t="inlineStr">
        <ns0:is>
          <ns0:t>run_006</ns0:t>
        </ns0:is>
      </ns0:c>
      <ns0:c r="D560" t="inlineStr">
        <ns0:is>
          <ns0:t>humantime</ns0:t>
        </ns0:is>
      </ns0:c>
      <ns0:c r="E560" t="inlineStr">
        <ns0:is>
          <ns0:t>gpt-4.1-mini</ns0:t>
        </ns0:is>
      </ns0:c>
      <ns0:c r="F560" t="inlineStr">
        <ns0:is>
          <ns0:t>E0433,E0560</ns0:t>
        </ns0:is>
      </ns0:c>
      <ns0:c r="G560" t="n">
        <ns0:v>0</ns0:v>
      </ns0:c>
      <ns0:c r="H560" t="n">
        <ns0:v>6104</ns0:v>
      </ns0:c>
      <ns0:c r="I560" t="n">
        <ns0:v>450</ns0:v>
      </ns0:c>
      <ns0:c r="J560" t="n">
        <ns0:v>6554</ns0:v>
      </ns0:c>
      <ns0:c r="K560" t="n">
        <ns0:v>3</ns0:v>
      </ns0:c>
      <ns0:c r="L560" t="n">
        <ns0:v>1</ns0:v>
      </ns0:c>
      <ns0:c r="M560" t="n">
        <ns0:v>65789</ns0:v>
      </ns0:c>
      <ns0:c r="N560" t="n">
        <ns0:v>1289</ns0:v>
      </ns0:c>
      <ns0:c r="O560" t="n">
        <ns0:v>67078</ns0:v>
      </ns0:c>
      <ns0:c r="P560" t="n">
        <ns0:v>6</ns0:v>
      </ns0:c>
      <ns0:c r="Q560">
        <ns0:f>IF(AND(L560=1,O560*Calculations!$B$2&lt;=Calculations!$B$10*Calculations!$B$4),1,0)</ns0:f>
        <ns0:v>0</ns0:v>
      </ns0:c>
      <ns0:c r="R560">
        <ns0:f>IF(AND(L560=1,O560*Calculations!$B$2&lt;=Calculations!$B$11*Calculations!$B$4),1,0)</ns0:f>
        <ns0:v>0</ns0:v>
      </ns0:c>
    </ns0:row>
    <ns0:row r="561">
      <ns0:c r="A561" t="inlineStr">
        <ns0:is>
          <ns0:t>case_0560</ns0:t>
        </ns0:is>
      </ns0:c>
      <ns0:c r="B561" t="inlineStr">
        <ns0:is>
          <ns0:t>function_0096</ns0:t>
        </ns0:is>
      </ns0:c>
      <ns0:c r="C561" t="inlineStr">
        <ns0:is>
          <ns0:t>run_006</ns0:t>
        </ns0:is>
      </ns0:c>
      <ns0:c r="D561" t="inlineStr">
        <ns0:is>
          <ns0:t>humantime</ns0:t>
        </ns0:is>
      </ns0:c>
      <ns0:c r="E561" t="inlineStr">
        <ns0:is>
          <ns0:t>gpt-4.1-mini</ns0:t>
        </ns0:is>
      </ns0:c>
      <ns0:c r="F561" t="inlineStr">
        <ns0:is>
          <ns0:t>E0063,E0433</ns0:t>
        </ns0:is>
      </ns0:c>
      <ns0:c r="G561" t="n">
        <ns0:v>0</ns0:v>
      </ns0:c>
      <ns0:c r="H561" t="n">
        <ns0:v>6375</ns0:v>
      </ns0:c>
      <ns0:c r="I561" t="n">
        <ns0:v>546</ns0:v>
      </ns0:c>
      <ns0:c r="J561" t="n">
        <ns0:v>6921</ns0:v>
      </ns0:c>
      <ns0:c r="K561" t="n">
        <ns0:v>3</ns0:v>
      </ns0:c>
      <ns0:c r="L561" t="n">
        <ns0:v>1</ns0:v>
      </ns0:c>
      <ns0:c r="M561" t="n">
        <ns0:v>54100</ns0:v>
      </ns0:c>
      <ns0:c r="N561" t="n">
        <ns0:v>790</ns0:v>
      </ns0:c>
      <ns0:c r="O561" t="n">
        <ns0:v>54890</ns0:v>
      </ns0:c>
      <ns0:c r="P561" t="n">
        <ns0:v>7</ns0:v>
      </ns0:c>
      <ns0:c r="Q561">
        <ns0:f>IF(AND(L561=1,O561*Calculations!$B$2&lt;=Calculations!$B$10*Calculations!$B$4),1,0)</ns0:f>
        <ns0:v>0</ns0:v>
      </ns0:c>
      <ns0:c r="R561">
        <ns0:f>IF(AND(L561=1,O561*Calculations!$B$2&lt;=Calculations!$B$11*Calculations!$B$4),1,0)</ns0:f>
        <ns0:v>0</ns0:v>
      </ns0:c>
    </ns0:row>
    <ns0:row r="562">
      <ns0:c r="A562" t="inlineStr">
        <ns0:is>
          <ns0:t>case_0561</ns0:t>
        </ns0:is>
      </ns0:c>
      <ns0:c r="B562" t="inlineStr">
        <ns0:is>
          <ns0:t>function_0096</ns0:t>
        </ns0:is>
      </ns0:c>
      <ns0:c r="C562" t="inlineStr">
        <ns0:is>
          <ns0:t>run_006</ns0:t>
        </ns0:is>
      </ns0:c>
      <ns0:c r="D562" t="inlineStr">
        <ns0:is>
          <ns0:t>humantime</ns0:t>
        </ns0:is>
      </ns0:c>
      <ns0:c r="E562" t="inlineStr">
        <ns0:is>
          <ns0:t>gpt-4.1-mini</ns0:t>
        </ns0:is>
      </ns0:c>
      <ns0:c r="F562" t="inlineStr">
        <ns0:is>
          <ns0:t>E0433</ns0:t>
        </ns0:is>
      </ns0:c>
      <ns0:c r="G562" t="n">
        <ns0:v>1</ns0:v>
      </ns0:c>
      <ns0:c r="H562" t="n">
        <ns0:v>2324</ns0:v>
      </ns0:c>
      <ns0:c r="I562" t="n">
        <ns0:v>139</ns0:v>
      </ns0:c>
      <ns0:c r="J562" t="n">
        <ns0:v>2463</ns0:v>
      </ns0:c>
      <ns0:c r="K562" t="n">
        <ns0:v>1</ns0:v>
      </ns0:c>
      <ns0:c r="L562" t="n">
        <ns0:v>1</ns0:v>
      </ns0:c>
      <ns0:c r="M562" t="n">
        <ns0:v>42457</ns0:v>
      </ns0:c>
      <ns0:c r="N562" t="n">
        <ns0:v>450</ns0:v>
      </ns0:c>
      <ns0:c r="O562" t="n">
        <ns0:v>42907</ns0:v>
      </ns0:c>
      <ns0:c r="P562" t="n">
        <ns0:v>6</ns0:v>
      </ns0:c>
      <ns0:c r="Q562">
        <ns0:f>IF(AND(L562=1,O562*Calculations!$B$2&lt;=Calculations!$B$10*Calculations!$B$4),1,0)</ns0:f>
        <ns0:v>0</ns0:v>
      </ns0:c>
      <ns0:c r="R562">
        <ns0:f>IF(AND(L562=1,O562*Calculations!$B$2&lt;=Calculations!$B$11*Calculations!$B$4),1,0)</ns0:f>
        <ns0:v>1</ns0:v>
      </ns0:c>
    </ns0:row>
    <ns0:row r="563">
      <ns0:c r="A563" t="inlineStr">
        <ns0:is>
          <ns0:t>case_0562</ns0:t>
        </ns0:is>
      </ns0:c>
      <ns0:c r="B563" t="inlineStr">
        <ns0:is>
          <ns0:t>function_0097</ns0:t>
        </ns0:is>
      </ns0:c>
      <ns0:c r="C563" t="inlineStr">
        <ns0:is>
          <ns0:t>run_006</ns0:t>
        </ns0:is>
      </ns0:c>
      <ns0:c r="D563" t="inlineStr">
        <ns0:is>
          <ns0:t>humantime</ns0:t>
        </ns0:is>
      </ns0:c>
      <ns0:c r="E563" t="inlineStr">
        <ns0:is>
          <ns0:t>gpt-4.1-mini</ns0:t>
        </ns0:is>
      </ns0:c>
      <ns0:c r="F563" t="inlineStr">
        <ns0:is>
          <ns0:t>E0658</ns0:t>
        </ns0:is>
      </ns0:c>
      <ns0:c r="G563" t="n">
        <ns0:v>1</ns0:v>
      </ns0:c>
      <ns0:c r="H563" t="n">
        <ns0:v>1219</ns0:v>
      </ns0:c>
      <ns0:c r="I563" t="n">
        <ns0:v>461</ns0:v>
      </ns0:c>
      <ns0:c r="J563" t="n">
        <ns0:v>1680</ns0:v>
      </ns0:c>
      <ns0:c r="K563" t="n">
        <ns0:v>1</ns0:v>
      </ns0:c>
      <ns0:c r="L563" t="n">
        <ns0:v>1</ns0:v>
      </ns0:c>
      <ns0:c r="M563" t="n">
        <ns0:v>22998</ns0:v>
      </ns0:c>
      <ns0:c r="N563" t="n">
        <ns0:v>408</ns0:v>
      </ns0:c>
      <ns0:c r="O563" t="n">
        <ns0:v>23406</ns0:v>
      </ns0:c>
      <ns0:c r="P563" t="n">
        <ns0:v>3</ns0:v>
      </ns0:c>
      <ns0:c r="Q563">
        <ns0:f>IF(AND(L563=1,O563*Calculations!$B$2&lt;=Calculations!$B$10*Calculations!$B$4),1,0)</ns0:f>
        <ns0:v>0</ns0:v>
      </ns0:c>
      <ns0:c r="R563">
        <ns0:f>IF(AND(L563=1,O563*Calculations!$B$2&lt;=Calculations!$B$11*Calculations!$B$4),1,0)</ns0:f>
        <ns0:v>1</ns0:v>
      </ns0:c>
    </ns0:row>
    <ns0:row r="564">
      <ns0:c r="A564" t="inlineStr">
        <ns0:is>
          <ns0:t>case_0563</ns0:t>
        </ns0:is>
      </ns0:c>
      <ns0:c r="B564" t="inlineStr">
        <ns0:is>
          <ns0:t>function_0097</ns0:t>
        </ns0:is>
      </ns0:c>
      <ns0:c r="C564" t="inlineStr">
        <ns0:is>
          <ns0:t>run_006</ns0:t>
        </ns0:is>
      </ns0:c>
      <ns0:c r="D564" t="inlineStr">
        <ns0:is>
          <ns0:t>humantime</ns0:t>
        </ns0:is>
      </ns0:c>
      <ns0:c r="E564" t="inlineStr">
        <ns0:is>
          <ns0:t>gpt-4.1-mini</ns0:t>
        </ns0:is>
      </ns0:c>
      <ns0:c r="F564" t="inlineStr">
        <ns0:is>
          <ns0:t>E0599</ns0:t>
        </ns0:is>
      </ns0:c>
      <ns0:c r="G564" t="n">
        <ns0:v>0</ns0:v>
      </ns0:c>
      <ns0:c r="H564" t="n">
        <ns0:v>6217</ns0:v>
      </ns0:c>
      <ns0:c r="I564" t="n">
        <ns0:v>1074</ns0:v>
      </ns0:c>
      <ns0:c r="J564" t="n">
        <ns0:v>7291</ns0:v>
      </ns0:c>
      <ns0:c r="K564" t="n">
        <ns0:v>6</ns0:v>
      </ns0:c>
      <ns0:c r="L564" t="n">
        <ns0:v>0</ns0:v>
      </ns0:c>
      <ns0:c r="M564" t="n">
        <ns0:v>246045</ns0:v>
      </ns0:c>
      <ns0:c r="N564" t="n">
        <ns0:v>11368</ns0:v>
      </ns0:c>
      <ns0:c r="O564" t="n">
        <ns0:v>257413</ns0:v>
      </ns0:c>
      <ns0:c r="P564" t="n">
        <ns0:v>20</ns0:v>
      </ns0:c>
      <ns0:c r="Q564">
        <ns0:f>IF(AND(L564=1,O564*Calculations!$B$2&lt;=Calculations!$B$10*Calculations!$B$4),1,0)</ns0:f>
        <ns0:v>0</ns0:v>
      </ns0:c>
      <ns0:c r="R564">
        <ns0:f>IF(AND(L564=1,O564*Calculations!$B$2&lt;=Calculations!$B$11*Calculations!$B$4),1,0)</ns0:f>
        <ns0:v>0</ns0:v>
      </ns0:c>
    </ns0:row>
    <ns0:row r="565">
      <ns0:c r="A565" t="inlineStr">
        <ns0:is>
          <ns0:t>case_0564</ns0:t>
        </ns0:is>
      </ns0:c>
      <ns0:c r="B565" t="inlineStr">
        <ns0:is>
          <ns0:t>function_0097</ns0:t>
        </ns0:is>
      </ns0:c>
      <ns0:c r="C565" t="inlineStr">
        <ns0:is>
          <ns0:t>run_006</ns0:t>
        </ns0:is>
      </ns0:c>
      <ns0:c r="D565" t="inlineStr">
        <ns0:is>
          <ns0:t>humantime</ns0:t>
        </ns0:is>
      </ns0:c>
      <ns0:c r="E565" t="inlineStr">
        <ns0:is>
          <ns0:t>gpt-4.1-mini</ns0:t>
        </ns0:is>
      </ns0:c>
      <ns0:c r="F565" t="inlineStr">
        <ns0:is>
          <ns0:t>E0599,E0658</ns0:t>
        </ns0:is>
      </ns0:c>
      <ns0:c r="G565" t="n">
        <ns0:v>0</ns0:v>
      </ns0:c>
      <ns0:c r="H565" t="n">
        <ns0:v>4977</ns0:v>
      </ns0:c>
      <ns0:c r="I565" t="n">
        <ns0:v>1596</ns0:v>
      </ns0:c>
      <ns0:c r="J565" t="n">
        <ns0:v>6573</ns0:v>
      </ns0:c>
      <ns0:c r="K565" t="n">
        <ns0:v>3</ns0:v>
      </ns0:c>
      <ns0:c r="L565" t="n">
        <ns0:v>0</ns0:v>
      </ns0:c>
      <ns0:c r="M565" t="n">
        <ns0:v>412743</ns0:v>
      </ns0:c>
      <ns0:c r="N565" t="n">
        <ns0:v>6277</ns0:v>
      </ns0:c>
      <ns0:c r="O565" t="n">
        <ns0:v>419020</ns0:v>
      </ns0:c>
      <ns0:c r="P565" t="n">
        <ns0:v>20</ns0:v>
      </ns0:c>
      <ns0:c r="Q565">
        <ns0:f>IF(AND(L565=1,O565*Calculations!$B$2&lt;=Calculations!$B$10*Calculations!$B$4),1,0)</ns0:f>
        <ns0:v>0</ns0:v>
      </ns0:c>
      <ns0:c r="R565">
        <ns0:f>IF(AND(L565=1,O565*Calculations!$B$2&lt;=Calculations!$B$11*Calculations!$B$4),1,0)</ns0:f>
        <ns0:v>0</ns0:v>
      </ns0:c>
    </ns0:row>
    <ns0:row r="566">
      <ns0:c r="A566" t="inlineStr">
        <ns0:is>
          <ns0:t>case_0565</ns0:t>
        </ns0:is>
      </ns0:c>
      <ns0:c r="B566" t="inlineStr">
        <ns0:is>
          <ns0:t>function_0097</ns0:t>
        </ns0:is>
      </ns0:c>
      <ns0:c r="C566" t="inlineStr">
        <ns0:is>
          <ns0:t>run_006</ns0:t>
        </ns0:is>
      </ns0:c>
      <ns0:c r="D566" t="inlineStr">
        <ns0:is>
          <ns0:t>humantime</ns0:t>
        </ns0:is>
      </ns0:c>
      <ns0:c r="E566" t="inlineStr">
        <ns0:is>
          <ns0:t>gpt-4.1-mini</ns0:t>
        </ns0:is>
      </ns0:c>
      <ns0:c r="F566" t="inlineStr">
        <ns0:is>
          <ns0:t>E0433,E0434</ns0:t>
        </ns0:is>
      </ns0:c>
      <ns0:c r="G566" t="n">
        <ns0:v>0</ns0:v>
      </ns0:c>
      <ns0:c r="H566" t="n">
        <ns0:v>4923</ns0:v>
      </ns0:c>
      <ns0:c r="I566" t="n">
        <ns0:v>2183</ns0:v>
      </ns0:c>
      <ns0:c r="J566" t="n">
        <ns0:v>7106</ns0:v>
      </ns0:c>
      <ns0:c r="K566" t="n">
        <ns0:v>3</ns0:v>
      </ns0:c>
      <ns0:c r="L566" t="n">
        <ns0:v>1</ns0:v>
      </ns0:c>
      <ns0:c r="M566" t="n">
        <ns0:v>304282</ns0:v>
      </ns0:c>
      <ns0:c r="N566" t="n">
        <ns0:v>5671</ns0:v>
      </ns0:c>
      <ns0:c r="O566" t="n">
        <ns0:v>309953</ns0:v>
      </ns0:c>
      <ns0:c r="P566" t="n">
        <ns0:v>17</ns0:v>
      </ns0:c>
      <ns0:c r="Q566">
        <ns0:f>IF(AND(L566=1,O566*Calculations!$B$2&lt;=Calculations!$B$10*Calculations!$B$4),1,0)</ns0:f>
        <ns0:v>0</ns0:v>
      </ns0:c>
      <ns0:c r="R566">
        <ns0:f>IF(AND(L566=1,O566*Calculations!$B$2&lt;=Calculations!$B$11*Calculations!$B$4),1,0)</ns0:f>
        <ns0:v>0</ns0:v>
      </ns0:c>
    </ns0:row>
    <ns0:row r="567">
      <ns0:c r="A567" t="inlineStr">
        <ns0:is>
          <ns0:t>case_0566</ns0:t>
        </ns0:is>
      </ns0:c>
      <ns0:c r="B567" t="inlineStr">
        <ns0:is>
          <ns0:t>function_0097</ns0:t>
        </ns0:is>
      </ns0:c>
      <ns0:c r="C567" t="inlineStr">
        <ns0:is>
          <ns0:t>run_006</ns0:t>
        </ns0:is>
      </ns0:c>
      <ns0:c r="D567" t="inlineStr">
        <ns0:is>
          <ns0:t>humantime</ns0:t>
        </ns0:is>
      </ns0:c>
      <ns0:c r="E567" t="inlineStr">
        <ns0:is>
          <ns0:t>gpt-4.1-mini</ns0:t>
        </ns0:is>
      </ns0:c>
      <ns0:c r="F567" t="inlineStr">
        <ns0:is>
          <ns0:t>E0277,E0308,E0412,E0658</ns0:t>
        </ns0:is>
      </ns0:c>
      <ns0:c r="G567" t="n">
        <ns0:v>0</ns0:v>
      </ns0:c>
      <ns0:c r="H567" t="n">
        <ns0:v>0</ns0:v>
      </ns0:c>
      <ns0:c r="I567" t="n">
        <ns0:v>0</ns0:v>
      </ns0:c>
      <ns0:c r="J567" t="n">
        <ns0:v>0</ns0:v>
      </ns0:c>
      <ns0:c r="K567" t="n">
        <ns0:v>0</ns0:v>
      </ns0:c>
      <ns0:c r="L567" t="n">
        <ns0:v>0</ns0:v>
      </ns0:c>
      <ns0:c r="M567" t="n">
        <ns0:v>387379</ns0:v>
      </ns0:c>
      <ns0:c r="N567" t="n">
        <ns0:v>15759</ns0:v>
      </ns0:c>
      <ns0:c r="O567" t="n">
        <ns0:v>403138</ns0:v>
      </ns0:c>
      <ns0:c r="P567" t="n">
        <ns0:v>20</ns0:v>
      </ns0:c>
      <ns0:c r="Q567">
        <ns0:f>IF(AND(L567=1,O567*Calculations!$B$2&lt;=Calculations!$B$10*Calculations!$B$4),1,0)</ns0:f>
        <ns0:v>0</ns0:v>
      </ns0:c>
      <ns0:c r="R567">
        <ns0:f>IF(AND(L567=1,O567*Calculations!$B$2&lt;=Calculations!$B$11*Calculations!$B$4),1,0)</ns0:f>
        <ns0:v>0</ns0:v>
      </ns0:c>
    </ns0:row>
    <ns0:row r="568">
      <ns0:c r="A568" t="inlineStr">
        <ns0:is>
          <ns0:t>case_0567</ns0:t>
        </ns0:is>
      </ns0:c>
      <ns0:c r="B568" t="inlineStr">
        <ns0:is>
          <ns0:t>function_0097</ns0:t>
        </ns0:is>
      </ns0:c>
      <ns0:c r="C568" t="inlineStr">
        <ns0:is>
          <ns0:t>run_006</ns0:t>
        </ns0:is>
      </ns0:c>
      <ns0:c r="D568" t="inlineStr">
        <ns0:is>
          <ns0:t>humantime</ns0:t>
        </ns0:is>
      </ns0:c>
      <ns0:c r="E568" t="inlineStr">
        <ns0:is>
          <ns0:t>gpt-4.1-mini</ns0:t>
        </ns0:is>
      </ns0:c>
      <ns0:c r="F568" t="inlineStr">
        <ns0:is>
          <ns0:t>E0599,E0658</ns0:t>
        </ns0:is>
      </ns0:c>
      <ns0:c r="G568" t="n">
        <ns0:v>0</ns0:v>
      </ns0:c>
      <ns0:c r="H568" t="n">
        <ns0:v>5604</ns0:v>
      </ns0:c>
      <ns0:c r="I568" t="n">
        <ns0:v>1764</ns0:v>
      </ns0:c>
      <ns0:c r="J568" t="n">
        <ns0:v>7368</ns0:v>
      </ns0:c>
      <ns0:c r="K568" t="n">
        <ns0:v>3</ns0:v>
      </ns0:c>
      <ns0:c r="L568" t="n">
        <ns0:v>1</ns0:v>
      </ns0:c>
      <ns0:c r="M568" t="n">
        <ns0:v>96087</ns0:v>
      </ns0:c>
      <ns0:c r="N568" t="n">
        <ns0:v>5672</ns0:v>
      </ns0:c>
      <ns0:c r="O568" t="n">
        <ns0:v>101759</ns0:v>
      </ns0:c>
      <ns0:c r="P568" t="n">
        <ns0:v>11</ns0:v>
      </ns0:c>
      <ns0:c r="Q568">
        <ns0:f>IF(AND(L568=1,O568*Calculations!$B$2&lt;=Calculations!$B$10*Calculations!$B$4),1,0)</ns0:f>
        <ns0:v>0</ns0:v>
      </ns0:c>
      <ns0:c r="R568">
        <ns0:f>IF(AND(L568=1,O568*Calculations!$B$2&lt;=Calculations!$B$11*Calculations!$B$4),1,0)</ns0:f>
        <ns0:v>0</ns0:v>
      </ns0:c>
    </ns0:row>
    <ns0:row r="569">
      <ns0:c r="A569" t="inlineStr">
        <ns0:is>
          <ns0:t>case_0568</ns0:t>
        </ns0:is>
      </ns0:c>
      <ns0:c r="B569" t="inlineStr">
        <ns0:is>
          <ns0:t>function_0098</ns0:t>
        </ns0:is>
      </ns0:c>
      <ns0:c r="C569" t="inlineStr">
        <ns0:is>
          <ns0:t>run_006</ns0:t>
        </ns0:is>
      </ns0:c>
      <ns0:c r="D569" t="inlineStr">
        <ns0:is>
          <ns0:t>humantime</ns0:t>
        </ns0:is>
      </ns0:c>
      <ns0:c r="E569" t="inlineStr">
        <ns0:is>
          <ns0:t>gpt-4.1-mini</ns0:t>
        </ns0:is>
      </ns0:c>
      <ns0:c r="F569" t="inlineStr">
        <ns0:is>
          <ns0:t>E0658</ns0:t>
        </ns0:is>
      </ns0:c>
      <ns0:c r="G569" t="n">
        <ns0:v>1</ns0:v>
      </ns0:c>
      <ns0:c r="H569" t="n">
        <ns0:v>723</ns0:v>
      </ns0:c>
      <ns0:c r="I569" t="n">
        <ns0:v>110</ns0:v>
      </ns0:c>
      <ns0:c r="J569" t="n">
        <ns0:v>833</ns0:v>
      </ns0:c>
      <ns0:c r="K569" t="n">
        <ns0:v>1</ns0:v>
      </ns0:c>
      <ns0:c r="L569" t="n">
        <ns0:v>1</ns0:v>
      </ns0:c>
      <ns0:c r="M569" t="n">
        <ns0:v>37681</ns0:v>
      </ns0:c>
      <ns0:c r="N569" t="n">
        <ns0:v>553</ns0:v>
      </ns0:c>
      <ns0:c r="O569" t="n">
        <ns0:v>38234</ns0:v>
      </ns0:c>
      <ns0:c r="P569" t="n">
        <ns0:v>3</ns0:v>
      </ns0:c>
      <ns0:c r="Q569">
        <ns0:f>IF(AND(L569=1,O569*Calculations!$B$2&lt;=Calculations!$B$10*Calculations!$B$4),1,0)</ns0:f>
        <ns0:v>0</ns0:v>
      </ns0:c>
      <ns0:c r="R569">
        <ns0:f>IF(AND(L569=1,O569*Calculations!$B$2&lt;=Calculations!$B$11*Calculations!$B$4),1,0)</ns0:f>
        <ns0:v>1</ns0:v>
      </ns0:c>
    </ns0:row>
    <ns0:row r="570">
      <ns0:c r="A570" t="inlineStr">
        <ns0:is>
          <ns0:t>case_0569</ns0:t>
        </ns0:is>
      </ns0:c>
      <ns0:c r="B570" t="inlineStr">
        <ns0:is>
          <ns0:t>function_0098</ns0:t>
        </ns0:is>
      </ns0:c>
      <ns0:c r="C570" t="inlineStr">
        <ns0:is>
          <ns0:t>run_006</ns0:t>
        </ns0:is>
      </ns0:c>
      <ns0:c r="D570" t="inlineStr">
        <ns0:is>
          <ns0:t>humantime</ns0:t>
        </ns0:is>
      </ns0:c>
      <ns0:c r="E570" t="inlineStr">
        <ns0:is>
          <ns0:t>gpt-4.1-mini</ns0:t>
        </ns0:is>
      </ns0:c>
      <ns0:c r="F570" t="inlineStr">
        <ns0:is>
          <ns0:t>E0658</ns0:t>
        </ns0:is>
      </ns0:c>
      <ns0:c r="G570" t="n">
        <ns0:v>1</ns0:v>
      </ns0:c>
      <ns0:c r="H570" t="n">
        <ns0:v>1156</ns0:v>
      </ns0:c>
      <ns0:c r="I570" t="n">
        <ns0:v>515</ns0:v>
      </ns0:c>
      <ns0:c r="J570" t="n">
        <ns0:v>1671</ns0:v>
      </ns0:c>
      <ns0:c r="K570" t="n">
        <ns0:v>1</ns0:v>
      </ns0:c>
      <ns0:c r="L570" t="n">
        <ns0:v>0</ns0:v>
      </ns0:c>
      <ns0:c r="M570" t="n">
        <ns0:v>34839</ns0:v>
      </ns0:c>
      <ns0:c r="N570" t="n">
        <ns0:v>1436</ns0:v>
      </ns0:c>
      <ns0:c r="O570" t="n">
        <ns0:v>36275</ns0:v>
      </ns0:c>
      <ns0:c r="P570" t="n">
        <ns0:v>4</ns0:v>
      </ns0:c>
      <ns0:c r="Q570">
        <ns0:f>IF(AND(L570=1,O570*Calculations!$B$2&lt;=Calculations!$B$10*Calculations!$B$4),1,0)</ns0:f>
        <ns0:v>0</ns0:v>
      </ns0:c>
      <ns0:c r="R570">
        <ns0:f>IF(AND(L570=1,O570*Calculations!$B$2&lt;=Calculations!$B$11*Calculations!$B$4),1,0)</ns0:f>
        <ns0:v>0</ns0:v>
      </ns0:c>
    </ns0:row>
    <ns0:row r="571">
      <ns0:c r="A571" t="inlineStr">
        <ns0:is>
          <ns0:t>case_0570</ns0:t>
        </ns0:is>
      </ns0:c>
      <ns0:c r="B571" t="inlineStr">
        <ns0:is>
          <ns0:t>function_0098</ns0:t>
        </ns0:is>
      </ns0:c>
      <ns0:c r="C571" t="inlineStr">
        <ns0:is>
          <ns0:t>run_006</ns0:t>
        </ns0:is>
      </ns0:c>
      <ns0:c r="D571" t="inlineStr">
        <ns0:is>
          <ns0:t>humantime</ns0:t>
        </ns0:is>
      </ns0:c>
      <ns0:c r="E571" t="inlineStr">
        <ns0:is>
          <ns0:t>gpt-4.1-mini</ns0:t>
        </ns0:is>
      </ns0:c>
      <ns0:c r="F571" t="inlineStr">
        <ns0:is>
          <ns0:t>E0658</ns0:t>
        </ns0:is>
      </ns0:c>
      <ns0:c r="G571" t="n">
        <ns0:v>1</ns0:v>
      </ns0:c>
      <ns0:c r="H571" t="n">
        <ns0:v>1183</ns0:v>
      </ns0:c>
      <ns0:c r="I571" t="n">
        <ns0:v>355</ns0:v>
      </ns0:c>
      <ns0:c r="J571" t="n">
        <ns0:v>1538</ns0:v>
      </ns0:c>
      <ns0:c r="K571" t="n">
        <ns0:v>1</ns0:v>
      </ns0:c>
      <ns0:c r="L571" t="n">
        <ns0:v>1</ns0:v>
      </ns0:c>
      <ns0:c r="M571" t="n">
        <ns0:v>53121</ns0:v>
      </ns0:c>
      <ns0:c r="N571" t="n">
        <ns0:v>711</ns0:v>
      </ns0:c>
      <ns0:c r="O571" t="n">
        <ns0:v>53832</ns0:v>
      </ns0:c>
      <ns0:c r="P571" t="n">
        <ns0:v>4</ns0:v>
      </ns0:c>
      <ns0:c r="Q571">
        <ns0:f>IF(AND(L571=1,O571*Calculations!$B$2&lt;=Calculations!$B$10*Calculations!$B$4),1,0)</ns0:f>
        <ns0:v>0</ns0:v>
      </ns0:c>
      <ns0:c r="R571">
        <ns0:f>IF(AND(L571=1,O571*Calculations!$B$2&lt;=Calculations!$B$11*Calculations!$B$4),1,0)</ns0:f>
        <ns0:v>0</ns0:v>
      </ns0:c>
    </ns0:row>
    <ns0:row r="572">
      <ns0:c r="A572" t="inlineStr">
        <ns0:is>
          <ns0:t>case_0571</ns0:t>
        </ns0:is>
      </ns0:c>
      <ns0:c r="B572" t="inlineStr">
        <ns0:is>
          <ns0:t>function_0098</ns0:t>
        </ns0:is>
      </ns0:c>
      <ns0:c r="C572" t="inlineStr">
        <ns0:is>
          <ns0:t>run_006</ns0:t>
        </ns0:is>
      </ns0:c>
      <ns0:c r="D572" t="inlineStr">
        <ns0:is>
          <ns0:t>humantime</ns0:t>
        </ns0:is>
      </ns0:c>
      <ns0:c r="E572" t="inlineStr">
        <ns0:is>
          <ns0:t>gpt-4.1-mini</ns0:t>
        </ns0:is>
      </ns0:c>
      <ns0:c r="F572" t="inlineStr">
        <ns0:is>
          <ns0:t>E0433,E0599,E0658</ns0:t>
        </ns0:is>
      </ns0:c>
      <ns0:c r="G572" t="n">
        <ns0:v>1</ns0:v>
      </ns0:c>
      <ns0:c r="H572" t="n">
        <ns0:v>0</ns0:v>
      </ns0:c>
      <ns0:c r="I572" t="n">
        <ns0:v>0</ns0:v>
      </ns0:c>
      <ns0:c r="J572" t="n">
        <ns0:v>0</ns0:v>
      </ns0:c>
      <ns0:c r="K572" t="n">
        <ns0:v>0</ns0:v>
      </ns0:c>
      <ns0:c r="L572" t="n">
        <ns0:v>0</ns0:v>
      </ns0:c>
      <ns0:c r="M572" t="n">
        <ns0:v>200199</ns0:v>
      </ns0:c>
      <ns0:c r="N572" t="n">
        <ns0:v>19883</ns0:v>
      </ns0:c>
      <ns0:c r="O572" t="n">
        <ns0:v>220082</ns0:v>
      </ns0:c>
      <ns0:c r="P572" t="n">
        <ns0:v>13</ns0:v>
      </ns0:c>
      <ns0:c r="Q572">
        <ns0:f>IF(AND(L572=1,O572*Calculations!$B$2&lt;=Calculations!$B$10*Calculations!$B$4),1,0)</ns0:f>
        <ns0:v>0</ns0:v>
      </ns0:c>
      <ns0:c r="R572">
        <ns0:f>IF(AND(L572=1,O572*Calculations!$B$2&lt;=Calculations!$B$11*Calculations!$B$4),1,0)</ns0:f>
        <ns0:v>0</ns0:v>
      </ns0:c>
    </ns0:row>
    <ns0:row r="573">
      <ns0:c r="A573" t="inlineStr">
        <ns0:is>
          <ns0:t>case_0572</ns0:t>
        </ns0:is>
      </ns0:c>
      <ns0:c r="B573" t="inlineStr">
        <ns0:is>
          <ns0:t>function_0098</ns0:t>
        </ns0:is>
      </ns0:c>
      <ns0:c r="C573" t="inlineStr">
        <ns0:is>
          <ns0:t>run_006</ns0:t>
        </ns0:is>
      </ns0:c>
      <ns0:c r="D573" t="inlineStr">
        <ns0:is>
          <ns0:t>humantime</ns0:t>
        </ns0:is>
      </ns0:c>
      <ns0:c r="E573" t="inlineStr">
        <ns0:is>
          <ns0:t>gpt-4.1-mini</ns0:t>
        </ns0:is>
      </ns0:c>
      <ns0:c r="F573" t="inlineStr">
        <ns0:is>
          <ns0:t>E0433,E0658</ns0:t>
        </ns0:is>
      </ns0:c>
      <ns0:c r="G573" t="n">
        <ns0:v>0</ns0:v>
      </ns0:c>
      <ns0:c r="H573" t="n">
        <ns0:v>4098</ns0:v>
      </ns0:c>
      <ns0:c r="I573" t="n">
        <ns0:v>1024</ns0:v>
      </ns0:c>
      <ns0:c r="J573" t="n">
        <ns0:v>5122</ns0:v>
      </ns0:c>
      <ns0:c r="K573" t="n">
        <ns0:v>3</ns0:v>
      </ns0:c>
      <ns0:c r="L573" t="n">
        <ns0:v>1</ns0:v>
      </ns0:c>
      <ns0:c r="M573" t="n">
        <ns0:v>404536</ns0:v>
      </ns0:c>
      <ns0:c r="N573" t="n">
        <ns0:v>6501</ns0:v>
      </ns0:c>
      <ns0:c r="O573" t="n">
        <ns0:v>411037</ns0:v>
      </ns0:c>
      <ns0:c r="P573" t="n">
        <ns0:v>23</ns0:v>
      </ns0:c>
      <ns0:c r="Q573">
        <ns0:f>IF(AND(L573=1,O573*Calculations!$B$2&lt;=Calculations!$B$10*Calculations!$B$4),1,0)</ns0:f>
        <ns0:v>0</ns0:v>
      </ns0:c>
      <ns0:c r="R573">
        <ns0:f>IF(AND(L573=1,O573*Calculations!$B$2&lt;=Calculations!$B$11*Calculations!$B$4),1,0)</ns0:f>
        <ns0:v>0</ns0:v>
      </ns0:c>
    </ns0:row>
    <ns0:row r="574">
      <ns0:c r="A574" t="inlineStr">
        <ns0:is>
          <ns0:t>case_0573</ns0:t>
        </ns0:is>
      </ns0:c>
      <ns0:c r="B574" t="inlineStr">
        <ns0:is>
          <ns0:t>function_0098</ns0:t>
        </ns0:is>
      </ns0:c>
      <ns0:c r="C574" t="inlineStr">
        <ns0:is>
          <ns0:t>run_006</ns0:t>
        </ns0:is>
      </ns0:c>
      <ns0:c r="D574" t="inlineStr">
        <ns0:is>
          <ns0:t>humantime</ns0:t>
        </ns0:is>
      </ns0:c>
      <ns0:c r="E574" t="inlineStr">
        <ns0:is>
          <ns0:t>gpt-4.1-mini</ns0:t>
        </ns0:is>
      </ns0:c>
      <ns0:c r="F574" t="inlineStr">
        <ns0:is>
          <ns0:t>E0433,E0658</ns0:t>
        </ns0:is>
      </ns0:c>
      <ns0:c r="G574" t="n">
        <ns0:v>0</ns0:v>
      </ns0:c>
      <ns0:c r="H574" t="n">
        <ns0:v>3164</ns0:v>
      </ns0:c>
      <ns0:c r="I574" t="n">
        <ns0:v>595</ns0:v>
      </ns0:c>
      <ns0:c r="J574" t="n">
        <ns0:v>3759</ns0:v>
      </ns0:c>
      <ns0:c r="K574" t="n">
        <ns0:v>3</ns0:v>
      </ns0:c>
      <ns0:c r="L574" t="n">
        <ns0:v>0</ns0:v>
      </ns0:c>
      <ns0:c r="M574" t="n">
        <ns0:v>335327</ns0:v>
      </ns0:c>
      <ns0:c r="N574" t="n">
        <ns0:v>5374</ns0:v>
      </ns0:c>
      <ns0:c r="O574" t="n">
        <ns0:v>340701</ns0:v>
      </ns0:c>
      <ns0:c r="P574" t="n">
        <ns0:v>20</ns0:v>
      </ns0:c>
      <ns0:c r="Q574">
        <ns0:f>IF(AND(L574=1,O574*Calculations!$B$2&lt;=Calculations!$B$10*Calculations!$B$4),1,0)</ns0:f>
        <ns0:v>0</ns0:v>
      </ns0:c>
      <ns0:c r="R574">
        <ns0:f>IF(AND(L574=1,O574*Calculations!$B$2&lt;=Calculations!$B$11*Calculations!$B$4),1,0)</ns0:f>
        <ns0:v>0</ns0:v>
      </ns0:c>
    </ns0:row>
    <ns0:row r="575">
      <ns0:c r="A575" t="inlineStr">
        <ns0:is>
          <ns0:t>case_0574</ns0:t>
        </ns0:is>
      </ns0:c>
      <ns0:c r="B575" t="inlineStr">
        <ns0:is>
          <ns0:t>function_0099</ns0:t>
        </ns0:is>
      </ns0:c>
      <ns0:c r="C575" t="inlineStr">
        <ns0:is>
          <ns0:t>run_007</ns0:t>
        </ns0:is>
      </ns0:c>
      <ns0:c r="D575" t="inlineStr">
        <ns0:is>
          <ns0:t>humantime</ns0:t>
        </ns0:is>
      </ns0:c>
      <ns0:c r="E575" t="inlineStr">
        <ns0:is>
          <ns0:t>gpt-4.1-nano</ns0:t>
        </ns0:is>
      </ns0:c>
      <ns0:c r="F575" t="inlineStr">
        <ns0:is>
          <ns0:t>E0433</ns0:t>
        </ns0:is>
      </ns0:c>
      <ns0:c r="G575" t="n">
        <ns0:v>1</ns0:v>
      </ns0:c>
      <ns0:c r="H575" t="n">
        <ns0:v>0</ns0:v>
      </ns0:c>
      <ns0:c r="I575" t="n">
        <ns0:v>0</ns0:v>
      </ns0:c>
      <ns0:c r="J575" t="n">
        <ns0:v>0</ns0:v>
      </ns0:c>
      <ns0:c r="K575" t="n">
        <ns0:v>0</ns0:v>
      </ns0:c>
      <ns0:c r="L575" t="n">
        <ns0:v>1</ns0:v>
      </ns0:c>
      <ns0:c r="M575" t="n">
        <ns0:v>155636</ns0:v>
      </ns0:c>
      <ns0:c r="N575" t="n">
        <ns0:v>1227</ns0:v>
      </ns0:c>
      <ns0:c r="O575" t="n">
        <ns0:v>156863</ns0:v>
      </ns0:c>
      <ns0:c r="P575" t="n">
        <ns0:v>11</ns0:v>
      </ns0:c>
      <ns0:c r="Q575">
        <ns0:f>IF(AND(L575=1,O575*Calculations!$B$2&lt;=Calculations!$B$10*Calculations!$B$4),1,0)</ns0:f>
        <ns0:v>0</ns0:v>
      </ns0:c>
      <ns0:c r="R575">
        <ns0:f>IF(AND(L575=1,O575*Calculations!$B$2&lt;=Calculations!$B$11*Calculations!$B$4),1,0)</ns0:f>
        <ns0:v>0</ns0:v>
      </ns0:c>
    </ns0:row>
    <ns0:row r="576">
      <ns0:c r="A576" t="inlineStr">
        <ns0:is>
          <ns0:t>case_0575</ns0:t>
        </ns0:is>
      </ns0:c>
      <ns0:c r="B576" t="inlineStr">
        <ns0:is>
          <ns0:t>function_0100</ns0:t>
        </ns0:is>
      </ns0:c>
      <ns0:c r="C576" t="inlineStr">
        <ns0:is>
          <ns0:t>run_007</ns0:t>
        </ns0:is>
      </ns0:c>
      <ns0:c r="D576" t="inlineStr">
        <ns0:is>
          <ns0:t>humantime</ns0:t>
        </ns0:is>
      </ns0:c>
      <ns0:c r="E576" t="inlineStr">
        <ns0:is>
          <ns0:t>gpt-4.1-nano</ns0:t>
        </ns0:is>
      </ns0:c>
      <ns0:c r="F576" t="inlineStr">
        <ns0:is>
          <ns0:t>E0433</ns0:t>
        </ns0:is>
      </ns0:c>
      <ns0:c r="G576" t="n">
        <ns0:v>1</ns0:v>
      </ns0:c>
      <ns0:c r="H576" t="n">
        <ns0:v>0</ns0:v>
      </ns0:c>
      <ns0:c r="I576" t="n">
        <ns0:v>0</ns0:v>
      </ns0:c>
      <ns0:c r="J576" t="n">
        <ns0:v>0</ns0:v>
      </ns0:c>
      <ns0:c r="K576" t="n">
        <ns0:v>0</ns0:v>
      </ns0:c>
      <ns0:c r="L576" t="n">
        <ns0:v>1</ns0:v>
      </ns0:c>
      <ns0:c r="M576" t="n">
        <ns0:v>20589</ns0:v>
      </ns0:c>
      <ns0:c r="N576" t="n">
        <ns0:v>285</ns0:v>
      </ns0:c>
      <ns0:c r="O576" t="n">
        <ns0:v>20874</ns0:v>
      </ns0:c>
      <ns0:c r="P576" t="n">
        <ns0:v>3</ns0:v>
      </ns0:c>
      <ns0:c r="Q576">
        <ns0:f>IF(AND(L576=1,O576*Calculations!$B$2&lt;=Calculations!$B$10*Calculations!$B$4),1,0)</ns0:f>
        <ns0:v>1</ns0:v>
      </ns0:c>
      <ns0:c r="R576">
        <ns0:f>IF(AND(L576=1,O576*Calculations!$B$2&lt;=Calculations!$B$11*Calculations!$B$4),1,0)</ns0:f>
        <ns0:v>1</ns0:v>
      </ns0:c>
    </ns0:row>
    <ns0:row r="577">
      <ns0:c r="A577" t="inlineStr">
        <ns0:is>
          <ns0:t>case_0576</ns0:t>
        </ns0:is>
      </ns0:c>
      <ns0:c r="B577" t="inlineStr">
        <ns0:is>
          <ns0:t>function_0100</ns0:t>
        </ns0:is>
      </ns0:c>
      <ns0:c r="C577" t="inlineStr">
        <ns0:is>
          <ns0:t>run_007</ns0:t>
        </ns0:is>
      </ns0:c>
      <ns0:c r="D577" t="inlineStr">
        <ns0:is>
          <ns0:t>humantime</ns0:t>
        </ns0:is>
      </ns0:c>
      <ns0:c r="E577" t="inlineStr">
        <ns0:is>
          <ns0:t>gpt-4.1-nano</ns0:t>
        </ns0:is>
      </ns0:c>
      <ns0:c r="F577" t="inlineStr">
        <ns0:is>
          <ns0:t>E0433</ns0:t>
        </ns0:is>
      </ns0:c>
      <ns0:c r="G577" t="n">
        <ns0:v>1</ns0:v>
      </ns0:c>
      <ns0:c r="H577" t="n">
        <ns0:v>0</ns0:v>
      </ns0:c>
      <ns0:c r="I577" t="n">
        <ns0:v>0</ns0:v>
      </ns0:c>
      <ns0:c r="J577" t="n">
        <ns0:v>0</ns0:v>
      </ns0:c>
      <ns0:c r="K577" t="n">
        <ns0:v>0</ns0:v>
      </ns0:c>
      <ns0:c r="L577" t="n">
        <ns0:v>1</ns0:v>
      </ns0:c>
      <ns0:c r="M577" t="n">
        <ns0:v>20575</ns0:v>
      </ns0:c>
      <ns0:c r="N577" t="n">
        <ns0:v>239</ns0:v>
      </ns0:c>
      <ns0:c r="O577" t="n">
        <ns0:v>20814</ns0:v>
      </ns0:c>
      <ns0:c r="P577" t="n">
        <ns0:v>3</ns0:v>
      </ns0:c>
      <ns0:c r="Q577">
        <ns0:f>IF(AND(L577=1,O577*Calculations!$B$2&lt;=Calculations!$B$10*Calculations!$B$4),1,0)</ns0:f>
        <ns0:v>1</ns0:v>
      </ns0:c>
      <ns0:c r="R577">
        <ns0:f>IF(AND(L577=1,O577*Calculations!$B$2&lt;=Calculations!$B$11*Calculations!$B$4),1,0)</ns0:f>
        <ns0:v>1</ns0:v>
      </ns0:c>
    </ns0:row>
    <ns0:row r="578">
      <ns0:c r="A578" t="inlineStr">
        <ns0:is>
          <ns0:t>case_0577</ns0:t>
        </ns0:is>
      </ns0:c>
      <ns0:c r="B578" t="inlineStr">
        <ns0:is>
          <ns0:t>function_0100</ns0:t>
        </ns0:is>
      </ns0:c>
      <ns0:c r="C578" t="inlineStr">
        <ns0:is>
          <ns0:t>run_007</ns0:t>
        </ns0:is>
      </ns0:c>
      <ns0:c r="D578" t="inlineStr">
        <ns0:is>
          <ns0:t>humantime</ns0:t>
        </ns0:is>
      </ns0:c>
      <ns0:c r="E578" t="inlineStr">
        <ns0:is>
          <ns0:t>gpt-4.1-nano</ns0:t>
        </ns0:is>
      </ns0:c>
      <ns0:c r="F578" t="inlineStr">
        <ns0:is>
          <ns0:t>E0433</ns0:t>
        </ns0:is>
      </ns0:c>
      <ns0:c r="G578" t="n">
        <ns0:v>1</ns0:v>
      </ns0:c>
      <ns0:c r="H578" t="n">
        <ns0:v>0</ns0:v>
      </ns0:c>
      <ns0:c r="I578" t="n">
        <ns0:v>0</ns0:v>
      </ns0:c>
      <ns0:c r="J578" t="n">
        <ns0:v>0</ns0:v>
      </ns0:c>
      <ns0:c r="K578" t="n">
        <ns0:v>0</ns0:v>
      </ns0:c>
      <ns0:c r="L578" t="n">
        <ns0:v>1</ns0:v>
      </ns0:c>
      <ns0:c r="M578" t="n">
        <ns0:v>27606</ns0:v>
      </ns0:c>
      <ns0:c r="N578" t="n">
        <ns0:v>284</ns0:v>
      </ns0:c>
      <ns0:c r="O578" t="n">
        <ns0:v>27890</ns0:v>
      </ns0:c>
      <ns0:c r="P578" t="n">
        <ns0:v>4</ns0:v>
      </ns0:c>
      <ns0:c r="Q578">
        <ns0:f>IF(AND(L578=1,O578*Calculations!$B$2&lt;=Calculations!$B$10*Calculations!$B$4),1,0)</ns0:f>
        <ns0:v>0</ns0:v>
      </ns0:c>
      <ns0:c r="R578">
        <ns0:f>IF(AND(L578=1,O578*Calculations!$B$2&lt;=Calculations!$B$11*Calculations!$B$4),1,0)</ns0:f>
        <ns0:v>1</ns0:v>
      </ns0:c>
    </ns0:row>
    <ns0:row r="579">
      <ns0:c r="A579" t="inlineStr">
        <ns0:is>
          <ns0:t>case_0578</ns0:t>
        </ns0:is>
      </ns0:c>
      <ns0:c r="B579" t="inlineStr">
        <ns0:is>
          <ns0:t>function_0101</ns0:t>
        </ns0:is>
      </ns0:c>
      <ns0:c r="C579" t="inlineStr">
        <ns0:is>
          <ns0:t>run_007</ns0:t>
        </ns0:is>
      </ns0:c>
      <ns0:c r="D579" t="inlineStr">
        <ns0:is>
          <ns0:t>humantime</ns0:t>
        </ns0:is>
      </ns0:c>
      <ns0:c r="E579" t="inlineStr">
        <ns0:is>
          <ns0:t>gpt-4.1-nano</ns0:t>
        </ns0:is>
      </ns0:c>
      <ns0:c r="F579" t="inlineStr">
        <ns0:is>
          <ns0:t>E0433</ns0:t>
        </ns0:is>
      </ns0:c>
      <ns0:c r="G579" t="n">
        <ns0:v>1</ns0:v>
      </ns0:c>
      <ns0:c r="H579" t="n">
        <ns0:v>0</ns0:v>
      </ns0:c>
      <ns0:c r="I579" t="n">
        <ns0:v>0</ns0:v>
      </ns0:c>
      <ns0:c r="J579" t="n">
        <ns0:v>0</ns0:v>
      </ns0:c>
      <ns0:c r="K579" t="n">
        <ns0:v>0</ns0:v>
      </ns0:c>
      <ns0:c r="L579" t="n">
        <ns0:v>1</ns0:v>
      </ns0:c>
      <ns0:c r="M579" t="n">
        <ns0:v>50527</ns0:v>
      </ns0:c>
      <ns0:c r="N579" t="n">
        <ns0:v>827</ns0:v>
      </ns0:c>
      <ns0:c r="O579" t="n">
        <ns0:v>51354</ns0:v>
      </ns0:c>
      <ns0:c r="P579" t="n">
        <ns0:v>7</ns0:v>
      </ns0:c>
      <ns0:c r="Q579">
        <ns0:f>IF(AND(L579=1,O579*Calculations!$B$2&lt;=Calculations!$B$10*Calculations!$B$4),1,0)</ns0:f>
        <ns0:v>0</ns0:v>
      </ns0:c>
      <ns0:c r="R579">
        <ns0:f>IF(AND(L579=1,O579*Calculations!$B$2&lt;=Calculations!$B$11*Calculations!$B$4),1,0)</ns0:f>
        <ns0:v>0</ns0:v>
      </ns0:c>
    </ns0:row>
    <ns0:row r="580">
      <ns0:c r="A580" t="inlineStr">
        <ns0:is>
          <ns0:t>case_0579</ns0:t>
        </ns0:is>
      </ns0:c>
      <ns0:c r="B580" t="inlineStr">
        <ns0:is>
          <ns0:t>function_0101</ns0:t>
        </ns0:is>
      </ns0:c>
      <ns0:c r="C580" t="inlineStr">
        <ns0:is>
          <ns0:t>run_007</ns0:t>
        </ns0:is>
      </ns0:c>
      <ns0:c r="D580" t="inlineStr">
        <ns0:is>
          <ns0:t>humantime</ns0:t>
        </ns0:is>
      </ns0:c>
      <ns0:c r="E580" t="inlineStr">
        <ns0:is>
          <ns0:t>gpt-4.1-nano</ns0:t>
        </ns0:is>
      </ns0:c>
      <ns0:c r="F580" t="inlineStr">
        <ns0:is>
          <ns0:t>E0433</ns0:t>
        </ns0:is>
      </ns0:c>
      <ns0:c r="G580" t="n">
        <ns0:v>1</ns0:v>
      </ns0:c>
      <ns0:c r="H580" t="n">
        <ns0:v>0</ns0:v>
      </ns0:c>
      <ns0:c r="I580" t="n">
        <ns0:v>0</ns0:v>
      </ns0:c>
      <ns0:c r="J580" t="n">
        <ns0:v>0</ns0:v>
      </ns0:c>
      <ns0:c r="K580" t="n">
        <ns0:v>0</ns0:v>
      </ns0:c>
      <ns0:c r="L580" t="n">
        <ns0:v>1</ns0:v>
      </ns0:c>
      <ns0:c r="M580" t="n">
        <ns0:v>36571</ns0:v>
      </ns0:c>
      <ns0:c r="N580" t="n">
        <ns0:v>711</ns0:v>
      </ns0:c>
      <ns0:c r="O580" t="n">
        <ns0:v>37282</ns0:v>
      </ns0:c>
      <ns0:c r="P580" t="n">
        <ns0:v>5</ns0:v>
      </ns0:c>
      <ns0:c r="Q580">
        <ns0:f>IF(AND(L580=1,O580*Calculations!$B$2&lt;=Calculations!$B$10*Calculations!$B$4),1,0)</ns0:f>
        <ns0:v>0</ns0:v>
      </ns0:c>
      <ns0:c r="R580">
        <ns0:f>IF(AND(L580=1,O580*Calculations!$B$2&lt;=Calculations!$B$11*Calculations!$B$4),1,0)</ns0:f>
        <ns0:v>1</ns0:v>
      </ns0:c>
    </ns0:row>
    <ns0:row r="581">
      <ns0:c r="A581" t="inlineStr">
        <ns0:is>
          <ns0:t>case_0580</ns0:t>
        </ns0:is>
      </ns0:c>
      <ns0:c r="B581" t="inlineStr">
        <ns0:is>
          <ns0:t>function_0101</ns0:t>
        </ns0:is>
      </ns0:c>
      <ns0:c r="C581" t="inlineStr">
        <ns0:is>
          <ns0:t>run_007</ns0:t>
        </ns0:is>
      </ns0:c>
      <ns0:c r="D581" t="inlineStr">
        <ns0:is>
          <ns0:t>humantime</ns0:t>
        </ns0:is>
      </ns0:c>
      <ns0:c r="E581" t="inlineStr">
        <ns0:is>
          <ns0:t>gpt-4.1-nano</ns0:t>
        </ns0:is>
      </ns0:c>
      <ns0:c r="F581" t="inlineStr">
        <ns0:is>
          <ns0:t>E0433</ns0:t>
        </ns0:is>
      </ns0:c>
      <ns0:c r="G581" t="n">
        <ns0:v>1</ns0:v>
      </ns0:c>
      <ns0:c r="H581" t="n">
        <ns0:v>0</ns0:v>
      </ns0:c>
      <ns0:c r="I581" t="n">
        <ns0:v>0</ns0:v>
      </ns0:c>
      <ns0:c r="J581" t="n">
        <ns0:v>0</ns0:v>
      </ns0:c>
      <ns0:c r="K581" t="n">
        <ns0:v>0</ns0:v>
      </ns0:c>
      <ns0:c r="L581" t="n">
        <ns0:v>1</ns0:v>
      </ns0:c>
      <ns0:c r="M581" t="n">
        <ns0:v>61292</ns0:v>
      </ns0:c>
      <ns0:c r="N581" t="n">
        <ns0:v>1281</ns0:v>
      </ns0:c>
      <ns0:c r="O581" t="n">
        <ns0:v>62573</ns0:v>
      </ns0:c>
      <ns0:c r="P581" t="n">
        <ns0:v>7</ns0:v>
      </ns0:c>
      <ns0:c r="Q581">
        <ns0:f>IF(AND(L581=1,O581*Calculations!$B$2&lt;=Calculations!$B$10*Calculations!$B$4),1,0)</ns0:f>
        <ns0:v>0</ns0:v>
      </ns0:c>
      <ns0:c r="R581">
        <ns0:f>IF(AND(L581=1,O581*Calculations!$B$2&lt;=Calculations!$B$11*Calculations!$B$4),1,0)</ns0:f>
        <ns0:v>0</ns0:v>
      </ns0:c>
    </ns0:row>
    <ns0:row r="582">
      <ns0:c r="A582" t="inlineStr">
        <ns0:is>
          <ns0:t>case_0581</ns0:t>
        </ns0:is>
      </ns0:c>
      <ns0:c r="B582" t="inlineStr">
        <ns0:is>
          <ns0:t>function_0101</ns0:t>
        </ns0:is>
      </ns0:c>
      <ns0:c r="C582" t="inlineStr">
        <ns0:is>
          <ns0:t>run_007</ns0:t>
        </ns0:is>
      </ns0:c>
      <ns0:c r="D582" t="inlineStr">
        <ns0:is>
          <ns0:t>humantime</ns0:t>
        </ns0:is>
      </ns0:c>
      <ns0:c r="E582" t="inlineStr">
        <ns0:is>
          <ns0:t>gpt-4.1-nano</ns0:t>
        </ns0:is>
      </ns0:c>
      <ns0:c r="F582" t="inlineStr">
        <ns0:is>
          <ns0:t>E0433</ns0:t>
        </ns0:is>
      </ns0:c>
      <ns0:c r="G582" t="n">
        <ns0:v>1</ns0:v>
      </ns0:c>
      <ns0:c r="H582" t="n">
        <ns0:v>0</ns0:v>
      </ns0:c>
      <ns0:c r="I582" t="n">
        <ns0:v>0</ns0:v>
      </ns0:c>
      <ns0:c r="J582" t="n">
        <ns0:v>0</ns0:v>
      </ns0:c>
      <ns0:c r="K582" t="n">
        <ns0:v>0</ns0:v>
      </ns0:c>
      <ns0:c r="L582" t="n">
        <ns0:v>1</ns0:v>
      </ns0:c>
      <ns0:c r="M582" t="n">
        <ns0:v>27755</ns0:v>
      </ns0:c>
      <ns0:c r="N582" t="n">
        <ns0:v>509</ns0:v>
      </ns0:c>
      <ns0:c r="O582" t="n">
        <ns0:v>28264</ns0:v>
      </ns0:c>
      <ns0:c r="P582" t="n">
        <ns0:v>4</ns0:v>
      </ns0:c>
      <ns0:c r="Q582">
        <ns0:f>IF(AND(L582=1,O582*Calculations!$B$2&lt;=Calculations!$B$10*Calculations!$B$4),1,0)</ns0:f>
        <ns0:v>0</ns0:v>
      </ns0:c>
      <ns0:c r="R582">
        <ns0:f>IF(AND(L582=1,O582*Calculations!$B$2&lt;=Calculations!$B$11*Calculations!$B$4),1,0)</ns0:f>
        <ns0:v>1</ns0:v>
      </ns0:c>
    </ns0:row>
    <ns0:row r="583">
      <ns0:c r="A583" t="inlineStr">
        <ns0:is>
          <ns0:t>case_0582</ns0:t>
        </ns0:is>
      </ns0:c>
      <ns0:c r="B583" t="inlineStr">
        <ns0:is>
          <ns0:t>function_0101</ns0:t>
        </ns0:is>
      </ns0:c>
      <ns0:c r="C583" t="inlineStr">
        <ns0:is>
          <ns0:t>run_007</ns0:t>
        </ns0:is>
      </ns0:c>
      <ns0:c r="D583" t="inlineStr">
        <ns0:is>
          <ns0:t>humantime</ns0:t>
        </ns0:is>
      </ns0:c>
      <ns0:c r="E583" t="inlineStr">
        <ns0:is>
          <ns0:t>gpt-4.1-nano</ns0:t>
        </ns0:is>
      </ns0:c>
      <ns0:c r="F583" t="inlineStr">
        <ns0:is>
          <ns0:t>E0433</ns0:t>
        </ns0:is>
      </ns0:c>
      <ns0:c r="G583" t="n">
        <ns0:v>1</ns0:v>
      </ns0:c>
      <ns0:c r="H583" t="n">
        <ns0:v>0</ns0:v>
      </ns0:c>
      <ns0:c r="I583" t="n">
        <ns0:v>0</ns0:v>
      </ns0:c>
      <ns0:c r="J583" t="n">
        <ns0:v>0</ns0:v>
      </ns0:c>
      <ns0:c r="K583" t="n">
        <ns0:v>0</ns0:v>
      </ns0:c>
      <ns0:c r="L583" t="n">
        <ns0:v>1</ns0:v>
      </ns0:c>
      <ns0:c r="M583" t="n">
        <ns0:v>28080</ns0:v>
      </ns0:c>
      <ns0:c r="N583" t="n">
        <ns0:v>574</ns0:v>
      </ns0:c>
      <ns0:c r="O583" t="n">
        <ns0:v>28654</ns0:v>
      </ns0:c>
      <ns0:c r="P583" t="n">
        <ns0:v>4</ns0:v>
      </ns0:c>
      <ns0:c r="Q583">
        <ns0:f>IF(AND(L583=1,O583*Calculations!$B$2&lt;=Calculations!$B$10*Calculations!$B$4),1,0)</ns0:f>
        <ns0:v>0</ns0:v>
      </ns0:c>
      <ns0:c r="R583">
        <ns0:f>IF(AND(L583=1,O583*Calculations!$B$2&lt;=Calculations!$B$11*Calculations!$B$4),1,0)</ns0:f>
        <ns0:v>1</ns0:v>
      </ns0:c>
    </ns0:row>
    <ns0:row r="584">
      <ns0:c r="A584" t="inlineStr">
        <ns0:is>
          <ns0:t>case_0583</ns0:t>
        </ns0:is>
      </ns0:c>
      <ns0:c r="B584" t="inlineStr">
        <ns0:is>
          <ns0:t>function_0102</ns0:t>
        </ns0:is>
      </ns0:c>
      <ns0:c r="C584" t="inlineStr">
        <ns0:is>
          <ns0:t>run_007</ns0:t>
        </ns0:is>
      </ns0:c>
      <ns0:c r="D584" t="inlineStr">
        <ns0:is>
          <ns0:t>humantime</ns0:t>
        </ns0:is>
      </ns0:c>
      <ns0:c r="E584" t="inlineStr">
        <ns0:is>
          <ns0:t>gpt-4.1-nano</ns0:t>
        </ns0:is>
      </ns0:c>
      <ns0:c r="F584" t="inlineStr">
        <ns0:is>
          <ns0:t>E0433</ns0:t>
        </ns0:is>
      </ns0:c>
      <ns0:c r="G584" t="n">
        <ns0:v>1</ns0:v>
      </ns0:c>
      <ns0:c r="H584" t="n">
        <ns0:v>0</ns0:v>
      </ns0:c>
      <ns0:c r="I584" t="n">
        <ns0:v>0</ns0:v>
      </ns0:c>
      <ns0:c r="J584" t="n">
        <ns0:v>0</ns0:v>
      </ns0:c>
      <ns0:c r="K584" t="n">
        <ns0:v>0</ns0:v>
      </ns0:c>
      <ns0:c r="L584" t="n">
        <ns0:v>1</ns0:v>
      </ns0:c>
      <ns0:c r="M584" t="n">
        <ns0:v>20461</ns0:v>
      </ns0:c>
      <ns0:c r="N584" t="n">
        <ns0:v>284</ns0:v>
      </ns0:c>
      <ns0:c r="O584" t="n">
        <ns0:v>20745</ns0:v>
      </ns0:c>
      <ns0:c r="P584" t="n">
        <ns0:v>3</ns0:v>
      </ns0:c>
      <ns0:c r="Q584">
        <ns0:f>IF(AND(L584=1,O584*Calculations!$B$2&lt;=Calculations!$B$10*Calculations!$B$4),1,0)</ns0:f>
        <ns0:v>1</ns0:v>
      </ns0:c>
      <ns0:c r="R584">
        <ns0:f>IF(AND(L584=1,O584*Calculations!$B$2&lt;=Calculations!$B$11*Calculations!$B$4),1,0)</ns0:f>
        <ns0:v>1</ns0:v>
      </ns0:c>
    </ns0:row>
    <ns0:row r="585">
      <ns0:c r="A585" t="inlineStr">
        <ns0:is>
          <ns0:t>case_0584</ns0:t>
        </ns0:is>
      </ns0:c>
      <ns0:c r="B585" t="inlineStr">
        <ns0:is>
          <ns0:t>function_0102</ns0:t>
        </ns0:is>
      </ns0:c>
      <ns0:c r="C585" t="inlineStr">
        <ns0:is>
          <ns0:t>run_007</ns0:t>
        </ns0:is>
      </ns0:c>
      <ns0:c r="D585" t="inlineStr">
        <ns0:is>
          <ns0:t>humantime</ns0:t>
        </ns0:is>
      </ns0:c>
      <ns0:c r="E585" t="inlineStr">
        <ns0:is>
          <ns0:t>gpt-4.1-nano</ns0:t>
        </ns0:is>
      </ns0:c>
      <ns0:c r="F585" t="inlineStr">
        <ns0:is>
          <ns0:t>E0432</ns0:t>
        </ns0:is>
      </ns0:c>
      <ns0:c r="G585" t="n">
        <ns0:v>0</ns0:v>
      </ns0:c>
      <ns0:c r="H585" t="n">
        <ns0:v>0</ns0:v>
      </ns0:c>
      <ns0:c r="I585" t="n">
        <ns0:v>0</ns0:v>
      </ns0:c>
      <ns0:c r="J585" t="n">
        <ns0:v>0</ns0:v>
      </ns0:c>
      <ns0:c r="K585" t="n">
        <ns0:v>0</ns0:v>
      </ns0:c>
      <ns0:c r="L585" t="n">
        <ns0:v>1</ns0:v>
      </ns0:c>
      <ns0:c r="M585" t="n">
        <ns0:v>50458</ns0:v>
      </ns0:c>
      <ns0:c r="N585" t="n">
        <ns0:v>563</ns0:v>
      </ns0:c>
      <ns0:c r="O585" t="n">
        <ns0:v>51021</ns0:v>
      </ns0:c>
      <ns0:c r="P585" t="n">
        <ns0:v>7</ns0:v>
      </ns0:c>
      <ns0:c r="Q585">
        <ns0:f>IF(AND(L585=1,O585*Calculations!$B$2&lt;=Calculations!$B$10*Calculations!$B$4),1,0)</ns0:f>
        <ns0:v>0</ns0:v>
      </ns0:c>
      <ns0:c r="R585">
        <ns0:f>IF(AND(L585=1,O585*Calculations!$B$2&lt;=Calculations!$B$11*Calculations!$B$4),1,0)</ns0:f>
        <ns0:v>0</ns0:v>
      </ns0:c>
    </ns0:row>
    <ns0:row r="586">
      <ns0:c r="A586" t="inlineStr">
        <ns0:is>
          <ns0:t>case_0585</ns0:t>
        </ns0:is>
      </ns0:c>
      <ns0:c r="B586" t="inlineStr">
        <ns0:is>
          <ns0:t>function_0102</ns0:t>
        </ns0:is>
      </ns0:c>
      <ns0:c r="C586" t="inlineStr">
        <ns0:is>
          <ns0:t>run_007</ns0:t>
        </ns0:is>
      </ns0:c>
      <ns0:c r="D586" t="inlineStr">
        <ns0:is>
          <ns0:t>humantime</ns0:t>
        </ns0:is>
      </ns0:c>
      <ns0:c r="E586" t="inlineStr">
        <ns0:is>
          <ns0:t>gpt-4.1-nano</ns0:t>
        </ns0:is>
      </ns0:c>
      <ns0:c r="F586" t="inlineStr">
        <ns0:is>
          <ns0:t>E0433</ns0:t>
        </ns0:is>
      </ns0:c>
      <ns0:c r="G586" t="n">
        <ns0:v>1</ns0:v>
      </ns0:c>
      <ns0:c r="H586" t="n">
        <ns0:v>0</ns0:v>
      </ns0:c>
      <ns0:c r="I586" t="n">
        <ns0:v>0</ns0:v>
      </ns0:c>
      <ns0:c r="J586" t="n">
        <ns0:v>0</ns0:v>
      </ns0:c>
      <ns0:c r="K586" t="n">
        <ns0:v>0</ns0:v>
      </ns0:c>
      <ns0:c r="L586" t="n">
        <ns0:v>1</ns0:v>
      </ns0:c>
      <ns0:c r="M586" t="n">
        <ns0:v>27524</ns0:v>
      </ns0:c>
      <ns0:c r="N586" t="n">
        <ns0:v>555</ns0:v>
      </ns0:c>
      <ns0:c r="O586" t="n">
        <ns0:v>28079</ns0:v>
      </ns0:c>
      <ns0:c r="P586" t="n">
        <ns0:v>4</ns0:v>
      </ns0:c>
      <ns0:c r="Q586">
        <ns0:f>IF(AND(L586=1,O586*Calculations!$B$2&lt;=Calculations!$B$10*Calculations!$B$4),1,0)</ns0:f>
        <ns0:v>0</ns0:v>
      </ns0:c>
      <ns0:c r="R586">
        <ns0:f>IF(AND(L586=1,O586*Calculations!$B$2&lt;=Calculations!$B$11*Calculations!$B$4),1,0)</ns0:f>
        <ns0:v>1</ns0:v>
      </ns0:c>
    </ns0:row>
    <ns0:row r="587">
      <ns0:c r="A587" t="inlineStr">
        <ns0:is>
          <ns0:t>case_0586</ns0:t>
        </ns0:is>
      </ns0:c>
      <ns0:c r="B587" t="inlineStr">
        <ns0:is>
          <ns0:t>function_0103</ns0:t>
        </ns0:is>
      </ns0:c>
      <ns0:c r="C587" t="inlineStr">
        <ns0:is>
          <ns0:t>run_007</ns0:t>
        </ns0:is>
      </ns0:c>
      <ns0:c r="D587" t="inlineStr">
        <ns0:is>
          <ns0:t>humantime</ns0:t>
        </ns0:is>
      </ns0:c>
      <ns0:c r="E587" t="inlineStr">
        <ns0:is>
          <ns0:t>gpt-4.1-nano</ns0:t>
        </ns0:is>
      </ns0:c>
      <ns0:c r="F587" t="inlineStr">
        <ns0:is>
          <ns0:t>E0433</ns0:t>
        </ns0:is>
      </ns0:c>
      <ns0:c r="G587" t="n">
        <ns0:v>1</ns0:v>
      </ns0:c>
      <ns0:c r="H587" t="n">
        <ns0:v>0</ns0:v>
      </ns0:c>
      <ns0:c r="I587" t="n">
        <ns0:v>0</ns0:v>
      </ns0:c>
      <ns0:c r="J587" t="n">
        <ns0:v>0</ns0:v>
      </ns0:c>
      <ns0:c r="K587" t="n">
        <ns0:v>0</ns0:v>
      </ns0:c>
      <ns0:c r="L587" t="n">
        <ns0:v>1</ns0:v>
      </ns0:c>
      <ns0:c r="M587" t="n">
        <ns0:v>38497</ns0:v>
      </ns0:c>
      <ns0:c r="N587" t="n">
        <ns0:v>890</ns0:v>
      </ns0:c>
      <ns0:c r="O587" t="n">
        <ns0:v>39387</ns0:v>
      </ns0:c>
      <ns0:c r="P587" t="n">
        <ns0:v>5</ns0:v>
      </ns0:c>
      <ns0:c r="Q587">
        <ns0:f>IF(AND(L587=1,O587*Calculations!$B$2&lt;=Calculations!$B$10*Calculations!$B$4),1,0)</ns0:f>
        <ns0:v>0</ns0:v>
      </ns0:c>
      <ns0:c r="R587">
        <ns0:f>IF(AND(L587=1,O587*Calculations!$B$2&lt;=Calculations!$B$11*Calculations!$B$4),1,0)</ns0:f>
        <ns0:v>1</ns0:v>
      </ns0:c>
    </ns0:row>
    <ns0:row r="588">
      <ns0:c r="A588" t="inlineStr">
        <ns0:is>
          <ns0:t>case_0587</ns0:t>
        </ns0:is>
      </ns0:c>
      <ns0:c r="B588" t="inlineStr">
        <ns0:is>
          <ns0:t>function_0103</ns0:t>
        </ns0:is>
      </ns0:c>
      <ns0:c r="C588" t="inlineStr">
        <ns0:is>
          <ns0:t>run_007</ns0:t>
        </ns0:is>
      </ns0:c>
      <ns0:c r="D588" t="inlineStr">
        <ns0:is>
          <ns0:t>humantime</ns0:t>
        </ns0:is>
      </ns0:c>
      <ns0:c r="E588" t="inlineStr">
        <ns0:is>
          <ns0:t>gpt-4.1-nano</ns0:t>
        </ns0:is>
      </ns0:c>
      <ns0:c r="F588" t="inlineStr">
        <ns0:is>
          <ns0:t>E0433</ns0:t>
        </ns0:is>
      </ns0:c>
      <ns0:c r="G588" t="n">
        <ns0:v>1</ns0:v>
      </ns0:c>
      <ns0:c r="H588" t="n">
        <ns0:v>0</ns0:v>
      </ns0:c>
      <ns0:c r="I588" t="n">
        <ns0:v>0</ns0:v>
      </ns0:c>
      <ns0:c r="J588" t="n">
        <ns0:v>0</ns0:v>
      </ns0:c>
      <ns0:c r="K588" t="n">
        <ns0:v>0</ns0:v>
      </ns0:c>
      <ns0:c r="L588" t="n">
        <ns0:v>1</ns0:v>
      </ns0:c>
      <ns0:c r="M588" t="n">
        <ns0:v>20522</ns0:v>
      </ns0:c>
      <ns0:c r="N588" t="n">
        <ns0:v>539</ns0:v>
      </ns0:c>
      <ns0:c r="O588" t="n">
        <ns0:v>21061</ns0:v>
      </ns0:c>
      <ns0:c r="P588" t="n">
        <ns0:v>3</ns0:v>
      </ns0:c>
      <ns0:c r="Q588">
        <ns0:f>IF(AND(L588=1,O588*Calculations!$B$2&lt;=Calculations!$B$10*Calculations!$B$4),1,0)</ns0:f>
        <ns0:v>1</ns0:v>
      </ns0:c>
      <ns0:c r="R588">
        <ns0:f>IF(AND(L588=1,O588*Calculations!$B$2&lt;=Calculations!$B$11*Calculations!$B$4),1,0)</ns0:f>
        <ns0:v>1</ns0:v>
      </ns0:c>
    </ns0:row>
    <ns0:row r="589">
      <ns0:c r="A589" t="inlineStr">
        <ns0:is>
          <ns0:t>case_0588</ns0:t>
        </ns0:is>
      </ns0:c>
      <ns0:c r="B589" t="inlineStr">
        <ns0:is>
          <ns0:t>function_0103</ns0:t>
        </ns0:is>
      </ns0:c>
      <ns0:c r="C589" t="inlineStr">
        <ns0:is>
          <ns0:t>run_007</ns0:t>
        </ns0:is>
      </ns0:c>
      <ns0:c r="D589" t="inlineStr">
        <ns0:is>
          <ns0:t>humantime</ns0:t>
        </ns0:is>
      </ns0:c>
      <ns0:c r="E589" t="inlineStr">
        <ns0:is>
          <ns0:t>gpt-4.1-nano</ns0:t>
        </ns0:is>
      </ns0:c>
      <ns0:c r="F589" t="inlineStr">
        <ns0:is>
          <ns0:t>E0433</ns0:t>
        </ns0:is>
      </ns0:c>
      <ns0:c r="G589" t="n">
        <ns0:v>0</ns0:v>
      </ns0:c>
      <ns0:c r="H589" t="n">
        <ns0:v>4702</ns0:v>
      </ns0:c>
      <ns0:c r="I589" t="n">
        <ns0:v>189</ns0:v>
      </ns0:c>
      <ns0:c r="J589" t="n">
        <ns0:v>4891</ns0:v>
      </ns0:c>
      <ns0:c r="K589" t="n">
        <ns0:v>3</ns0:v>
      </ns0:c>
      <ns0:c r="L589" t="n">
        <ns0:v>1</ns0:v>
      </ns0:c>
      <ns0:c r="M589" t="n">
        <ns0:v>36497</ns0:v>
      </ns0:c>
      <ns0:c r="N589" t="n">
        <ns0:v>630</ns0:v>
      </ns0:c>
      <ns0:c r="O589" t="n">
        <ns0:v>37127</ns0:v>
      </ns0:c>
      <ns0:c r="P589" t="n">
        <ns0:v>5</ns0:v>
      </ns0:c>
      <ns0:c r="Q589">
        <ns0:f>IF(AND(L589=1,O589*Calculations!$B$2&lt;=Calculations!$B$10*Calculations!$B$4),1,0)</ns0:f>
        <ns0:v>0</ns0:v>
      </ns0:c>
      <ns0:c r="R589">
        <ns0:f>IF(AND(L589=1,O589*Calculations!$B$2&lt;=Calculations!$B$11*Calculations!$B$4),1,0)</ns0:f>
        <ns0:v>1</ns0:v>
      </ns0:c>
    </ns0:row>
    <ns0:row r="590">
      <ns0:c r="A590" t="inlineStr">
        <ns0:is>
          <ns0:t>case_0589</ns0:t>
        </ns0:is>
      </ns0:c>
      <ns0:c r="B590" t="inlineStr">
        <ns0:is>
          <ns0:t>function_0103</ns0:t>
        </ns0:is>
      </ns0:c>
      <ns0:c r="C590" t="inlineStr">
        <ns0:is>
          <ns0:t>run_007</ns0:t>
        </ns0:is>
      </ns0:c>
      <ns0:c r="D590" t="inlineStr">
        <ns0:is>
          <ns0:t>humantime</ns0:t>
        </ns0:is>
      </ns0:c>
      <ns0:c r="E590" t="inlineStr">
        <ns0:is>
          <ns0:t>gpt-4.1-nano</ns0:t>
        </ns0:is>
      </ns0:c>
      <ns0:c r="F590" t="inlineStr">
        <ns0:is>
          <ns0:t>E0283</ns0:t>
        </ns0:is>
      </ns0:c>
      <ns0:c r="G590" t="n">
        <ns0:v>0</ns0:v>
      </ns0:c>
      <ns0:c r="H590" t="n">
        <ns0:v>2051</ns0:v>
      </ns0:c>
      <ns0:c r="I590" t="n">
        <ns0:v>255</ns0:v>
      </ns0:c>
      <ns0:c r="J590" t="n">
        <ns0:v>2306</ns0:v>
      </ns0:c>
      <ns0:c r="K590" t="n">
        <ns0:v>3</ns0:v>
      </ns0:c>
      <ns0:c r="L590" t="n">
        <ns0:v>1</ns0:v>
      </ns0:c>
      <ns0:c r="M590" t="n">
        <ns0:v>48637</ns0:v>
      </ns0:c>
      <ns0:c r="N590" t="n">
        <ns0:v>806</ns0:v>
      </ns0:c>
      <ns0:c r="O590" t="n">
        <ns0:v>49443</ns0:v>
      </ns0:c>
      <ns0:c r="P590" t="n">
        <ns0:v>6</ns0:v>
      </ns0:c>
      <ns0:c r="Q590">
        <ns0:f>IF(AND(L590=1,O590*Calculations!$B$2&lt;=Calculations!$B$10*Calculations!$B$4),1,0)</ns0:f>
        <ns0:v>0</ns0:v>
      </ns0:c>
      <ns0:c r="R590">
        <ns0:f>IF(AND(L590=1,O590*Calculations!$B$2&lt;=Calculations!$B$11*Calculations!$B$4),1,0)</ns0:f>
        <ns0:v>0</ns0:v>
      </ns0:c>
    </ns0:row>
    <ns0:row r="591">
      <ns0:c r="A591" t="inlineStr">
        <ns0:is>
          <ns0:t>case_0590</ns0:t>
        </ns0:is>
      </ns0:c>
      <ns0:c r="B591" t="inlineStr">
        <ns0:is>
          <ns0:t>function_0103</ns0:t>
        </ns0:is>
      </ns0:c>
      <ns0:c r="C591" t="inlineStr">
        <ns0:is>
          <ns0:t>run_007</ns0:t>
        </ns0:is>
      </ns0:c>
      <ns0:c r="D591" t="inlineStr">
        <ns0:is>
          <ns0:t>humantime</ns0:t>
        </ns0:is>
      </ns0:c>
      <ns0:c r="E591" t="inlineStr">
        <ns0:is>
          <ns0:t>gpt-4.1-nano</ns0:t>
        </ns0:is>
      </ns0:c>
      <ns0:c r="F591" t="inlineStr">
        <ns0:is>
          <ns0:t>E0283,E0433</ns0:t>
        </ns0:is>
      </ns0:c>
      <ns0:c r="G591" t="n">
        <ns0:v>0</ns0:v>
      </ns0:c>
      <ns0:c r="H591" t="n">
        <ns0:v>3484</ns0:v>
      </ns0:c>
      <ns0:c r="I591" t="n">
        <ns0:v>283</ns0:v>
      </ns0:c>
      <ns0:c r="J591" t="n">
        <ns0:v>3767</ns0:v>
      </ns0:c>
      <ns0:c r="K591" t="n">
        <ns0:v>3</ns0:v>
      </ns0:c>
      <ns0:c r="L591" t="n">
        <ns0:v>1</ns0:v>
      </ns0:c>
      <ns0:c r="M591" t="n">
        <ns0:v>20900</ns0:v>
      </ns0:c>
      <ns0:c r="N591" t="n">
        <ns0:v>690</ns0:v>
      </ns0:c>
      <ns0:c r="O591" t="n">
        <ns0:v>21590</ns0:v>
      </ns0:c>
      <ns0:c r="P591" t="n">
        <ns0:v>3</ns0:v>
      </ns0:c>
      <ns0:c r="Q591">
        <ns0:f>IF(AND(L591=1,O591*Calculations!$B$2&lt;=Calculations!$B$10*Calculations!$B$4),1,0)</ns0:f>
        <ns0:v>1</ns0:v>
      </ns0:c>
      <ns0:c r="R591">
        <ns0:f>IF(AND(L591=1,O591*Calculations!$B$2&lt;=Calculations!$B$11*Calculations!$B$4),1,0)</ns0:f>
        <ns0:v>1</ns0:v>
      </ns0:c>
    </ns0:row>
    <ns0:row r="592">
      <ns0:c r="A592" t="inlineStr">
        <ns0:is>
          <ns0:t>case_0591</ns0:t>
        </ns0:is>
      </ns0:c>
      <ns0:c r="B592" t="inlineStr">
        <ns0:is>
          <ns0:t>function_0103</ns0:t>
        </ns0:is>
      </ns0:c>
      <ns0:c r="C592" t="inlineStr">
        <ns0:is>
          <ns0:t>run_007</ns0:t>
        </ns0:is>
      </ns0:c>
      <ns0:c r="D592" t="inlineStr">
        <ns0:is>
          <ns0:t>humantime</ns0:t>
        </ns0:is>
      </ns0:c>
      <ns0:c r="E592" t="inlineStr">
        <ns0:is>
          <ns0:t>gpt-4.1-nano</ns0:t>
        </ns0:is>
      </ns0:c>
      <ns0:c r="F592" t="inlineStr">
        <ns0:is>
          <ns0:t>E0283,E0433</ns0:t>
        </ns0:is>
      </ns0:c>
      <ns0:c r="G592" t="n">
        <ns0:v>0</ns0:v>
      </ns0:c>
      <ns0:c r="H592" t="n">
        <ns0:v>3327</ns0:v>
      </ns0:c>
      <ns0:c r="I592" t="n">
        <ns0:v>150</ns0:v>
      </ns0:c>
      <ns0:c r="J592" t="n">
        <ns0:v>3477</ns0:v>
      </ns0:c>
      <ns0:c r="K592" t="n">
        <ns0:v>3</ns0:v>
      </ns0:c>
      <ns0:c r="L592" t="n">
        <ns0:v>1</ns0:v>
      </ns0:c>
      <ns0:c r="M592" t="n">
        <ns0:v>43856</ns0:v>
      </ns0:c>
      <ns0:c r="N592" t="n">
        <ns0:v>943</ns0:v>
      </ns0:c>
      <ns0:c r="O592" t="n">
        <ns0:v>44799</ns0:v>
      </ns0:c>
      <ns0:c r="P592" t="n">
        <ns0:v>6</ns0:v>
      </ns0:c>
      <ns0:c r="Q592">
        <ns0:f>IF(AND(L592=1,O592*Calculations!$B$2&lt;=Calculations!$B$10*Calculations!$B$4),1,0)</ns0:f>
        <ns0:v>0</ns0:v>
      </ns0:c>
      <ns0:c r="R592">
        <ns0:f>IF(AND(L592=1,O592*Calculations!$B$2&lt;=Calculations!$B$11*Calculations!$B$4),1,0)</ns0:f>
        <ns0:v>1</ns0:v>
      </ns0:c>
    </ns0:row>
    <ns0:row r="593">
      <ns0:c r="A593" t="inlineStr">
        <ns0:is>
          <ns0:t>case_0592</ns0:t>
        </ns0:is>
      </ns0:c>
      <ns0:c r="B593" t="inlineStr">
        <ns0:is>
          <ns0:t>function_0104</ns0:t>
        </ns0:is>
      </ns0:c>
      <ns0:c r="C593" t="inlineStr">
        <ns0:is>
          <ns0:t>run_007</ns0:t>
        </ns0:is>
      </ns0:c>
      <ns0:c r="D593" t="inlineStr">
        <ns0:is>
          <ns0:t>humantime</ns0:t>
        </ns0:is>
      </ns0:c>
      <ns0:c r="E593" t="inlineStr">
        <ns0:is>
          <ns0:t>gpt-4.1-nano</ns0:t>
        </ns0:is>
      </ns0:c>
      <ns0:c r="F593" t="inlineStr">
        <ns0:is>
          <ns0:t>E0433</ns0:t>
        </ns0:is>
      </ns0:c>
      <ns0:c r="G593" t="n">
        <ns0:v>1</ns0:v>
      </ns0:c>
      <ns0:c r="H593" t="n">
        <ns0:v>0</ns0:v>
      </ns0:c>
      <ns0:c r="I593" t="n">
        <ns0:v>0</ns0:v>
      </ns0:c>
      <ns0:c r="J593" t="n">
        <ns0:v>0</ns0:v>
      </ns0:c>
      <ns0:c r="K593" t="n">
        <ns0:v>0</ns0:v>
      </ns0:c>
      <ns0:c r="L593" t="n">
        <ns0:v>1</ns0:v>
      </ns0:c>
      <ns0:c r="M593" t="n">
        <ns0:v>28125</ns0:v>
      </ns0:c>
      <ns0:c r="N593" t="n">
        <ns0:v>926</ns0:v>
      </ns0:c>
      <ns0:c r="O593" t="n">
        <ns0:v>29051</ns0:v>
      </ns0:c>
      <ns0:c r="P593" t="n">
        <ns0:v>4</ns0:v>
      </ns0:c>
      <ns0:c r="Q593">
        <ns0:f>IF(AND(L593=1,O593*Calculations!$B$2&lt;=Calculations!$B$10*Calculations!$B$4),1,0)</ns0:f>
        <ns0:v>0</ns0:v>
      </ns0:c>
      <ns0:c r="R593">
        <ns0:f>IF(AND(L593=1,O593*Calculations!$B$2&lt;=Calculations!$B$11*Calculations!$B$4),1,0)</ns0:f>
        <ns0:v>1</ns0:v>
      </ns0:c>
    </ns0:row>
    <ns0:row r="594">
      <ns0:c r="A594" t="inlineStr">
        <ns0:is>
          <ns0:t>case_0593</ns0:t>
        </ns0:is>
      </ns0:c>
      <ns0:c r="B594" t="inlineStr">
        <ns0:is>
          <ns0:t>function_0104</ns0:t>
        </ns0:is>
      </ns0:c>
      <ns0:c r="C594" t="inlineStr">
        <ns0:is>
          <ns0:t>run_007</ns0:t>
        </ns0:is>
      </ns0:c>
      <ns0:c r="D594" t="inlineStr">
        <ns0:is>
          <ns0:t>humantime</ns0:t>
        </ns0:is>
      </ns0:c>
      <ns0:c r="E594" t="inlineStr">
        <ns0:is>
          <ns0:t>gpt-4.1-nano</ns0:t>
        </ns0:is>
      </ns0:c>
      <ns0:c r="F594" t="inlineStr">
        <ns0:is>
          <ns0:t>E0433</ns0:t>
        </ns0:is>
      </ns0:c>
      <ns0:c r="G594" t="n">
        <ns0:v>1</ns0:v>
      </ns0:c>
      <ns0:c r="H594" t="n">
        <ns0:v>0</ns0:v>
      </ns0:c>
      <ns0:c r="I594" t="n">
        <ns0:v>0</ns0:v>
      </ns0:c>
      <ns0:c r="J594" t="n">
        <ns0:v>0</ns0:v>
      </ns0:c>
      <ns0:c r="K594" t="n">
        <ns0:v>0</ns0:v>
      </ns0:c>
      <ns0:c r="L594" t="n">
        <ns0:v>1</ns0:v>
      </ns0:c>
      <ns0:c r="M594" t="n">
        <ns0:v>28339</ns0:v>
      </ns0:c>
      <ns0:c r="N594" t="n">
        <ns0:v>457</ns0:v>
      </ns0:c>
      <ns0:c r="O594" t="n">
        <ns0:v>28796</ns0:v>
      </ns0:c>
      <ns0:c r="P594" t="n">
        <ns0:v>4</ns0:v>
      </ns0:c>
      <ns0:c r="Q594">
        <ns0:f>IF(AND(L594=1,O594*Calculations!$B$2&lt;=Calculations!$B$10*Calculations!$B$4),1,0)</ns0:f>
        <ns0:v>0</ns0:v>
      </ns0:c>
      <ns0:c r="R594">
        <ns0:f>IF(AND(L594=1,O594*Calculations!$B$2&lt;=Calculations!$B$11*Calculations!$B$4),1,0)</ns0:f>
        <ns0:v>1</ns0:v>
      </ns0:c>
    </ns0:row>
    <ns0:row r="595">
      <ns0:c r="A595" t="inlineStr">
        <ns0:is>
          <ns0:t>case_0594</ns0:t>
        </ns0:is>
      </ns0:c>
      <ns0:c r="B595" t="inlineStr">
        <ns0:is>
          <ns0:t>function_0104</ns0:t>
        </ns0:is>
      </ns0:c>
      <ns0:c r="C595" t="inlineStr">
        <ns0:is>
          <ns0:t>run_007</ns0:t>
        </ns0:is>
      </ns0:c>
      <ns0:c r="D595" t="inlineStr">
        <ns0:is>
          <ns0:t>humantime</ns0:t>
        </ns0:is>
      </ns0:c>
      <ns0:c r="E595" t="inlineStr">
        <ns0:is>
          <ns0:t>gpt-4.1-nano</ns0:t>
        </ns0:is>
      </ns0:c>
      <ns0:c r="F595" t="inlineStr">
        <ns0:is>
          <ns0:t>E0433</ns0:t>
        </ns0:is>
      </ns0:c>
      <ns0:c r="G595" t="n">
        <ns0:v>1</ns0:v>
      </ns0:c>
      <ns0:c r="H595" t="n">
        <ns0:v>0</ns0:v>
      </ns0:c>
      <ns0:c r="I595" t="n">
        <ns0:v>0</ns0:v>
      </ns0:c>
      <ns0:c r="J595" t="n">
        <ns0:v>0</ns0:v>
      </ns0:c>
      <ns0:c r="K595" t="n">
        <ns0:v>0</ns0:v>
      </ns0:c>
      <ns0:c r="L595" t="n">
        <ns0:v>1</ns0:v>
      </ns0:c>
      <ns0:c r="M595" t="n">
        <ns0:v>21248</ns0:v>
      </ns0:c>
      <ns0:c r="N595" t="n">
        <ns0:v>538</ns0:v>
      </ns0:c>
      <ns0:c r="O595" t="n">
        <ns0:v>21786</ns0:v>
      </ns0:c>
      <ns0:c r="P595" t="n">
        <ns0:v>3</ns0:v>
      </ns0:c>
      <ns0:c r="Q595">
        <ns0:f>IF(AND(L595=1,O595*Calculations!$B$2&lt;=Calculations!$B$10*Calculations!$B$4),1,0)</ns0:f>
        <ns0:v>1</ns0:v>
      </ns0:c>
      <ns0:c r="R595">
        <ns0:f>IF(AND(L595=1,O595*Calculations!$B$2&lt;=Calculations!$B$11*Calculations!$B$4),1,0)</ns0:f>
        <ns0:v>1</ns0:v>
      </ns0:c>
    </ns0:row>
    <ns0:row r="596">
      <ns0:c r="A596" t="inlineStr">
        <ns0:is>
          <ns0:t>case_0595</ns0:t>
        </ns0:is>
      </ns0:c>
      <ns0:c r="B596" t="inlineStr">
        <ns0:is>
          <ns0:t>function_0104</ns0:t>
        </ns0:is>
      </ns0:c>
      <ns0:c r="C596" t="inlineStr">
        <ns0:is>
          <ns0:t>run_007</ns0:t>
        </ns0:is>
      </ns0:c>
      <ns0:c r="D596" t="inlineStr">
        <ns0:is>
          <ns0:t>humantime</ns0:t>
        </ns0:is>
      </ns0:c>
      <ns0:c r="E596" t="inlineStr">
        <ns0:is>
          <ns0:t>gpt-4.1-nano</ns0:t>
        </ns0:is>
      </ns0:c>
      <ns0:c r="F596" t="inlineStr">
        <ns0:is>
          <ns0:t>E0433</ns0:t>
        </ns0:is>
      </ns0:c>
      <ns0:c r="G596" t="n">
        <ns0:v>1</ns0:v>
      </ns0:c>
      <ns0:c r="H596" t="n">
        <ns0:v>0</ns0:v>
      </ns0:c>
      <ns0:c r="I596" t="n">
        <ns0:v>0</ns0:v>
      </ns0:c>
      <ns0:c r="J596" t="n">
        <ns0:v>0</ns0:v>
      </ns0:c>
      <ns0:c r="K596" t="n">
        <ns0:v>0</ns0:v>
      </ns0:c>
      <ns0:c r="L596" t="n">
        <ns0:v>1</ns0:v>
      </ns0:c>
      <ns0:c r="M596" t="n">
        <ns0:v>20081</ns0:v>
      </ns0:c>
      <ns0:c r="N596" t="n">
        <ns0:v>363</ns0:v>
      </ns0:c>
      <ns0:c r="O596" t="n">
        <ns0:v>20444</ns0:v>
      </ns0:c>
      <ns0:c r="P596" t="n">
        <ns0:v>3</ns0:v>
      </ns0:c>
      <ns0:c r="Q596">
        <ns0:f>IF(AND(L596=1,O596*Calculations!$B$2&lt;=Calculations!$B$10*Calculations!$B$4),1,0)</ns0:f>
        <ns0:v>1</ns0:v>
      </ns0:c>
      <ns0:c r="R596">
        <ns0:f>IF(AND(L596=1,O596*Calculations!$B$2&lt;=Calculations!$B$11*Calculations!$B$4),1,0)</ns0:f>
        <ns0:v>1</ns0:v>
      </ns0:c>
    </ns0:row>
    <ns0:row r="597">
      <ns0:c r="A597" t="inlineStr">
        <ns0:is>
          <ns0:t>case_0596</ns0:t>
        </ns0:is>
      </ns0:c>
      <ns0:c r="B597" t="inlineStr">
        <ns0:is>
          <ns0:t>function_0104</ns0:t>
        </ns0:is>
      </ns0:c>
      <ns0:c r="C597" t="inlineStr">
        <ns0:is>
          <ns0:t>run_007</ns0:t>
        </ns0:is>
      </ns0:c>
      <ns0:c r="D597" t="inlineStr">
        <ns0:is>
          <ns0:t>humantime</ns0:t>
        </ns0:is>
      </ns0:c>
      <ns0:c r="E597" t="inlineStr">
        <ns0:is>
          <ns0:t>gpt-4.1-nano</ns0:t>
        </ns0:is>
      </ns0:c>
      <ns0:c r="F597" t="inlineStr">
        <ns0:is>
          <ns0:t>E0433</ns0:t>
        </ns0:is>
      </ns0:c>
      <ns0:c r="G597" t="n">
        <ns0:v>1</ns0:v>
      </ns0:c>
      <ns0:c r="H597" t="n">
        <ns0:v>0</ns0:v>
      </ns0:c>
      <ns0:c r="I597" t="n">
        <ns0:v>0</ns0:v>
      </ns0:c>
      <ns0:c r="J597" t="n">
        <ns0:v>0</ns0:v>
      </ns0:c>
      <ns0:c r="K597" t="n">
        <ns0:v>0</ns0:v>
      </ns0:c>
      <ns0:c r="L597" t="n">
        <ns0:v>1</ns0:v>
      </ns0:c>
      <ns0:c r="M597" t="n">
        <ns0:v>21427</ns0:v>
      </ns0:c>
      <ns0:c r="N597" t="n">
        <ns0:v>371</ns0:v>
      </ns0:c>
      <ns0:c r="O597" t="n">
        <ns0:v>21798</ns0:v>
      </ns0:c>
      <ns0:c r="P597" t="n">
        <ns0:v>3</ns0:v>
      </ns0:c>
      <ns0:c r="Q597">
        <ns0:f>IF(AND(L597=1,O597*Calculations!$B$2&lt;=Calculations!$B$10*Calculations!$B$4),1,0)</ns0:f>
        <ns0:v>1</ns0:v>
      </ns0:c>
      <ns0:c r="R597">
        <ns0:f>IF(AND(L597=1,O597*Calculations!$B$2&lt;=Calculations!$B$11*Calculations!$B$4),1,0)</ns0:f>
        <ns0:v>1</ns0:v>
      </ns0:c>
    </ns0:row>
    <ns0:row r="598">
      <ns0:c r="A598" t="inlineStr">
        <ns0:is>
          <ns0:t>case_0597</ns0:t>
        </ns0:is>
      </ns0:c>
      <ns0:c r="B598" t="inlineStr">
        <ns0:is>
          <ns0:t>function_0105</ns0:t>
        </ns0:is>
      </ns0:c>
      <ns0:c r="C598" t="inlineStr">
        <ns0:is>
          <ns0:t>run_007</ns0:t>
        </ns0:is>
      </ns0:c>
      <ns0:c r="D598" t="inlineStr">
        <ns0:is>
          <ns0:t>humantime</ns0:t>
        </ns0:is>
      </ns0:c>
      <ns0:c r="E598" t="inlineStr">
        <ns0:is>
          <ns0:t>gpt-4.1-nano</ns0:t>
        </ns0:is>
      </ns0:c>
      <ns0:c r="F598" t="inlineStr">
        <ns0:is>
          <ns0:t>E0432,E0433</ns0:t>
        </ns0:is>
      </ns0:c>
      <ns0:c r="G598" t="n">
        <ns0:v>1</ns0:v>
      </ns0:c>
      <ns0:c r="H598" t="n">
        <ns0:v>0</ns0:v>
      </ns0:c>
      <ns0:c r="I598" t="n">
        <ns0:v>0</ns0:v>
      </ns0:c>
      <ns0:c r="J598" t="n">
        <ns0:v>0</ns0:v>
      </ns0:c>
      <ns0:c r="K598" t="n">
        <ns0:v>0</ns0:v>
      </ns0:c>
      <ns0:c r="L598" t="n">
        <ns0:v>1</ns0:v>
      </ns0:c>
      <ns0:c r="M598" t="n">
        <ns0:v>31809</ns0:v>
      </ns0:c>
      <ns0:c r="N598" t="n">
        <ns0:v>498</ns0:v>
      </ns0:c>
      <ns0:c r="O598" t="n">
        <ns0:v>32307</ns0:v>
      </ns0:c>
      <ns0:c r="P598" t="n">
        <ns0:v>4</ns0:v>
      </ns0:c>
      <ns0:c r="Q598">
        <ns0:f>IF(AND(L598=1,O598*Calculations!$B$2&lt;=Calculations!$B$10*Calculations!$B$4),1,0)</ns0:f>
        <ns0:v>0</ns0:v>
      </ns0:c>
      <ns0:c r="R598">
        <ns0:f>IF(AND(L598=1,O598*Calculations!$B$2&lt;=Calculations!$B$11*Calculations!$B$4),1,0)</ns0:f>
        <ns0:v>1</ns0:v>
      </ns0:c>
    </ns0:row>
    <ns0:row r="599">
      <ns0:c r="A599" t="inlineStr">
        <ns0:is>
          <ns0:t>case_0598</ns0:t>
        </ns0:is>
      </ns0:c>
      <ns0:c r="B599" t="inlineStr">
        <ns0:is>
          <ns0:t>function_0105</ns0:t>
        </ns0:is>
      </ns0:c>
      <ns0:c r="C599" t="inlineStr">
        <ns0:is>
          <ns0:t>run_007</ns0:t>
        </ns0:is>
      </ns0:c>
      <ns0:c r="D599" t="inlineStr">
        <ns0:is>
          <ns0:t>humantime</ns0:t>
        </ns0:is>
      </ns0:c>
      <ns0:c r="E599" t="inlineStr">
        <ns0:is>
          <ns0:t>gpt-4.1-nano</ns0:t>
        </ns0:is>
      </ns0:c>
      <ns0:c r="F599" t="inlineStr">
        <ns0:is>
          <ns0:t>E0433</ns0:t>
        </ns0:is>
      </ns0:c>
      <ns0:c r="G599" t="n">
        <ns0:v>1</ns0:v>
      </ns0:c>
      <ns0:c r="H599" t="n">
        <ns0:v>0</ns0:v>
      </ns0:c>
      <ns0:c r="I599" t="n">
        <ns0:v>0</ns0:v>
      </ns0:c>
      <ns0:c r="J599" t="n">
        <ns0:v>0</ns0:v>
      </ns0:c>
      <ns0:c r="K599" t="n">
        <ns0:v>0</ns0:v>
      </ns0:c>
      <ns0:c r="L599" t="n">
        <ns0:v>1</ns0:v>
      </ns0:c>
      <ns0:c r="M599" t="n">
        <ns0:v>32157</ns0:v>
      </ns0:c>
      <ns0:c r="N599" t="n">
        <ns0:v>588</ns0:v>
      </ns0:c>
      <ns0:c r="O599" t="n">
        <ns0:v>32745</ns0:v>
      </ns0:c>
      <ns0:c r="P599" t="n">
        <ns0:v>4</ns0:v>
      </ns0:c>
      <ns0:c r="Q599">
        <ns0:f>IF(AND(L599=1,O599*Calculations!$B$2&lt;=Calculations!$B$10*Calculations!$B$4),1,0)</ns0:f>
        <ns0:v>0</ns0:v>
      </ns0:c>
      <ns0:c r="R599">
        <ns0:f>IF(AND(L599=1,O599*Calculations!$B$2&lt;=Calculations!$B$11*Calculations!$B$4),1,0)</ns0:f>
        <ns0:v>1</ns0:v>
      </ns0:c>
    </ns0:row>
    <ns0:row r="600">
      <ns0:c r="A600" t="inlineStr">
        <ns0:is>
          <ns0:t>case_0599</ns0:t>
        </ns0:is>
      </ns0:c>
      <ns0:c r="B600" t="inlineStr">
        <ns0:is>
          <ns0:t>function_0105</ns0:t>
        </ns0:is>
      </ns0:c>
      <ns0:c r="C600" t="inlineStr">
        <ns0:is>
          <ns0:t>run_007</ns0:t>
        </ns0:is>
      </ns0:c>
      <ns0:c r="D600" t="inlineStr">
        <ns0:is>
          <ns0:t>humantime</ns0:t>
        </ns0:is>
      </ns0:c>
      <ns0:c r="E600" t="inlineStr">
        <ns0:is>
          <ns0:t>gpt-4.1-nano</ns0:t>
        </ns0:is>
      </ns0:c>
      <ns0:c r="F600" t="inlineStr">
        <ns0:is>
          <ns0:t>E0433</ns0:t>
        </ns0:is>
      </ns0:c>
      <ns0:c r="G600" t="n">
        <ns0:v>1</ns0:v>
      </ns0:c>
      <ns0:c r="H600" t="n">
        <ns0:v>0</ns0:v>
      </ns0:c>
      <ns0:c r="I600" t="n">
        <ns0:v>0</ns0:v>
      </ns0:c>
      <ns0:c r="J600" t="n">
        <ns0:v>0</ns0:v>
      </ns0:c>
      <ns0:c r="K600" t="n">
        <ns0:v>0</ns0:v>
      </ns0:c>
      <ns0:c r="L600" t="n">
        <ns0:v>1</ns0:v>
      </ns0:c>
      <ns0:c r="M600" t="n">
        <ns0:v>27609</ns0:v>
      </ns0:c>
      <ns0:c r="N600" t="n">
        <ns0:v>531</ns0:v>
      </ns0:c>
      <ns0:c r="O600" t="n">
        <ns0:v>28140</ns0:v>
      </ns0:c>
      <ns0:c r="P600" t="n">
        <ns0:v>4</ns0:v>
      </ns0:c>
      <ns0:c r="Q600">
        <ns0:f>IF(AND(L600=1,O600*Calculations!$B$2&lt;=Calculations!$B$10*Calculations!$B$4),1,0)</ns0:f>
        <ns0:v>0</ns0:v>
      </ns0:c>
      <ns0:c r="R600">
        <ns0:f>IF(AND(L600=1,O600*Calculations!$B$2&lt;=Calculations!$B$11*Calculations!$B$4),1,0)</ns0:f>
        <ns0:v>1</ns0:v>
      </ns0:c>
    </ns0:row>
    <ns0:row r="601">
      <ns0:c r="A601" t="inlineStr">
        <ns0:is>
          <ns0:t>case_0600</ns0:t>
        </ns0:is>
      </ns0:c>
      <ns0:c r="B601" t="inlineStr">
        <ns0:is>
          <ns0:t>function_0106</ns0:t>
        </ns0:is>
      </ns0:c>
      <ns0:c r="C601" t="inlineStr">
        <ns0:is>
          <ns0:t>run_007</ns0:t>
        </ns0:is>
      </ns0:c>
      <ns0:c r="D601" t="inlineStr">
        <ns0:is>
          <ns0:t>humantime</ns0:t>
        </ns0:is>
      </ns0:c>
      <ns0:c r="E601" t="inlineStr">
        <ns0:is>
          <ns0:t>gpt-4.1-nano</ns0:t>
        </ns0:is>
      </ns0:c>
      <ns0:c r="F601" t="inlineStr">
        <ns0:is>
          <ns0:t>E0433</ns0:t>
        </ns0:is>
      </ns0:c>
      <ns0:c r="G601" t="n">
        <ns0:v>1</ns0:v>
      </ns0:c>
      <ns0:c r="H601" t="n">
        <ns0:v>0</ns0:v>
      </ns0:c>
      <ns0:c r="I601" t="n">
        <ns0:v>0</ns0:v>
      </ns0:c>
      <ns0:c r="J601" t="n">
        <ns0:v>0</ns0:v>
      </ns0:c>
      <ns0:c r="K601" t="n">
        <ns0:v>0</ns0:v>
      </ns0:c>
      <ns0:c r="L601" t="n">
        <ns0:v>1</ns0:v>
      </ns0:c>
      <ns0:c r="M601" t="n">
        <ns0:v>35851</ns0:v>
      </ns0:c>
      <ns0:c r="N601" t="n">
        <ns0:v>941</ns0:v>
      </ns0:c>
      <ns0:c r="O601" t="n">
        <ns0:v>36792</ns0:v>
      </ns0:c>
      <ns0:c r="P601" t="n">
        <ns0:v>5</ns0:v>
      </ns0:c>
      <ns0:c r="Q601">
        <ns0:f>IF(AND(L601=1,O601*Calculations!$B$2&lt;=Calculations!$B$10*Calculations!$B$4),1,0)</ns0:f>
        <ns0:v>0</ns0:v>
      </ns0:c>
      <ns0:c r="R601">
        <ns0:f>IF(AND(L601=1,O601*Calculations!$B$2&lt;=Calculations!$B$11*Calculations!$B$4),1,0)</ns0:f>
        <ns0:v>1</ns0:v>
      </ns0:c>
    </ns0:row>
    <ns0:row r="602">
      <ns0:c r="A602" t="inlineStr">
        <ns0:is>
          <ns0:t>case_0601</ns0:t>
        </ns0:is>
      </ns0:c>
      <ns0:c r="B602" t="inlineStr">
        <ns0:is>
          <ns0:t>function_0106</ns0:t>
        </ns0:is>
      </ns0:c>
      <ns0:c r="C602" t="inlineStr">
        <ns0:is>
          <ns0:t>run_007</ns0:t>
        </ns0:is>
      </ns0:c>
      <ns0:c r="D602" t="inlineStr">
        <ns0:is>
          <ns0:t>humantime</ns0:t>
        </ns0:is>
      </ns0:c>
      <ns0:c r="E602" t="inlineStr">
        <ns0:is>
          <ns0:t>gpt-4.1-nano</ns0:t>
        </ns0:is>
      </ns0:c>
      <ns0:c r="F602" t="inlineStr">
        <ns0:is>
          <ns0:t>E0433</ns0:t>
        </ns0:is>
      </ns0:c>
      <ns0:c r="G602" t="n">
        <ns0:v>1</ns0:v>
      </ns0:c>
      <ns0:c r="H602" t="n">
        <ns0:v>0</ns0:v>
      </ns0:c>
      <ns0:c r="I602" t="n">
        <ns0:v>0</ns0:v>
      </ns0:c>
      <ns0:c r="J602" t="n">
        <ns0:v>0</ns0:v>
      </ns0:c>
      <ns0:c r="K602" t="n">
        <ns0:v>0</ns0:v>
      </ns0:c>
      <ns0:c r="L602" t="n">
        <ns0:v>1</ns0:v>
      </ns0:c>
      <ns0:c r="M602" t="n">
        <ns0:v>28377</ns0:v>
      </ns0:c>
      <ns0:c r="N602" t="n">
        <ns0:v>600</ns0:v>
      </ns0:c>
      <ns0:c r="O602" t="n">
        <ns0:v>28977</ns0:v>
      </ns0:c>
      <ns0:c r="P602" t="n">
        <ns0:v>4</ns0:v>
      </ns0:c>
      <ns0:c r="Q602">
        <ns0:f>IF(AND(L602=1,O602*Calculations!$B$2&lt;=Calculations!$B$10*Calculations!$B$4),1,0)</ns0:f>
        <ns0:v>0</ns0:v>
      </ns0:c>
      <ns0:c r="R602">
        <ns0:f>IF(AND(L602=1,O602*Calculations!$B$2&lt;=Calculations!$B$11*Calculations!$B$4),1,0)</ns0:f>
        <ns0:v>1</ns0:v>
      </ns0:c>
    </ns0:row>
    <ns0:row r="603">
      <ns0:c r="A603" t="inlineStr">
        <ns0:is>
          <ns0:t>case_0602</ns0:t>
        </ns0:is>
      </ns0:c>
      <ns0:c r="B603" t="inlineStr">
        <ns0:is>
          <ns0:t>function_0106</ns0:t>
        </ns0:is>
      </ns0:c>
      <ns0:c r="C603" t="inlineStr">
        <ns0:is>
          <ns0:t>run_007</ns0:t>
        </ns0:is>
      </ns0:c>
      <ns0:c r="D603" t="inlineStr">
        <ns0:is>
          <ns0:t>humantime</ns0:t>
        </ns0:is>
      </ns0:c>
      <ns0:c r="E603" t="inlineStr">
        <ns0:is>
          <ns0:t>gpt-4.1-nano</ns0:t>
        </ns0:is>
      </ns0:c>
      <ns0:c r="F603" t="inlineStr">
        <ns0:is>
          <ns0:t>E0433</ns0:t>
        </ns0:is>
      </ns0:c>
      <ns0:c r="G603" t="n">
        <ns0:v>1</ns0:v>
      </ns0:c>
      <ns0:c r="H603" t="n">
        <ns0:v>0</ns0:v>
      </ns0:c>
      <ns0:c r="I603" t="n">
        <ns0:v>0</ns0:v>
      </ns0:c>
      <ns0:c r="J603" t="n">
        <ns0:v>0</ns0:v>
      </ns0:c>
      <ns0:c r="K603" t="n">
        <ns0:v>0</ns0:v>
      </ns0:c>
      <ns0:c r="L603" t="n">
        <ns0:v>1</ns0:v>
      </ns0:c>
      <ns0:c r="M603" t="n">
        <ns0:v>35774</ns0:v>
      </ns0:c>
      <ns0:c r="N603" t="n">
        <ns0:v>337</ns0:v>
      </ns0:c>
      <ns0:c r="O603" t="n">
        <ns0:v>36111</ns0:v>
      </ns0:c>
      <ns0:c r="P603" t="n">
        <ns0:v>5</ns0:v>
      </ns0:c>
      <ns0:c r="Q603">
        <ns0:f>IF(AND(L603=1,O603*Calculations!$B$2&lt;=Calculations!$B$10*Calculations!$B$4),1,0)</ns0:f>
        <ns0:v>0</ns0:v>
      </ns0:c>
      <ns0:c r="R603">
        <ns0:f>IF(AND(L603=1,O603*Calculations!$B$2&lt;=Calculations!$B$11*Calculations!$B$4),1,0)</ns0:f>
        <ns0:v>1</ns0:v>
      </ns0:c>
    </ns0:row>
    <ns0:row r="604">
      <ns0:c r="A604" t="inlineStr">
        <ns0:is>
          <ns0:t>case_0603</ns0:t>
        </ns0:is>
      </ns0:c>
      <ns0:c r="B604" t="inlineStr">
        <ns0:is>
          <ns0:t>function_0106</ns0:t>
        </ns0:is>
      </ns0:c>
      <ns0:c r="C604" t="inlineStr">
        <ns0:is>
          <ns0:t>run_007</ns0:t>
        </ns0:is>
      </ns0:c>
      <ns0:c r="D604" t="inlineStr">
        <ns0:is>
          <ns0:t>humantime</ns0:t>
        </ns0:is>
      </ns0:c>
      <ns0:c r="E604" t="inlineStr">
        <ns0:is>
          <ns0:t>gpt-4.1-nano</ns0:t>
        </ns0:is>
      </ns0:c>
      <ns0:c r="F604" t="inlineStr">
        <ns0:is>
          <ns0:t>E0433</ns0:t>
        </ns0:is>
      </ns0:c>
      <ns0:c r="G604" t="n">
        <ns0:v>1</ns0:v>
      </ns0:c>
      <ns0:c r="H604" t="n">
        <ns0:v>0</ns0:v>
      </ns0:c>
      <ns0:c r="I604" t="n">
        <ns0:v>0</ns0:v>
      </ns0:c>
      <ns0:c r="J604" t="n">
        <ns0:v>0</ns0:v>
      </ns0:c>
      <ns0:c r="K604" t="n">
        <ns0:v>0</ns0:v>
      </ns0:c>
      <ns0:c r="L604" t="n">
        <ns0:v>1</ns0:v>
      </ns0:c>
      <ns0:c r="M604" t="n">
        <ns0:v>27760</ns0:v>
      </ns0:c>
      <ns0:c r="N604" t="n">
        <ns0:v>384</ns0:v>
      </ns0:c>
      <ns0:c r="O604" t="n">
        <ns0:v>28144</ns0:v>
      </ns0:c>
      <ns0:c r="P604" t="n">
        <ns0:v>4</ns0:v>
      </ns0:c>
      <ns0:c r="Q604">
        <ns0:f>IF(AND(L604=1,O604*Calculations!$B$2&lt;=Calculations!$B$10*Calculations!$B$4),1,0)</ns0:f>
        <ns0:v>0</ns0:v>
      </ns0:c>
      <ns0:c r="R604">
        <ns0:f>IF(AND(L604=1,O604*Calculations!$B$2&lt;=Calculations!$B$11*Calculations!$B$4),1,0)</ns0:f>
        <ns0:v>1</ns0:v>
      </ns0:c>
    </ns0:row>
    <ns0:row r="605">
      <ns0:c r="A605" t="inlineStr">
        <ns0:is>
          <ns0:t>case_0604</ns0:t>
        </ns0:is>
      </ns0:c>
      <ns0:c r="B605" t="inlineStr">
        <ns0:is>
          <ns0:t>function_0106</ns0:t>
        </ns0:is>
      </ns0:c>
      <ns0:c r="C605" t="inlineStr">
        <ns0:is>
          <ns0:t>run_007</ns0:t>
        </ns0:is>
      </ns0:c>
      <ns0:c r="D605" t="inlineStr">
        <ns0:is>
          <ns0:t>humantime</ns0:t>
        </ns0:is>
      </ns0:c>
      <ns0:c r="E605" t="inlineStr">
        <ns0:is>
          <ns0:t>gpt-4.1-nano</ns0:t>
        </ns0:is>
      </ns0:c>
      <ns0:c r="F605" t="inlineStr">
        <ns0:is>
          <ns0:t>E0433</ns0:t>
        </ns0:is>
      </ns0:c>
      <ns0:c r="G605" t="n">
        <ns0:v>1</ns0:v>
      </ns0:c>
      <ns0:c r="H605" t="n">
        <ns0:v>0</ns0:v>
      </ns0:c>
      <ns0:c r="I605" t="n">
        <ns0:v>0</ns0:v>
      </ns0:c>
      <ns0:c r="J605" t="n">
        <ns0:v>0</ns0:v>
      </ns0:c>
      <ns0:c r="K605" t="n">
        <ns0:v>0</ns0:v>
      </ns0:c>
      <ns0:c r="L605" t="n">
        <ns0:v>1</ns0:v>
      </ns0:c>
      <ns0:c r="M605" t="n">
        <ns0:v>20111</ns0:v>
      </ns0:c>
      <ns0:c r="N605" t="n">
        <ns0:v>286</ns0:v>
      </ns0:c>
      <ns0:c r="O605" t="n">
        <ns0:v>20397</ns0:v>
      </ns0:c>
      <ns0:c r="P605" t="n">
        <ns0:v>3</ns0:v>
      </ns0:c>
      <ns0:c r="Q605">
        <ns0:f>IF(AND(L605=1,O605*Calculations!$B$2&lt;=Calculations!$B$10*Calculations!$B$4),1,0)</ns0:f>
        <ns0:v>1</ns0:v>
      </ns0:c>
      <ns0:c r="R605">
        <ns0:f>IF(AND(L605=1,O605*Calculations!$B$2&lt;=Calculations!$B$11*Calculations!$B$4),1,0)</ns0:f>
        <ns0:v>1</ns0:v>
      </ns0:c>
    </ns0:row>
    <ns0:row r="606">
      <ns0:c r="A606" t="inlineStr">
        <ns0:is>
          <ns0:t>case_0605</ns0:t>
        </ns0:is>
      </ns0:c>
      <ns0:c r="B606" t="inlineStr">
        <ns0:is>
          <ns0:t>function_0106</ns0:t>
        </ns0:is>
      </ns0:c>
      <ns0:c r="C606" t="inlineStr">
        <ns0:is>
          <ns0:t>run_007</ns0:t>
        </ns0:is>
      </ns0:c>
      <ns0:c r="D606" t="inlineStr">
        <ns0:is>
          <ns0:t>humantime</ns0:t>
        </ns0:is>
      </ns0:c>
      <ns0:c r="E606" t="inlineStr">
        <ns0:is>
          <ns0:t>gpt-4.1-nano</ns0:t>
        </ns0:is>
      </ns0:c>
      <ns0:c r="F606" t="inlineStr">
        <ns0:is>
          <ns0:t>E0432,E0433</ns0:t>
        </ns0:is>
      </ns0:c>
      <ns0:c r="G606" t="n">
        <ns0:v>1</ns0:v>
      </ns0:c>
      <ns0:c r="H606" t="n">
        <ns0:v>0</ns0:v>
      </ns0:c>
      <ns0:c r="I606" t="n">
        <ns0:v>0</ns0:v>
      </ns0:c>
      <ns0:c r="J606" t="n">
        <ns0:v>0</ns0:v>
      </ns0:c>
      <ns0:c r="K606" t="n">
        <ns0:v>0</ns0:v>
      </ns0:c>
      <ns0:c r="L606" t="n">
        <ns0:v>1</ns0:v>
      </ns0:c>
      <ns0:c r="M606" t="n">
        <ns0:v>28854</ns0:v>
      </ns0:c>
      <ns0:c r="N606" t="n">
        <ns0:v>478</ns0:v>
      </ns0:c>
      <ns0:c r="O606" t="n">
        <ns0:v>29332</ns0:v>
      </ns0:c>
      <ns0:c r="P606" t="n">
        <ns0:v>4</ns0:v>
      </ns0:c>
      <ns0:c r="Q606">
        <ns0:f>IF(AND(L606=1,O606*Calculations!$B$2&lt;=Calculations!$B$10*Calculations!$B$4),1,0)</ns0:f>
        <ns0:v>0</ns0:v>
      </ns0:c>
      <ns0:c r="R606">
        <ns0:f>IF(AND(L606=1,O606*Calculations!$B$2&lt;=Calculations!$B$11*Calculations!$B$4),1,0)</ns0:f>
        <ns0:v>1</ns0:v>
      </ns0:c>
    </ns0:row>
    <ns0:row r="607">
      <ns0:c r="A607" t="inlineStr">
        <ns0:is>
          <ns0:t>case_0606</ns0:t>
        </ns0:is>
      </ns0:c>
      <ns0:c r="B607" t="inlineStr">
        <ns0:is>
          <ns0:t>function_0107</ns0:t>
        </ns0:is>
      </ns0:c>
      <ns0:c r="C607" t="inlineStr">
        <ns0:is>
          <ns0:t>run_007</ns0:t>
        </ns0:is>
      </ns0:c>
      <ns0:c r="D607" t="inlineStr">
        <ns0:is>
          <ns0:t>humantime</ns0:t>
        </ns0:is>
      </ns0:c>
      <ns0:c r="E607" t="inlineStr">
        <ns0:is>
          <ns0:t>gpt-4.1-nano</ns0:t>
        </ns0:is>
      </ns0:c>
      <ns0:c r="F607" t="inlineStr">
        <ns0:is>
          <ns0:t>E0433</ns0:t>
        </ns0:is>
      </ns0:c>
      <ns0:c r="G607" t="n">
        <ns0:v>1</ns0:v>
      </ns0:c>
      <ns0:c r="H607" t="n">
        <ns0:v>0</ns0:v>
      </ns0:c>
      <ns0:c r="I607" t="n">
        <ns0:v>0</ns0:v>
      </ns0:c>
      <ns0:c r="J607" t="n">
        <ns0:v>0</ns0:v>
      </ns0:c>
      <ns0:c r="K607" t="n">
        <ns0:v>0</ns0:v>
      </ns0:c>
      <ns0:c r="L607" t="n">
        <ns0:v>1</ns0:v>
      </ns0:c>
      <ns0:c r="M607" t="n">
        <ns0:v>27465</ns0:v>
      </ns0:c>
      <ns0:c r="N607" t="n">
        <ns0:v>493</ns0:v>
      </ns0:c>
      <ns0:c r="O607" t="n">
        <ns0:v>27958</ns0:v>
      </ns0:c>
      <ns0:c r="P607" t="n">
        <ns0:v>4</ns0:v>
      </ns0:c>
      <ns0:c r="Q607">
        <ns0:f>IF(AND(L607=1,O607*Calculations!$B$2&lt;=Calculations!$B$10*Calculations!$B$4),1,0)</ns0:f>
        <ns0:v>0</ns0:v>
      </ns0:c>
      <ns0:c r="R607">
        <ns0:f>IF(AND(L607=1,O607*Calculations!$B$2&lt;=Calculations!$B$11*Calculations!$B$4),1,0)</ns0:f>
        <ns0:v>1</ns0:v>
      </ns0:c>
    </ns0:row>
    <ns0:row r="608">
      <ns0:c r="A608" t="inlineStr">
        <ns0:is>
          <ns0:t>case_0607</ns0:t>
        </ns0:is>
      </ns0:c>
      <ns0:c r="B608" t="inlineStr">
        <ns0:is>
          <ns0:t>function_0107</ns0:t>
        </ns0:is>
      </ns0:c>
      <ns0:c r="C608" t="inlineStr">
        <ns0:is>
          <ns0:t>run_007</ns0:t>
        </ns0:is>
      </ns0:c>
      <ns0:c r="D608" t="inlineStr">
        <ns0:is>
          <ns0:t>humantime</ns0:t>
        </ns0:is>
      </ns0:c>
      <ns0:c r="E608" t="inlineStr">
        <ns0:is>
          <ns0:t>gpt-4.1-nano</ns0:t>
        </ns0:is>
      </ns0:c>
      <ns0:c r="F608" t="inlineStr">
        <ns0:is>
          <ns0:t>E0433</ns0:t>
        </ns0:is>
      </ns0:c>
      <ns0:c r="G608" t="n">
        <ns0:v>1</ns0:v>
      </ns0:c>
      <ns0:c r="H608" t="n">
        <ns0:v>0</ns0:v>
      </ns0:c>
      <ns0:c r="I608" t="n">
        <ns0:v>0</ns0:v>
      </ns0:c>
      <ns0:c r="J608" t="n">
        <ns0:v>0</ns0:v>
      </ns0:c>
      <ns0:c r="K608" t="n">
        <ns0:v>0</ns0:v>
      </ns0:c>
      <ns0:c r="L608" t="n">
        <ns0:v>1</ns0:v>
      </ns0:c>
      <ns0:c r="M608" t="n">
        <ns0:v>27489</ns0:v>
      </ns0:c>
      <ns0:c r="N608" t="n">
        <ns0:v>578</ns0:v>
      </ns0:c>
      <ns0:c r="O608" t="n">
        <ns0:v>28067</ns0:v>
      </ns0:c>
      <ns0:c r="P608" t="n">
        <ns0:v>4</ns0:v>
      </ns0:c>
      <ns0:c r="Q608">
        <ns0:f>IF(AND(L608=1,O608*Calculations!$B$2&lt;=Calculations!$B$10*Calculations!$B$4),1,0)</ns0:f>
        <ns0:v>0</ns0:v>
      </ns0:c>
      <ns0:c r="R608">
        <ns0:f>IF(AND(L608=1,O608*Calculations!$B$2&lt;=Calculations!$B$11*Calculations!$B$4),1,0)</ns0:f>
        <ns0:v>1</ns0:v>
      </ns0:c>
    </ns0:row>
    <ns0:row r="609">
      <ns0:c r="A609" t="inlineStr">
        <ns0:is>
          <ns0:t>case_0608</ns0:t>
        </ns0:is>
      </ns0:c>
      <ns0:c r="B609" t="inlineStr">
        <ns0:is>
          <ns0:t>function_0107</ns0:t>
        </ns0:is>
      </ns0:c>
      <ns0:c r="C609" t="inlineStr">
        <ns0:is>
          <ns0:t>run_007</ns0:t>
        </ns0:is>
      </ns0:c>
      <ns0:c r="D609" t="inlineStr">
        <ns0:is>
          <ns0:t>humantime</ns0:t>
        </ns0:is>
      </ns0:c>
      <ns0:c r="E609" t="inlineStr">
        <ns0:is>
          <ns0:t>gpt-4.1-nano</ns0:t>
        </ns0:is>
      </ns0:c>
      <ns0:c r="F609" t="inlineStr">
        <ns0:is>
          <ns0:t>E0433</ns0:t>
        </ns0:is>
      </ns0:c>
      <ns0:c r="G609" t="n">
        <ns0:v>1</ns0:v>
      </ns0:c>
      <ns0:c r="H609" t="n">
        <ns0:v>0</ns0:v>
      </ns0:c>
      <ns0:c r="I609" t="n">
        <ns0:v>0</ns0:v>
      </ns0:c>
      <ns0:c r="J609" t="n">
        <ns0:v>0</ns0:v>
      </ns0:c>
      <ns0:c r="K609" t="n">
        <ns0:v>0</ns0:v>
      </ns0:c>
      <ns0:c r="L609" t="n">
        <ns0:v>1</ns0:v>
      </ns0:c>
      <ns0:c r="M609" t="n">
        <ns0:v>27599</ns0:v>
      </ns0:c>
      <ns0:c r="N609" t="n">
        <ns0:v>569</ns0:v>
      </ns0:c>
      <ns0:c r="O609" t="n">
        <ns0:v>28168</ns0:v>
      </ns0:c>
      <ns0:c r="P609" t="n">
        <ns0:v>4</ns0:v>
      </ns0:c>
      <ns0:c r="Q609">
        <ns0:f>IF(AND(L609=1,O609*Calculations!$B$2&lt;=Calculations!$B$10*Calculations!$B$4),1,0)</ns0:f>
        <ns0:v>0</ns0:v>
      </ns0:c>
      <ns0:c r="R609">
        <ns0:f>IF(AND(L609=1,O609*Calculations!$B$2&lt;=Calculations!$B$11*Calculations!$B$4),1,0)</ns0:f>
        <ns0:v>1</ns0:v>
      </ns0:c>
    </ns0:row>
    <ns0:row r="610">
      <ns0:c r="A610" t="inlineStr">
        <ns0:is>
          <ns0:t>case_0609</ns0:t>
        </ns0:is>
      </ns0:c>
      <ns0:c r="B610" t="inlineStr">
        <ns0:is>
          <ns0:t>function_0108</ns0:t>
        </ns0:is>
      </ns0:c>
      <ns0:c r="C610" t="inlineStr">
        <ns0:is>
          <ns0:t>run_007</ns0:t>
        </ns0:is>
      </ns0:c>
      <ns0:c r="D610" t="inlineStr">
        <ns0:is>
          <ns0:t>humantime</ns0:t>
        </ns0:is>
      </ns0:c>
      <ns0:c r="E610" t="inlineStr">
        <ns0:is>
          <ns0:t>gpt-4.1-nano</ns0:t>
        </ns0:is>
      </ns0:c>
      <ns0:c r="F610" t="inlineStr">
        <ns0:is>
          <ns0:t>E0433</ns0:t>
        </ns0:is>
      </ns0:c>
      <ns0:c r="G610" t="n">
        <ns0:v>1</ns0:v>
      </ns0:c>
      <ns0:c r="H610" t="n">
        <ns0:v>0</ns0:v>
      </ns0:c>
      <ns0:c r="I610" t="n">
        <ns0:v>0</ns0:v>
      </ns0:c>
      <ns0:c r="J610" t="n">
        <ns0:v>0</ns0:v>
      </ns0:c>
      <ns0:c r="K610" t="n">
        <ns0:v>0</ns0:v>
      </ns0:c>
      <ns0:c r="L610" t="n">
        <ns0:v>1</ns0:v>
      </ns0:c>
      <ns0:c r="M610" t="n">
        <ns0:v>54219</ns0:v>
      </ns0:c>
      <ns0:c r="N610" t="n">
        <ns0:v>693</ns0:v>
      </ns0:c>
      <ns0:c r="O610" t="n">
        <ns0:v>54912</ns0:v>
      </ns0:c>
      <ns0:c r="P610" t="n">
        <ns0:v>6</ns0:v>
      </ns0:c>
      <ns0:c r="Q610">
        <ns0:f>IF(AND(L610=1,O610*Calculations!$B$2&lt;=Calculations!$B$10*Calculations!$B$4),1,0)</ns0:f>
        <ns0:v>0</ns0:v>
      </ns0:c>
      <ns0:c r="R610">
        <ns0:f>IF(AND(L610=1,O610*Calculations!$B$2&lt;=Calculations!$B$11*Calculations!$B$4),1,0)</ns0:f>
        <ns0:v>0</ns0:v>
      </ns0:c>
    </ns0:row>
    <ns0:row r="611">
      <ns0:c r="A611" t="inlineStr">
        <ns0:is>
          <ns0:t>case_0610</ns0:t>
        </ns0:is>
      </ns0:c>
      <ns0:c r="B611" t="inlineStr">
        <ns0:is>
          <ns0:t>function_0108</ns0:t>
        </ns0:is>
      </ns0:c>
      <ns0:c r="C611" t="inlineStr">
        <ns0:is>
          <ns0:t>run_007</ns0:t>
        </ns0:is>
      </ns0:c>
      <ns0:c r="D611" t="inlineStr">
        <ns0:is>
          <ns0:t>humantime</ns0:t>
        </ns0:is>
      </ns0:c>
      <ns0:c r="E611" t="inlineStr">
        <ns0:is>
          <ns0:t>gpt-4.1-nano</ns0:t>
        </ns0:is>
      </ns0:c>
      <ns0:c r="F611" t="inlineStr">
        <ns0:is>
          <ns0:t>E0433</ns0:t>
        </ns0:is>
      </ns0:c>
      <ns0:c r="G611" t="n">
        <ns0:v>1</ns0:v>
      </ns0:c>
      <ns0:c r="H611" t="n">
        <ns0:v>0</ns0:v>
      </ns0:c>
      <ns0:c r="I611" t="n">
        <ns0:v>0</ns0:v>
      </ns0:c>
      <ns0:c r="J611" t="n">
        <ns0:v>0</ns0:v>
      </ns0:c>
      <ns0:c r="K611" t="n">
        <ns0:v>0</ns0:v>
      </ns0:c>
      <ns0:c r="L611" t="n">
        <ns0:v>1</ns0:v>
      </ns0:c>
      <ns0:c r="M611" t="n">
        <ns0:v>35815</ns0:v>
      </ns0:c>
      <ns0:c r="N611" t="n">
        <ns0:v>422</ns0:v>
      </ns0:c>
      <ns0:c r="O611" t="n">
        <ns0:v>36237</ns0:v>
      </ns0:c>
      <ns0:c r="P611" t="n">
        <ns0:v>5</ns0:v>
      </ns0:c>
      <ns0:c r="Q611">
        <ns0:f>IF(AND(L611=1,O611*Calculations!$B$2&lt;=Calculations!$B$10*Calculations!$B$4),1,0)</ns0:f>
        <ns0:v>0</ns0:v>
      </ns0:c>
      <ns0:c r="R611">
        <ns0:f>IF(AND(L611=1,O611*Calculations!$B$2&lt;=Calculations!$B$11*Calculations!$B$4),1,0)</ns0:f>
        <ns0:v>1</ns0:v>
      </ns0:c>
    </ns0:row>
    <ns0:row r="612">
      <ns0:c r="A612" t="inlineStr">
        <ns0:is>
          <ns0:t>case_0611</ns0:t>
        </ns0:is>
      </ns0:c>
      <ns0:c r="B612" t="inlineStr">
        <ns0:is>
          <ns0:t>function_0108</ns0:t>
        </ns0:is>
      </ns0:c>
      <ns0:c r="C612" t="inlineStr">
        <ns0:is>
          <ns0:t>run_007</ns0:t>
        </ns0:is>
      </ns0:c>
      <ns0:c r="D612" t="inlineStr">
        <ns0:is>
          <ns0:t>humantime</ns0:t>
        </ns0:is>
      </ns0:c>
      <ns0:c r="E612" t="inlineStr">
        <ns0:is>
          <ns0:t>gpt-4.1-nano</ns0:t>
        </ns0:is>
      </ns0:c>
      <ns0:c r="F612" t="inlineStr">
        <ns0:is>
          <ns0:t>E0433</ns0:t>
        </ns0:is>
      </ns0:c>
      <ns0:c r="G612" t="n">
        <ns0:v>0</ns0:v>
      </ns0:c>
      <ns0:c r="H612" t="n">
        <ns0:v>4743</ns0:v>
      </ns0:c>
      <ns0:c r="I612" t="n">
        <ns0:v>252</ns0:v>
      </ns0:c>
      <ns0:c r="J612" t="n">
        <ns0:v>4995</ns0:v>
      </ns0:c>
      <ns0:c r="K612" t="n">
        <ns0:v>3</ns0:v>
      </ns0:c>
      <ns0:c r="L612" t="n">
        <ns0:v>1</ns0:v>
      </ns0:c>
      <ns0:c r="M612" t="n">
        <ns0:v>69180</ns0:v>
      </ns0:c>
      <ns0:c r="N612" t="n">
        <ns0:v>1048</ns0:v>
      </ns0:c>
      <ns0:c r="O612" t="n">
        <ns0:v>70228</ns0:v>
      </ns0:c>
      <ns0:c r="P612" t="n">
        <ns0:v>8</ns0:v>
      </ns0:c>
      <ns0:c r="Q612">
        <ns0:f>IF(AND(L612=1,O612*Calculations!$B$2&lt;=Calculations!$B$10*Calculations!$B$4),1,0)</ns0:f>
        <ns0:v>0</ns0:v>
      </ns0:c>
      <ns0:c r="R612">
        <ns0:f>IF(AND(L612=1,O612*Calculations!$B$2&lt;=Calculations!$B$11*Calculations!$B$4),1,0)</ns0:f>
        <ns0:v>0</ns0:v>
      </ns0:c>
    </ns0:row>
    <ns0:row r="613">
      <ns0:c r="A613" t="inlineStr">
        <ns0:is>
          <ns0:t>case_0612</ns0:t>
        </ns0:is>
      </ns0:c>
      <ns0:c r="B613" t="inlineStr">
        <ns0:is>
          <ns0:t>function_0108</ns0:t>
        </ns0:is>
      </ns0:c>
      <ns0:c r="C613" t="inlineStr">
        <ns0:is>
          <ns0:t>run_007</ns0:t>
        </ns0:is>
      </ns0:c>
      <ns0:c r="D613" t="inlineStr">
        <ns0:is>
          <ns0:t>humantime</ns0:t>
        </ns0:is>
      </ns0:c>
      <ns0:c r="E613" t="inlineStr">
        <ns0:is>
          <ns0:t>gpt-4.1-nano</ns0:t>
        </ns0:is>
      </ns0:c>
      <ns0:c r="F613" t="inlineStr">
        <ns0:is>
          <ns0:t>E0433,E0599</ns0:t>
        </ns0:is>
      </ns0:c>
      <ns0:c r="G613" t="n">
        <ns0:v>0</ns0:v>
      </ns0:c>
      <ns0:c r="H613" t="n">
        <ns0:v>4439</ns0:v>
      </ns0:c>
      <ns0:c r="I613" t="n">
        <ns0:v>300</ns0:v>
      </ns0:c>
      <ns0:c r="J613" t="n">
        <ns0:v>4739</ns0:v>
      </ns0:c>
      <ns0:c r="K613" t="n">
        <ns0:v>3</ns0:v>
      </ns0:c>
      <ns0:c r="L613" t="n">
        <ns0:v>1</ns0:v>
      </ns0:c>
      <ns0:c r="M613" t="n">
        <ns0:v>53540</ns0:v>
      </ns0:c>
      <ns0:c r="N613" t="n">
        <ns0:v>1278</ns0:v>
      </ns0:c>
      <ns0:c r="O613" t="n">
        <ns0:v>54818</ns0:v>
      </ns0:c>
      <ns0:c r="P613" t="n">
        <ns0:v>7</ns0:v>
      </ns0:c>
      <ns0:c r="Q613">
        <ns0:f>IF(AND(L613=1,O613*Calculations!$B$2&lt;=Calculations!$B$10*Calculations!$B$4),1,0)</ns0:f>
        <ns0:v>0</ns0:v>
      </ns0:c>
      <ns0:c r="R613">
        <ns0:f>IF(AND(L613=1,O613*Calculations!$B$2&lt;=Calculations!$B$11*Calculations!$B$4),1,0)</ns0:f>
        <ns0:v>0</ns0:v>
      </ns0:c>
    </ns0:row>
    <ns0:row r="614">
      <ns0:c r="A614" t="inlineStr">
        <ns0:is>
          <ns0:t>case_0613</ns0:t>
        </ns0:is>
      </ns0:c>
      <ns0:c r="B614" t="inlineStr">
        <ns0:is>
          <ns0:t>function_0108</ns0:t>
        </ns0:is>
      </ns0:c>
      <ns0:c r="C614" t="inlineStr">
        <ns0:is>
          <ns0:t>run_007</ns0:t>
        </ns0:is>
      </ns0:c>
      <ns0:c r="D614" t="inlineStr">
        <ns0:is>
          <ns0:t>humantime</ns0:t>
        </ns0:is>
      </ns0:c>
      <ns0:c r="E614" t="inlineStr">
        <ns0:is>
          <ns0:t>gpt-4.1-nano</ns0:t>
        </ns0:is>
      </ns0:c>
      <ns0:c r="F614" t="inlineStr">
        <ns0:is>
          <ns0:t>E0433</ns0:t>
        </ns0:is>
      </ns0:c>
      <ns0:c r="G614" t="n">
        <ns0:v>0</ns0:v>
      </ns0:c>
      <ns0:c r="H614" t="n">
        <ns0:v>4134</ns0:v>
      </ns0:c>
      <ns0:c r="I614" t="n">
        <ns0:v>207</ns0:v>
      </ns0:c>
      <ns0:c r="J614" t="n">
        <ns0:v>4341</ns0:v>
      </ns0:c>
      <ns0:c r="K614" t="n">
        <ns0:v>3</ns0:v>
      </ns0:c>
      <ns0:c r="L614" t="n">
        <ns0:v>1</ns0:v>
      </ns0:c>
      <ns0:c r="M614" t="n">
        <ns0:v>58203</ns0:v>
      </ns0:c>
      <ns0:c r="N614" t="n">
        <ns0:v>1185</ns0:v>
      </ns0:c>
      <ns0:c r="O614" t="n">
        <ns0:v>59388</ns0:v>
      </ns0:c>
      <ns0:c r="P614" t="n">
        <ns0:v>8</ns0:v>
      </ns0:c>
      <ns0:c r="Q614">
        <ns0:f>IF(AND(L614=1,O614*Calculations!$B$2&lt;=Calculations!$B$10*Calculations!$B$4),1,0)</ns0:f>
        <ns0:v>0</ns0:v>
      </ns0:c>
      <ns0:c r="R614">
        <ns0:f>IF(AND(L614=1,O614*Calculations!$B$2&lt;=Calculations!$B$11*Calculations!$B$4),1,0)</ns0:f>
        <ns0:v>0</ns0:v>
      </ns0:c>
    </ns0:row>
    <ns0:row r="615">
      <ns0:c r="A615" t="inlineStr">
        <ns0:is>
          <ns0:t>case_0614</ns0:t>
        </ns0:is>
      </ns0:c>
      <ns0:c r="B615" t="inlineStr">
        <ns0:is>
          <ns0:t>function_0108</ns0:t>
        </ns0:is>
      </ns0:c>
      <ns0:c r="C615" t="inlineStr">
        <ns0:is>
          <ns0:t>run_007</ns0:t>
        </ns0:is>
      </ns0:c>
      <ns0:c r="D615" t="inlineStr">
        <ns0:is>
          <ns0:t>humantime</ns0:t>
        </ns0:is>
      </ns0:c>
      <ns0:c r="E615" t="inlineStr">
        <ns0:is>
          <ns0:t>gpt-4.1-nano</ns0:t>
        </ns0:is>
      </ns0:c>
      <ns0:c r="F615" t="inlineStr">
        <ns0:is>
          <ns0:t>E0283,E0433</ns0:t>
        </ns0:is>
      </ns0:c>
      <ns0:c r="G615" t="n">
        <ns0:v>0</ns0:v>
      </ns0:c>
      <ns0:c r="H615" t="n">
        <ns0:v>3620</ns0:v>
      </ns0:c>
      <ns0:c r="I615" t="n">
        <ns0:v>213</ns0:v>
      </ns0:c>
      <ns0:c r="J615" t="n">
        <ns0:v>3833</ns0:v>
      </ns0:c>
      <ns0:c r="K615" t="n">
        <ns0:v>3</ns0:v>
      </ns0:c>
      <ns0:c r="L615" t="n">
        <ns0:v>1</ns0:v>
      </ns0:c>
      <ns0:c r="M615" t="n">
        <ns0:v>67749</ns0:v>
      </ns0:c>
      <ns0:c r="N615" t="n">
        <ns0:v>748</ns0:v>
      </ns0:c>
      <ns0:c r="O615" t="n">
        <ns0:v>68497</ns0:v>
      </ns0:c>
      <ns0:c r="P615" t="n">
        <ns0:v>9</ns0:v>
      </ns0:c>
      <ns0:c r="Q615">
        <ns0:f>IF(AND(L615=1,O615*Calculations!$B$2&lt;=Calculations!$B$10*Calculations!$B$4),1,0)</ns0:f>
        <ns0:v>0</ns0:v>
      </ns0:c>
      <ns0:c r="R615">
        <ns0:f>IF(AND(L615=1,O615*Calculations!$B$2&lt;=Calculations!$B$11*Calculations!$B$4),1,0)</ns0:f>
        <ns0:v>0</ns0:v>
      </ns0:c>
    </ns0:row>
    <ns0:row r="616">
      <ns0:c r="A616" t="inlineStr">
        <ns0:is>
          <ns0:t>case_0615</ns0:t>
        </ns0:is>
      </ns0:c>
      <ns0:c r="B616" t="inlineStr">
        <ns0:is>
          <ns0:t>function_0109</ns0:t>
        </ns0:is>
      </ns0:c>
      <ns0:c r="C616" t="inlineStr">
        <ns0:is>
          <ns0:t>run_007</ns0:t>
        </ns0:is>
      </ns0:c>
      <ns0:c r="D616" t="inlineStr">
        <ns0:is>
          <ns0:t>humantime</ns0:t>
        </ns0:is>
      </ns0:c>
      <ns0:c r="E616" t="inlineStr">
        <ns0:is>
          <ns0:t>gpt-4.1-nano</ns0:t>
        </ns0:is>
      </ns0:c>
      <ns0:c r="F616" t="inlineStr">
        <ns0:is>
          <ns0:t>E0433</ns0:t>
        </ns0:is>
      </ns0:c>
      <ns0:c r="G616" t="n">
        <ns0:v>1</ns0:v>
      </ns0:c>
      <ns0:c r="H616" t="n">
        <ns0:v>0</ns0:v>
      </ns0:c>
      <ns0:c r="I616" t="n">
        <ns0:v>0</ns0:v>
      </ns0:c>
      <ns0:c r="J616" t="n">
        <ns0:v>0</ns0:v>
      </ns0:c>
      <ns0:c r="K616" t="n">
        <ns0:v>0</ns0:v>
      </ns0:c>
      <ns0:c r="L616" t="n">
        <ns0:v>1</ns0:v>
      </ns0:c>
      <ns0:c r="M616" t="n">
        <ns0:v>20091</ns0:v>
      </ns0:c>
      <ns0:c r="N616" t="n">
        <ns0:v>318</ns0:v>
      </ns0:c>
      <ns0:c r="O616" t="n">
        <ns0:v>20409</ns0:v>
      </ns0:c>
      <ns0:c r="P616" t="n">
        <ns0:v>3</ns0:v>
      </ns0:c>
      <ns0:c r="Q616">
        <ns0:f>IF(AND(L616=1,O616*Calculations!$B$2&lt;=Calculations!$B$10*Calculations!$B$4),1,0)</ns0:f>
        <ns0:v>1</ns0:v>
      </ns0:c>
      <ns0:c r="R616">
        <ns0:f>IF(AND(L616=1,O616*Calculations!$B$2&lt;=Calculations!$B$11*Calculations!$B$4),1,0)</ns0:f>
        <ns0:v>1</ns0:v>
      </ns0:c>
    </ns0:row>
    <ns0:row r="617">
      <ns0:c r="A617" t="inlineStr">
        <ns0:is>
          <ns0:t>case_0616</ns0:t>
        </ns0:is>
      </ns0:c>
      <ns0:c r="B617" t="inlineStr">
        <ns0:is>
          <ns0:t>function_0109</ns0:t>
        </ns0:is>
      </ns0:c>
      <ns0:c r="C617" t="inlineStr">
        <ns0:is>
          <ns0:t>run_007</ns0:t>
        </ns0:is>
      </ns0:c>
      <ns0:c r="D617" t="inlineStr">
        <ns0:is>
          <ns0:t>humantime</ns0:t>
        </ns0:is>
      </ns0:c>
      <ns0:c r="E617" t="inlineStr">
        <ns0:is>
          <ns0:t>gpt-4.1-nano</ns0:t>
        </ns0:is>
      </ns0:c>
      <ns0:c r="F617" t="inlineStr">
        <ns0:is>
          <ns0:t>E0433</ns0:t>
        </ns0:is>
      </ns0:c>
      <ns0:c r="G617" t="n">
        <ns0:v>1</ns0:v>
      </ns0:c>
      <ns0:c r="H617" t="n">
        <ns0:v>0</ns0:v>
      </ns0:c>
      <ns0:c r="I617" t="n">
        <ns0:v>0</ns0:v>
      </ns0:c>
      <ns0:c r="J617" t="n">
        <ns0:v>0</ns0:v>
      </ns0:c>
      <ns0:c r="K617" t="n">
        <ns0:v>0</ns0:v>
      </ns0:c>
      <ns0:c r="L617" t="n">
        <ns0:v>1</ns0:v>
      </ns0:c>
      <ns0:c r="M617" t="n">
        <ns0:v>28271</ns0:v>
      </ns0:c>
      <ns0:c r="N617" t="n">
        <ns0:v>412</ns0:v>
      </ns0:c>
      <ns0:c r="O617" t="n">
        <ns0:v>28683</ns0:v>
      </ns0:c>
      <ns0:c r="P617" t="n">
        <ns0:v>4</ns0:v>
      </ns0:c>
      <ns0:c r="Q617">
        <ns0:f>IF(AND(L617=1,O617*Calculations!$B$2&lt;=Calculations!$B$10*Calculations!$B$4),1,0)</ns0:f>
        <ns0:v>0</ns0:v>
      </ns0:c>
      <ns0:c r="R617">
        <ns0:f>IF(AND(L617=1,O617*Calculations!$B$2&lt;=Calculations!$B$11*Calculations!$B$4),1,0)</ns0:f>
        <ns0:v>1</ns0:v>
      </ns0:c>
    </ns0:row>
    <ns0:row r="618">
      <ns0:c r="A618" t="inlineStr">
        <ns0:is>
          <ns0:t>case_0617</ns0:t>
        </ns0:is>
      </ns0:c>
      <ns0:c r="B618" t="inlineStr">
        <ns0:is>
          <ns0:t>function_0109</ns0:t>
        </ns0:is>
      </ns0:c>
      <ns0:c r="C618" t="inlineStr">
        <ns0:is>
          <ns0:t>run_007</ns0:t>
        </ns0:is>
      </ns0:c>
      <ns0:c r="D618" t="inlineStr">
        <ns0:is>
          <ns0:t>humantime</ns0:t>
        </ns0:is>
      </ns0:c>
      <ns0:c r="E618" t="inlineStr">
        <ns0:is>
          <ns0:t>gpt-4.1-nano</ns0:t>
        </ns0:is>
      </ns0:c>
      <ns0:c r="F618" t="inlineStr">
        <ns0:is>
          <ns0:t>E0433</ns0:t>
        </ns0:is>
      </ns0:c>
      <ns0:c r="G618" t="n">
        <ns0:v>1</ns0:v>
      </ns0:c>
      <ns0:c r="H618" t="n">
        <ns0:v>0</ns0:v>
      </ns0:c>
      <ns0:c r="I618" t="n">
        <ns0:v>0</ns0:v>
      </ns0:c>
      <ns0:c r="J618" t="n">
        <ns0:v>0</ns0:v>
      </ns0:c>
      <ns0:c r="K618" t="n">
        <ns0:v>0</ns0:v>
      </ns0:c>
      <ns0:c r="L618" t="n">
        <ns0:v>1</ns0:v>
      </ns0:c>
      <ns0:c r="M618" t="n">
        <ns0:v>21393</ns0:v>
      </ns0:c>
      <ns0:c r="N618" t="n">
        <ns0:v>479</ns0:v>
      </ns0:c>
      <ns0:c r="O618" t="n">
        <ns0:v>21872</ns0:v>
      </ns0:c>
      <ns0:c r="P618" t="n">
        <ns0:v>3</ns0:v>
      </ns0:c>
      <ns0:c r="Q618">
        <ns0:f>IF(AND(L618=1,O618*Calculations!$B$2&lt;=Calculations!$B$10*Calculations!$B$4),1,0)</ns0:f>
        <ns0:v>1</ns0:v>
      </ns0:c>
      <ns0:c r="R618">
        <ns0:f>IF(AND(L618=1,O618*Calculations!$B$2&lt;=Calculations!$B$11*Calculations!$B$4),1,0)</ns0:f>
        <ns0:v>1</ns0:v>
      </ns0:c>
    </ns0:row>
    <ns0:row r="619">
      <ns0:c r="A619" t="inlineStr">
        <ns0:is>
          <ns0:t>case_0618</ns0:t>
        </ns0:is>
      </ns0:c>
      <ns0:c r="B619" t="inlineStr">
        <ns0:is>
          <ns0:t>function_0109</ns0:t>
        </ns0:is>
      </ns0:c>
      <ns0:c r="C619" t="inlineStr">
        <ns0:is>
          <ns0:t>run_007</ns0:t>
        </ns0:is>
      </ns0:c>
      <ns0:c r="D619" t="inlineStr">
        <ns0:is>
          <ns0:t>humantime</ns0:t>
        </ns0:is>
      </ns0:c>
      <ns0:c r="E619" t="inlineStr">
        <ns0:is>
          <ns0:t>gpt-4.1-nano</ns0:t>
        </ns0:is>
      </ns0:c>
      <ns0:c r="F619" t="inlineStr">
        <ns0:is>
          <ns0:t>E0433</ns0:t>
        </ns0:is>
      </ns0:c>
      <ns0:c r="G619" t="n">
        <ns0:v>1</ns0:v>
      </ns0:c>
      <ns0:c r="H619" t="n">
        <ns0:v>0</ns0:v>
      </ns0:c>
      <ns0:c r="I619" t="n">
        <ns0:v>0</ns0:v>
      </ns0:c>
      <ns0:c r="J619" t="n">
        <ns0:v>0</ns0:v>
      </ns0:c>
      <ns0:c r="K619" t="n">
        <ns0:v>0</ns0:v>
      </ns0:c>
      <ns0:c r="L619" t="n">
        <ns0:v>1</ns0:v>
      </ns0:c>
      <ns0:c r="M619" t="n">
        <ns0:v>20070</ns0:v>
      </ns0:c>
      <ns0:c r="N619" t="n">
        <ns0:v>290</ns0:v>
      </ns0:c>
      <ns0:c r="O619" t="n">
        <ns0:v>20360</ns0:v>
      </ns0:c>
      <ns0:c r="P619" t="n">
        <ns0:v>3</ns0:v>
      </ns0:c>
      <ns0:c r="Q619">
        <ns0:f>IF(AND(L619=1,O619*Calculations!$B$2&lt;=Calculations!$B$10*Calculations!$B$4),1,0)</ns0:f>
        <ns0:v>1</ns0:v>
      </ns0:c>
      <ns0:c r="R619">
        <ns0:f>IF(AND(L619=1,O619*Calculations!$B$2&lt;=Calculations!$B$11*Calculations!$B$4),1,0)</ns0:f>
        <ns0:v>1</ns0:v>
      </ns0:c>
    </ns0:row>
    <ns0:row r="620">
      <ns0:c r="A620" t="inlineStr">
        <ns0:is>
          <ns0:t>case_0619</ns0:t>
        </ns0:is>
      </ns0:c>
      <ns0:c r="B620" t="inlineStr">
        <ns0:is>
          <ns0:t>function_0109</ns0:t>
        </ns0:is>
      </ns0:c>
      <ns0:c r="C620" t="inlineStr">
        <ns0:is>
          <ns0:t>run_007</ns0:t>
        </ns0:is>
      </ns0:c>
      <ns0:c r="D620" t="inlineStr">
        <ns0:is>
          <ns0:t>humantime</ns0:t>
        </ns0:is>
      </ns0:c>
      <ns0:c r="E620" t="inlineStr">
        <ns0:is>
          <ns0:t>gpt-4.1-nano</ns0:t>
        </ns0:is>
      </ns0:c>
      <ns0:c r="F620" t="inlineStr">
        <ns0:is>
          <ns0:t>E0433</ns0:t>
        </ns0:is>
      </ns0:c>
      <ns0:c r="G620" t="n">
        <ns0:v>1</ns0:v>
      </ns0:c>
      <ns0:c r="H620" t="n">
        <ns0:v>0</ns0:v>
      </ns0:c>
      <ns0:c r="I620" t="n">
        <ns0:v>0</ns0:v>
      </ns0:c>
      <ns0:c r="J620" t="n">
        <ns0:v>0</ns0:v>
      </ns0:c>
      <ns0:c r="K620" t="n">
        <ns0:v>0</ns0:v>
      </ns0:c>
      <ns0:c r="L620" t="n">
        <ns0:v>1</ns0:v>
      </ns0:c>
      <ns0:c r="M620" t="n">
        <ns0:v>29368</ns0:v>
      </ns0:c>
      <ns0:c r="N620" t="n">
        <ns0:v>570</ns0:v>
      </ns0:c>
      <ns0:c r="O620" t="n">
        <ns0:v>29938</ns0:v>
      </ns0:c>
      <ns0:c r="P620" t="n">
        <ns0:v>4</ns0:v>
      </ns0:c>
      <ns0:c r="Q620">
        <ns0:f>IF(AND(L620=1,O620*Calculations!$B$2&lt;=Calculations!$B$10*Calculations!$B$4),1,0)</ns0:f>
        <ns0:v>0</ns0:v>
      </ns0:c>
      <ns0:c r="R620">
        <ns0:f>IF(AND(L620=1,O620*Calculations!$B$2&lt;=Calculations!$B$11*Calculations!$B$4),1,0)</ns0:f>
        <ns0:v>1</ns0:v>
      </ns0:c>
    </ns0:row>
    <ns0:row r="621">
      <ns0:c r="A621" t="inlineStr">
        <ns0:is>
          <ns0:t>case_0620</ns0:t>
        </ns0:is>
      </ns0:c>
      <ns0:c r="B621" t="inlineStr">
        <ns0:is>
          <ns0:t>function_0109</ns0:t>
        </ns0:is>
      </ns0:c>
      <ns0:c r="C621" t="inlineStr">
        <ns0:is>
          <ns0:t>run_007</ns0:t>
        </ns0:is>
      </ns0:c>
      <ns0:c r="D621" t="inlineStr">
        <ns0:is>
          <ns0:t>humantime</ns0:t>
        </ns0:is>
      </ns0:c>
      <ns0:c r="E621" t="inlineStr">
        <ns0:is>
          <ns0:t>gpt-4.1-nano</ns0:t>
        </ns0:is>
      </ns0:c>
      <ns0:c r="F621" t="inlineStr">
        <ns0:is>
          <ns0:t>E0433</ns0:t>
        </ns0:is>
      </ns0:c>
      <ns0:c r="G621" t="n">
        <ns0:v>1</ns0:v>
      </ns0:c>
      <ns0:c r="H621" t="n">
        <ns0:v>0</ns0:v>
      </ns0:c>
      <ns0:c r="I621" t="n">
        <ns0:v>0</ns0:v>
      </ns0:c>
      <ns0:c r="J621" t="n">
        <ns0:v>0</ns0:v>
      </ns0:c>
      <ns0:c r="K621" t="n">
        <ns0:v>0</ns0:v>
      </ns0:c>
      <ns0:c r="L621" t="n">
        <ns0:v>1</ns0:v>
      </ns0:c>
      <ns0:c r="M621" t="n">
        <ns0:v>20075</ns0:v>
      </ns0:c>
      <ns0:c r="N621" t="n">
        <ns0:v>188</ns0:v>
      </ns0:c>
      <ns0:c r="O621" t="n">
        <ns0:v>20263</ns0:v>
      </ns0:c>
      <ns0:c r="P621" t="n">
        <ns0:v>3</ns0:v>
      </ns0:c>
      <ns0:c r="Q621">
        <ns0:f>IF(AND(L621=1,O621*Calculations!$B$2&lt;=Calculations!$B$10*Calculations!$B$4),1,0)</ns0:f>
        <ns0:v>1</ns0:v>
      </ns0:c>
      <ns0:c r="R621">
        <ns0:f>IF(AND(L621=1,O621*Calculations!$B$2&lt;=Calculations!$B$11*Calculations!$B$4),1,0)</ns0:f>
        <ns0:v>1</ns0:v>
      </ns0:c>
    </ns0:row>
    <ns0:row r="622">
      <ns0:c r="A622" t="inlineStr">
        <ns0:is>
          <ns0:t>case_0621</ns0:t>
        </ns0:is>
      </ns0:c>
      <ns0:c r="B622" t="inlineStr">
        <ns0:is>
          <ns0:t>function_0110</ns0:t>
        </ns0:is>
      </ns0:c>
      <ns0:c r="C622" t="inlineStr">
        <ns0:is>
          <ns0:t>run_007</ns0:t>
        </ns0:is>
      </ns0:c>
      <ns0:c r="D622" t="inlineStr">
        <ns0:is>
          <ns0:t>humantime</ns0:t>
        </ns0:is>
      </ns0:c>
      <ns0:c r="E622" t="inlineStr">
        <ns0:is>
          <ns0:t>gpt-4.1-nano</ns0:t>
        </ns0:is>
      </ns0:c>
      <ns0:c r="F622" t="inlineStr">
        <ns0:is>
          <ns0:t>E0432,E0433</ns0:t>
        </ns0:is>
      </ns0:c>
      <ns0:c r="G622" t="n">
        <ns0:v>1</ns0:v>
      </ns0:c>
      <ns0:c r="H622" t="n">
        <ns0:v>0</ns0:v>
      </ns0:c>
      <ns0:c r="I622" t="n">
        <ns0:v>0</ns0:v>
      </ns0:c>
      <ns0:c r="J622" t="n">
        <ns0:v>0</ns0:v>
      </ns0:c>
      <ns0:c r="K622" t="n">
        <ns0:v>0</ns0:v>
      </ns0:c>
      <ns0:c r="L622" t="n">
        <ns0:v>1</ns0:v>
      </ns0:c>
      <ns0:c r="M622" t="n">
        <ns0:v>27359</ns0:v>
      </ns0:c>
      <ns0:c r="N622" t="n">
        <ns0:v>433</ns0:v>
      </ns0:c>
      <ns0:c r="O622" t="n">
        <ns0:v>27792</ns0:v>
      </ns0:c>
      <ns0:c r="P622" t="n">
        <ns0:v>4</ns0:v>
      </ns0:c>
      <ns0:c r="Q622">
        <ns0:f>IF(AND(L622=1,O622*Calculations!$B$2&lt;=Calculations!$B$10*Calculations!$B$4),1,0)</ns0:f>
        <ns0:v>0</ns0:v>
      </ns0:c>
      <ns0:c r="R622">
        <ns0:f>IF(AND(L622=1,O622*Calculations!$B$2&lt;=Calculations!$B$11*Calculations!$B$4),1,0)</ns0:f>
        <ns0:v>1</ns0:v>
      </ns0:c>
    </ns0:row>
    <ns0:row r="623">
      <ns0:c r="A623" t="inlineStr">
        <ns0:is>
          <ns0:t>case_0622</ns0:t>
        </ns0:is>
      </ns0:c>
      <ns0:c r="B623" t="inlineStr">
        <ns0:is>
          <ns0:t>function_0110</ns0:t>
        </ns0:is>
      </ns0:c>
      <ns0:c r="C623" t="inlineStr">
        <ns0:is>
          <ns0:t>run_007</ns0:t>
        </ns0:is>
      </ns0:c>
      <ns0:c r="D623" t="inlineStr">
        <ns0:is>
          <ns0:t>humantime</ns0:t>
        </ns0:is>
      </ns0:c>
      <ns0:c r="E623" t="inlineStr">
        <ns0:is>
          <ns0:t>gpt-4.1-nano</ns0:t>
        </ns0:is>
      </ns0:c>
      <ns0:c r="F623" t="inlineStr">
        <ns0:is>
          <ns0:t>E0433</ns0:t>
        </ns0:is>
      </ns0:c>
      <ns0:c r="G623" t="n">
        <ns0:v>1</ns0:v>
      </ns0:c>
      <ns0:c r="H623" t="n">
        <ns0:v>0</ns0:v>
      </ns0:c>
      <ns0:c r="I623" t="n">
        <ns0:v>0</ns0:v>
      </ns0:c>
      <ns0:c r="J623" t="n">
        <ns0:v>0</ns0:v>
      </ns0:c>
      <ns0:c r="K623" t="n">
        <ns0:v>0</ns0:v>
      </ns0:c>
      <ns0:c r="L623" t="n">
        <ns0:v>1</ns0:v>
      </ns0:c>
      <ns0:c r="M623" t="n">
        <ns0:v>28115</ns0:v>
      </ns0:c>
      <ns0:c r="N623" t="n">
        <ns0:v>1023</ns0:v>
      </ns0:c>
      <ns0:c r="O623" t="n">
        <ns0:v>29138</ns0:v>
      </ns0:c>
      <ns0:c r="P623" t="n">
        <ns0:v>4</ns0:v>
      </ns0:c>
      <ns0:c r="Q623">
        <ns0:f>IF(AND(L623=1,O623*Calculations!$B$2&lt;=Calculations!$B$10*Calculations!$B$4),1,0)</ns0:f>
        <ns0:v>0</ns0:v>
      </ns0:c>
      <ns0:c r="R623">
        <ns0:f>IF(AND(L623=1,O623*Calculations!$B$2&lt;=Calculations!$B$11*Calculations!$B$4),1,0)</ns0:f>
        <ns0:v>1</ns0:v>
      </ns0:c>
    </ns0:row>
    <ns0:row r="624">
      <ns0:c r="A624" t="inlineStr">
        <ns0:is>
          <ns0:t>case_0623</ns0:t>
        </ns0:is>
      </ns0:c>
      <ns0:c r="B624" t="inlineStr">
        <ns0:is>
          <ns0:t>function_0110</ns0:t>
        </ns0:is>
      </ns0:c>
      <ns0:c r="C624" t="inlineStr">
        <ns0:is>
          <ns0:t>run_007</ns0:t>
        </ns0:is>
      </ns0:c>
      <ns0:c r="D624" t="inlineStr">
        <ns0:is>
          <ns0:t>humantime</ns0:t>
        </ns0:is>
      </ns0:c>
      <ns0:c r="E624" t="inlineStr">
        <ns0:is>
          <ns0:t>gpt-4.1-nano</ns0:t>
        </ns0:is>
      </ns0:c>
      <ns0:c r="F624" t="inlineStr">
        <ns0:is>
          <ns0:t>E0433</ns0:t>
        </ns0:is>
      </ns0:c>
      <ns0:c r="G624" t="n">
        <ns0:v>1</ns0:v>
      </ns0:c>
      <ns0:c r="H624" t="n">
        <ns0:v>0</ns0:v>
      </ns0:c>
      <ns0:c r="I624" t="n">
        <ns0:v>0</ns0:v>
      </ns0:c>
      <ns0:c r="J624" t="n">
        <ns0:v>0</ns0:v>
      </ns0:c>
      <ns0:c r="K624" t="n">
        <ns0:v>0</ns0:v>
      </ns0:c>
      <ns0:c r="L624" t="n">
        <ns0:v>1</ns0:v>
      </ns0:c>
      <ns0:c r="M624" t="n">
        <ns0:v>27722</ns0:v>
      </ns0:c>
      <ns0:c r="N624" t="n">
        <ns0:v>606</ns0:v>
      </ns0:c>
      <ns0:c r="O624" t="n">
        <ns0:v>28328</ns0:v>
      </ns0:c>
      <ns0:c r="P624" t="n">
        <ns0:v>4</ns0:v>
      </ns0:c>
      <ns0:c r="Q624">
        <ns0:f>IF(AND(L624=1,O624*Calculations!$B$2&lt;=Calculations!$B$10*Calculations!$B$4),1,0)</ns0:f>
        <ns0:v>0</ns0:v>
      </ns0:c>
      <ns0:c r="R624">
        <ns0:f>IF(AND(L624=1,O624*Calculations!$B$2&lt;=Calculations!$B$11*Calculations!$B$4),1,0)</ns0:f>
        <ns0:v>1</ns0:v>
      </ns0:c>
    </ns0:row>
    <ns0:row r="625">
      <ns0:c r="A625" t="inlineStr">
        <ns0:is>
          <ns0:t>case_0624</ns0:t>
        </ns0:is>
      </ns0:c>
      <ns0:c r="B625" t="inlineStr">
        <ns0:is>
          <ns0:t>function_0111</ns0:t>
        </ns0:is>
      </ns0:c>
      <ns0:c r="C625" t="inlineStr">
        <ns0:is>
          <ns0:t>run_007</ns0:t>
        </ns0:is>
      </ns0:c>
      <ns0:c r="D625" t="inlineStr">
        <ns0:is>
          <ns0:t>humantime</ns0:t>
        </ns0:is>
      </ns0:c>
      <ns0:c r="E625" t="inlineStr">
        <ns0:is>
          <ns0:t>gpt-4.1-nano</ns0:t>
        </ns0:is>
      </ns0:c>
      <ns0:c r="F625" t="inlineStr">
        <ns0:is>
          <ns0:t>E0432</ns0:t>
        </ns0:is>
      </ns0:c>
      <ns0:c r="G625" t="n">
        <ns0:v>1</ns0:v>
      </ns0:c>
      <ns0:c r="H625" t="n">
        <ns0:v>0</ns0:v>
      </ns0:c>
      <ns0:c r="I625" t="n">
        <ns0:v>0</ns0:v>
      </ns0:c>
      <ns0:c r="J625" t="n">
        <ns0:v>0</ns0:v>
      </ns0:c>
      <ns0:c r="K625" t="n">
        <ns0:v>0</ns0:v>
      </ns0:c>
      <ns0:c r="L625" t="n">
        <ns0:v>1</ns0:v>
      </ns0:c>
      <ns0:c r="M625" t="n">
        <ns0:v>20491</ns0:v>
      </ns0:c>
      <ns0:c r="N625" t="n">
        <ns0:v>150</ns0:v>
      </ns0:c>
      <ns0:c r="O625" t="n">
        <ns0:v>20641</ns0:v>
      </ns0:c>
      <ns0:c r="P625" t="n">
        <ns0:v>3</ns0:v>
      </ns0:c>
      <ns0:c r="Q625">
        <ns0:f>IF(AND(L625=1,O625*Calculations!$B$2&lt;=Calculations!$B$10*Calculations!$B$4),1,0)</ns0:f>
        <ns0:v>1</ns0:v>
      </ns0:c>
      <ns0:c r="R625">
        <ns0:f>IF(AND(L625=1,O625*Calculations!$B$2&lt;=Calculations!$B$11*Calculations!$B$4),1,0)</ns0:f>
        <ns0:v>1</ns0:v>
      </ns0:c>
    </ns0:row>
    <ns0:row r="626">
      <ns0:c r="A626" t="inlineStr">
        <ns0:is>
          <ns0:t>case_0625</ns0:t>
        </ns0:is>
      </ns0:c>
      <ns0:c r="B626" t="inlineStr">
        <ns0:is>
          <ns0:t>function_0111</ns0:t>
        </ns0:is>
      </ns0:c>
      <ns0:c r="C626" t="inlineStr">
        <ns0:is>
          <ns0:t>run_007</ns0:t>
        </ns0:is>
      </ns0:c>
      <ns0:c r="D626" t="inlineStr">
        <ns0:is>
          <ns0:t>humantime</ns0:t>
        </ns0:is>
      </ns0:c>
      <ns0:c r="E626" t="inlineStr">
        <ns0:is>
          <ns0:t>gpt-4.1-nano</ns0:t>
        </ns0:is>
      </ns0:c>
      <ns0:c r="F626" t="inlineStr">
        <ns0:is>
          <ns0:t>E0432,E0433</ns0:t>
        </ns0:is>
      </ns0:c>
      <ns0:c r="G626" t="n">
        <ns0:v>1</ns0:v>
      </ns0:c>
      <ns0:c r="H626" t="n">
        <ns0:v>0</ns0:v>
      </ns0:c>
      <ns0:c r="I626" t="n">
        <ns0:v>0</ns0:v>
      </ns0:c>
      <ns0:c r="J626" t="n">
        <ns0:v>0</ns0:v>
      </ns0:c>
      <ns0:c r="K626" t="n">
        <ns0:v>0</ns0:v>
      </ns0:c>
      <ns0:c r="L626" t="n">
        <ns0:v>1</ns0:v>
      </ns0:c>
      <ns0:c r="M626" t="n">
        <ns0:v>28257</ns0:v>
      </ns0:c>
      <ns0:c r="N626" t="n">
        <ns0:v>411</ns0:v>
      </ns0:c>
      <ns0:c r="O626" t="n">
        <ns0:v>28668</ns0:v>
      </ns0:c>
      <ns0:c r="P626" t="n">
        <ns0:v>4</ns0:v>
      </ns0:c>
      <ns0:c r="Q626">
        <ns0:f>IF(AND(L626=1,O626*Calculations!$B$2&lt;=Calculations!$B$10*Calculations!$B$4),1,0)</ns0:f>
        <ns0:v>0</ns0:v>
      </ns0:c>
      <ns0:c r="R626">
        <ns0:f>IF(AND(L626=1,O626*Calculations!$B$2&lt;=Calculations!$B$11*Calculations!$B$4),1,0)</ns0:f>
        <ns0:v>1</ns0:v>
      </ns0:c>
    </ns0:row>
    <ns0:row r="627">
      <ns0:c r="A627" t="inlineStr">
        <ns0:is>
          <ns0:t>case_0626</ns0:t>
        </ns0:is>
      </ns0:c>
      <ns0:c r="B627" t="inlineStr">
        <ns0:is>
          <ns0:t>function_0111</ns0:t>
        </ns0:is>
      </ns0:c>
      <ns0:c r="C627" t="inlineStr">
        <ns0:is>
          <ns0:t>run_007</ns0:t>
        </ns0:is>
      </ns0:c>
      <ns0:c r="D627" t="inlineStr">
        <ns0:is>
          <ns0:t>humantime</ns0:t>
        </ns0:is>
      </ns0:c>
      <ns0:c r="E627" t="inlineStr">
        <ns0:is>
          <ns0:t>gpt-4.1-nano</ns0:t>
        </ns0:is>
      </ns0:c>
      <ns0:c r="F627" t="inlineStr">
        <ns0:is>
          <ns0:t>E0432,E0433</ns0:t>
        </ns0:is>
      </ns0:c>
      <ns0:c r="G627" t="n">
        <ns0:v>1</ns0:v>
      </ns0:c>
      <ns0:c r="H627" t="n">
        <ns0:v>0</ns0:v>
      </ns0:c>
      <ns0:c r="I627" t="n">
        <ns0:v>0</ns0:v>
      </ns0:c>
      <ns0:c r="J627" t="n">
        <ns0:v>0</ns0:v>
      </ns0:c>
      <ns0:c r="K627" t="n">
        <ns0:v>0</ns0:v>
      </ns0:c>
      <ns0:c r="L627" t="n">
        <ns0:v>1</ns0:v>
      </ns0:c>
      <ns0:c r="M627" t="n">
        <ns0:v>192822</ns0:v>
      </ns0:c>
      <ns0:c r="N627" t="n">
        <ns0:v>2978</ns0:v>
      </ns0:c>
      <ns0:c r="O627" t="n">
        <ns0:v>195800</ns0:v>
      </ns0:c>
      <ns0:c r="P627" t="n">
        <ns0:v>20</ns0:v>
      </ns0:c>
      <ns0:c r="Q627">
        <ns0:f>IF(AND(L627=1,O627*Calculations!$B$2&lt;=Calculations!$B$10*Calculations!$B$4),1,0)</ns0:f>
        <ns0:v>0</ns0:v>
      </ns0:c>
      <ns0:c r="R627">
        <ns0:f>IF(AND(L627=1,O627*Calculations!$B$2&lt;=Calculations!$B$11*Calculations!$B$4),1,0)</ns0:f>
        <ns0:v>0</ns0:v>
      </ns0:c>
    </ns0:row>
    <ns0:row r="628">
      <ns0:c r="A628" t="inlineStr">
        <ns0:is>
          <ns0:t>case_0627</ns0:t>
        </ns0:is>
      </ns0:c>
      <ns0:c r="B628" t="inlineStr">
        <ns0:is>
          <ns0:t>function_0112</ns0:t>
        </ns0:is>
      </ns0:c>
      <ns0:c r="C628" t="inlineStr">
        <ns0:is>
          <ns0:t>run_007</ns0:t>
        </ns0:is>
      </ns0:c>
      <ns0:c r="D628" t="inlineStr">
        <ns0:is>
          <ns0:t>humantime</ns0:t>
        </ns0:is>
      </ns0:c>
      <ns0:c r="E628" t="inlineStr">
        <ns0:is>
          <ns0:t>gpt-4.1-nano</ns0:t>
        </ns0:is>
      </ns0:c>
      <ns0:c r="F628" t="inlineStr">
        <ns0:is>
          <ns0:t>E0432</ns0:t>
        </ns0:is>
      </ns0:c>
      <ns0:c r="G628" t="n">
        <ns0:v>0</ns0:v>
      </ns0:c>
      <ns0:c r="H628" t="n">
        <ns0:v>3678</ns0:v>
      </ns0:c>
      <ns0:c r="I628" t="n">
        <ns0:v>276</ns0:v>
      </ns0:c>
      <ns0:c r="J628" t="n">
        <ns0:v>3954</ns0:v>
      </ns0:c>
      <ns0:c r="K628" t="n">
        <ns0:v>3</ns0:v>
      </ns0:c>
      <ns0:c r="L628" t="n">
        <ns0:v>1</ns0:v>
      </ns0:c>
      <ns0:c r="M628" t="n">
        <ns0:v>44728</ns0:v>
      </ns0:c>
      <ns0:c r="N628" t="n">
        <ns0:v>1106</ns0:v>
      </ns0:c>
      <ns0:c r="O628" t="n">
        <ns0:v>45834</ns0:v>
      </ns0:c>
      <ns0:c r="P628" t="n">
        <ns0:v>6</ns0:v>
      </ns0:c>
      <ns0:c r="Q628">
        <ns0:f>IF(AND(L628=1,O628*Calculations!$B$2&lt;=Calculations!$B$10*Calculations!$B$4),1,0)</ns0:f>
        <ns0:v>0</ns0:v>
      </ns0:c>
      <ns0:c r="R628">
        <ns0:f>IF(AND(L628=1,O628*Calculations!$B$2&lt;=Calculations!$B$11*Calculations!$B$4),1,0)</ns0:f>
        <ns0:v>1</ns0:v>
      </ns0:c>
    </ns0:row>
    <ns0:row r="629">
      <ns0:c r="A629" t="inlineStr">
        <ns0:is>
          <ns0:t>case_0628</ns0:t>
        </ns0:is>
      </ns0:c>
      <ns0:c r="B629" t="inlineStr">
        <ns0:is>
          <ns0:t>function_0112</ns0:t>
        </ns0:is>
      </ns0:c>
      <ns0:c r="C629" t="inlineStr">
        <ns0:is>
          <ns0:t>run_007</ns0:t>
        </ns0:is>
      </ns0:c>
      <ns0:c r="D629" t="inlineStr">
        <ns0:is>
          <ns0:t>humantime</ns0:t>
        </ns0:is>
      </ns0:c>
      <ns0:c r="E629" t="inlineStr">
        <ns0:is>
          <ns0:t>gpt-4.1-nano</ns0:t>
        </ns0:is>
      </ns0:c>
      <ns0:c r="F629" t="inlineStr">
        <ns0:is>
          <ns0:t>E0432</ns0:t>
        </ns0:is>
      </ns0:c>
      <ns0:c r="G629" t="n">
        <ns0:v>0</ns0:v>
      </ns0:c>
      <ns0:c r="H629" t="n">
        <ns0:v>3859</ns0:v>
      </ns0:c>
      <ns0:c r="I629" t="n">
        <ns0:v>300</ns0:v>
      </ns0:c>
      <ns0:c r="J629" t="n">
        <ns0:v>4159</ns0:v>
      </ns0:c>
      <ns0:c r="K629" t="n">
        <ns0:v>3</ns0:v>
      </ns0:c>
      <ns0:c r="L629" t="n">
        <ns0:v>1</ns0:v>
      </ns0:c>
      <ns0:c r="M629" t="n">
        <ns0:v>100098</ns0:v>
      </ns0:c>
      <ns0:c r="N629" t="n">
        <ns0:v>1174</ns0:v>
      </ns0:c>
      <ns0:c r="O629" t="n">
        <ns0:v>101272</ns0:v>
      </ns0:c>
      <ns0:c r="P629" t="n">
        <ns0:v>6</ns0:v>
      </ns0:c>
      <ns0:c r="Q629">
        <ns0:f>IF(AND(L629=1,O629*Calculations!$B$2&lt;=Calculations!$B$10*Calculations!$B$4),1,0)</ns0:f>
        <ns0:v>0</ns0:v>
      </ns0:c>
      <ns0:c r="R629">
        <ns0:f>IF(AND(L629=1,O629*Calculations!$B$2&lt;=Calculations!$B$11*Calculations!$B$4),1,0)</ns0:f>
        <ns0:v>0</ns0:v>
      </ns0:c>
    </ns0:row>
    <ns0:row r="630">
      <ns0:c r="A630" t="inlineStr">
        <ns0:is>
          <ns0:t>case_0629</ns0:t>
        </ns0:is>
      </ns0:c>
      <ns0:c r="B630" t="inlineStr">
        <ns0:is>
          <ns0:t>function_0112</ns0:t>
        </ns0:is>
      </ns0:c>
      <ns0:c r="C630" t="inlineStr">
        <ns0:is>
          <ns0:t>run_007</ns0:t>
        </ns0:is>
      </ns0:c>
      <ns0:c r="D630" t="inlineStr">
        <ns0:is>
          <ns0:t>humantime</ns0:t>
        </ns0:is>
      </ns0:c>
      <ns0:c r="E630" t="inlineStr">
        <ns0:is>
          <ns0:t>gpt-4.1-nano</ns0:t>
        </ns0:is>
      </ns0:c>
      <ns0:c r="F630" t="inlineStr">
        <ns0:is>
          <ns0:t>E0433</ns0:t>
        </ns0:is>
      </ns0:c>
      <ns0:c r="G630" t="n">
        <ns0:v>1</ns0:v>
      </ns0:c>
      <ns0:c r="H630" t="n">
        <ns0:v>0</ns0:v>
      </ns0:c>
      <ns0:c r="I630" t="n">
        <ns0:v>0</ns0:v>
      </ns0:c>
      <ns0:c r="J630" t="n">
        <ns0:v>0</ns0:v>
      </ns0:c>
      <ns0:c r="K630" t="n">
        <ns0:v>0</ns0:v>
      </ns0:c>
      <ns0:c r="L630" t="n">
        <ns0:v>1</ns0:v>
      </ns0:c>
      <ns0:c r="M630" t="n">
        <ns0:v>20869</ns0:v>
      </ns0:c>
      <ns0:c r="N630" t="n">
        <ns0:v>1005</ns0:v>
      </ns0:c>
      <ns0:c r="O630" t="n">
        <ns0:v>21874</ns0:v>
      </ns0:c>
      <ns0:c r="P630" t="n">
        <ns0:v>3</ns0:v>
      </ns0:c>
      <ns0:c r="Q630">
        <ns0:f>IF(AND(L630=1,O630*Calculations!$B$2&lt;=Calculations!$B$10*Calculations!$B$4),1,0)</ns0:f>
        <ns0:v>1</ns0:v>
      </ns0:c>
      <ns0:c r="R630">
        <ns0:f>IF(AND(L630=1,O630*Calculations!$B$2&lt;=Calculations!$B$11*Calculations!$B$4),1,0)</ns0:f>
        <ns0:v>1</ns0:v>
      </ns0:c>
    </ns0:row>
    <ns0:row r="631">
      <ns0:c r="A631" t="inlineStr">
        <ns0:is>
          <ns0:t>case_0630</ns0:t>
        </ns0:is>
      </ns0:c>
      <ns0:c r="B631" t="inlineStr">
        <ns0:is>
          <ns0:t>function_0112</ns0:t>
        </ns0:is>
      </ns0:c>
      <ns0:c r="C631" t="inlineStr">
        <ns0:is>
          <ns0:t>run_007</ns0:t>
        </ns0:is>
      </ns0:c>
      <ns0:c r="D631" t="inlineStr">
        <ns0:is>
          <ns0:t>humantime</ns0:t>
        </ns0:is>
      </ns0:c>
      <ns0:c r="E631" t="inlineStr">
        <ns0:is>
          <ns0:t>gpt-4.1-nano</ns0:t>
        </ns0:is>
      </ns0:c>
      <ns0:c r="F631" t="inlineStr">
        <ns0:is>
          <ns0:t>E0433</ns0:t>
        </ns0:is>
      </ns0:c>
      <ns0:c r="G631" t="n">
        <ns0:v>1</ns0:v>
      </ns0:c>
      <ns0:c r="H631" t="n">
        <ns0:v>0</ns0:v>
      </ns0:c>
      <ns0:c r="I631" t="n">
        <ns0:v>0</ns0:v>
      </ns0:c>
      <ns0:c r="J631" t="n">
        <ns0:v>0</ns0:v>
      </ns0:c>
      <ns0:c r="K631" t="n">
        <ns0:v>0</ns0:v>
      </ns0:c>
      <ns0:c r="L631" t="n">
        <ns0:v>1</ns0:v>
      </ns0:c>
      <ns0:c r="M631" t="n">
        <ns0:v>49725</ns0:v>
      </ns0:c>
      <ns0:c r="N631" t="n">
        <ns0:v>402</ns0:v>
      </ns0:c>
      <ns0:c r="O631" t="n">
        <ns0:v>50127</ns0:v>
      </ns0:c>
      <ns0:c r="P631" t="n">
        <ns0:v>4</ns0:v>
      </ns0:c>
      <ns0:c r="Q631">
        <ns0:f>IF(AND(L631=1,O631*Calculations!$B$2&lt;=Calculations!$B$10*Calculations!$B$4),1,0)</ns0:f>
        <ns0:v>0</ns0:v>
      </ns0:c>
      <ns0:c r="R631">
        <ns0:f>IF(AND(L631=1,O631*Calculations!$B$2&lt;=Calculations!$B$11*Calculations!$B$4),1,0)</ns0:f>
        <ns0:v>0</ns0:v>
      </ns0:c>
    </ns0:row>
    <ns0:row r="632">
      <ns0:c r="A632" t="inlineStr">
        <ns0:is>
          <ns0:t>case_0631</ns0:t>
        </ns0:is>
      </ns0:c>
      <ns0:c r="B632" t="inlineStr">
        <ns0:is>
          <ns0:t>function_0113</ns0:t>
        </ns0:is>
      </ns0:c>
      <ns0:c r="C632" t="inlineStr">
        <ns0:is>
          <ns0:t>run_007</ns0:t>
        </ns0:is>
      </ns0:c>
      <ns0:c r="D632" t="inlineStr">
        <ns0:is>
          <ns0:t>humantime</ns0:t>
        </ns0:is>
      </ns0:c>
      <ns0:c r="E632" t="inlineStr">
        <ns0:is>
          <ns0:t>gpt-4.1-nano</ns0:t>
        </ns0:is>
      </ns0:c>
      <ns0:c r="F632" t="inlineStr">
        <ns0:is>
          <ns0:t>E0433</ns0:t>
        </ns0:is>
      </ns0:c>
      <ns0:c r="G632" t="n">
        <ns0:v>1</ns0:v>
      </ns0:c>
      <ns0:c r="H632" t="n">
        <ns0:v>0</ns0:v>
      </ns0:c>
      <ns0:c r="I632" t="n">
        <ns0:v>0</ns0:v>
      </ns0:c>
      <ns0:c r="J632" t="n">
        <ns0:v>0</ns0:v>
      </ns0:c>
      <ns0:c r="K632" t="n">
        <ns0:v>0</ns0:v>
      </ns0:c>
      <ns0:c r="L632" t="n">
        <ns0:v>1</ns0:v>
      </ns0:c>
      <ns0:c r="M632" t="n">
        <ns0:v>54927</ns0:v>
      </ns0:c>
      <ns0:c r="N632" t="n">
        <ns0:v>826</ns0:v>
      </ns0:c>
      <ns0:c r="O632" t="n">
        <ns0:v>55753</ns0:v>
      </ns0:c>
      <ns0:c r="P632" t="n">
        <ns0:v>7</ns0:v>
      </ns0:c>
      <ns0:c r="Q632">
        <ns0:f>IF(AND(L632=1,O632*Calculations!$B$2&lt;=Calculations!$B$10*Calculations!$B$4),1,0)</ns0:f>
        <ns0:v>0</ns0:v>
      </ns0:c>
      <ns0:c r="R632">
        <ns0:f>IF(AND(L632=1,O632*Calculations!$B$2&lt;=Calculations!$B$11*Calculations!$B$4),1,0)</ns0:f>
        <ns0:v>0</ns0:v>
      </ns0:c>
    </ns0:row>
    <ns0:row r="633">
      <ns0:c r="A633" t="inlineStr">
        <ns0:is>
          <ns0:t>case_0632</ns0:t>
        </ns0:is>
      </ns0:c>
      <ns0:c r="B633" t="inlineStr">
        <ns0:is>
          <ns0:t>function_0113</ns0:t>
        </ns0:is>
      </ns0:c>
      <ns0:c r="C633" t="inlineStr">
        <ns0:is>
          <ns0:t>run_007</ns0:t>
        </ns0:is>
      </ns0:c>
      <ns0:c r="D633" t="inlineStr">
        <ns0:is>
          <ns0:t>humantime</ns0:t>
        </ns0:is>
      </ns0:c>
      <ns0:c r="E633" t="inlineStr">
        <ns0:is>
          <ns0:t>gpt-4.1-nano</ns0:t>
        </ns0:is>
      </ns0:c>
      <ns0:c r="F633" t="inlineStr">
        <ns0:is>
          <ns0:t>E0433</ns0:t>
        </ns0:is>
      </ns0:c>
      <ns0:c r="G633" t="n">
        <ns0:v>1</ns0:v>
      </ns0:c>
      <ns0:c r="H633" t="n">
        <ns0:v>0</ns0:v>
      </ns0:c>
      <ns0:c r="I633" t="n">
        <ns0:v>0</ns0:v>
      </ns0:c>
      <ns0:c r="J633" t="n">
        <ns0:v>0</ns0:v>
      </ns0:c>
      <ns0:c r="K633" t="n">
        <ns0:v>0</ns0:v>
      </ns0:c>
      <ns0:c r="L633" t="n">
        <ns0:v>1</ns0:v>
      </ns0:c>
      <ns0:c r="M633" t="n">
        <ns0:v>20829</ns0:v>
      </ns0:c>
      <ns0:c r="N633" t="n">
        <ns0:v>565</ns0:v>
      </ns0:c>
      <ns0:c r="O633" t="n">
        <ns0:v>21394</ns0:v>
      </ns0:c>
      <ns0:c r="P633" t="n">
        <ns0:v>3</ns0:v>
      </ns0:c>
      <ns0:c r="Q633">
        <ns0:f>IF(AND(L633=1,O633*Calculations!$B$2&lt;=Calculations!$B$10*Calculations!$B$4),1,0)</ns0:f>
        <ns0:v>1</ns0:v>
      </ns0:c>
      <ns0:c r="R633">
        <ns0:f>IF(AND(L633=1,O633*Calculations!$B$2&lt;=Calculations!$B$11*Calculations!$B$4),1,0)</ns0:f>
        <ns0:v>1</ns0:v>
      </ns0:c>
    </ns0:row>
    <ns0:row r="634">
      <ns0:c r="A634" t="inlineStr">
        <ns0:is>
          <ns0:t>case_0633</ns0:t>
        </ns0:is>
      </ns0:c>
      <ns0:c r="B634" t="inlineStr">
        <ns0:is>
          <ns0:t>function_0114</ns0:t>
        </ns0:is>
      </ns0:c>
      <ns0:c r="C634" t="inlineStr">
        <ns0:is>
          <ns0:t>run_007</ns0:t>
        </ns0:is>
      </ns0:c>
      <ns0:c r="D634" t="inlineStr">
        <ns0:is>
          <ns0:t>humantime</ns0:t>
        </ns0:is>
      </ns0:c>
      <ns0:c r="E634" t="inlineStr">
        <ns0:is>
          <ns0:t>gpt-4.1-nano</ns0:t>
        </ns0:is>
      </ns0:c>
      <ns0:c r="F634" t="inlineStr">
        <ns0:is>
          <ns0:t>E0432</ns0:t>
        </ns0:is>
      </ns0:c>
      <ns0:c r="G634" t="n">
        <ns0:v>0</ns0:v>
      </ns0:c>
      <ns0:c r="H634" t="n">
        <ns0:v>3379</ns0:v>
      </ns0:c>
      <ns0:c r="I634" t="n">
        <ns0:v>180</ns0:v>
      </ns0:c>
      <ns0:c r="J634" t="n">
        <ns0:v>3559</ns0:v>
      </ns0:c>
      <ns0:c r="K634" t="n">
        <ns0:v>3</ns0:v>
      </ns0:c>
      <ns0:c r="L634" t="n">
        <ns0:v>1</ns0:v>
      </ns0:c>
      <ns0:c r="M634" t="n">
        <ns0:v>82669</ns0:v>
      </ns0:c>
      <ns0:c r="N634" t="n">
        <ns0:v>1321</ns0:v>
      </ns0:c>
      <ns0:c r="O634" t="n">
        <ns0:v>83990</ns0:v>
      </ns0:c>
      <ns0:c r="P634" t="n">
        <ns0:v>10</ns0:v>
      </ns0:c>
      <ns0:c r="Q634">
        <ns0:f>IF(AND(L634=1,O634*Calculations!$B$2&lt;=Calculations!$B$10*Calculations!$B$4),1,0)</ns0:f>
        <ns0:v>0</ns0:v>
      </ns0:c>
      <ns0:c r="R634">
        <ns0:f>IF(AND(L634=1,O634*Calculations!$B$2&lt;=Calculations!$B$11*Calculations!$B$4),1,0)</ns0:f>
        <ns0:v>0</ns0:v>
      </ns0:c>
    </ns0:row>
    <ns0:row r="635">
      <ns0:c r="A635" t="inlineStr">
        <ns0:is>
          <ns0:t>case_0634</ns0:t>
        </ns0:is>
      </ns0:c>
      <ns0:c r="B635" t="inlineStr">
        <ns0:is>
          <ns0:t>function_0114</ns0:t>
        </ns0:is>
      </ns0:c>
      <ns0:c r="C635" t="inlineStr">
        <ns0:is>
          <ns0:t>run_007</ns0:t>
        </ns0:is>
      </ns0:c>
      <ns0:c r="D635" t="inlineStr">
        <ns0:is>
          <ns0:t>humantime</ns0:t>
        </ns0:is>
      </ns0:c>
      <ns0:c r="E635" t="inlineStr">
        <ns0:is>
          <ns0:t>gpt-4.1-nano</ns0:t>
        </ns0:is>
      </ns0:c>
      <ns0:c r="F635" t="inlineStr">
        <ns0:is>
          <ns0:t>E0432</ns0:t>
        </ns0:is>
      </ns0:c>
      <ns0:c r="G635" t="n">
        <ns0:v>0</ns0:v>
      </ns0:c>
      <ns0:c r="H635" t="n">
        <ns0:v>3363</ns0:v>
      </ns0:c>
      <ns0:c r="I635" t="n">
        <ns0:v>180</ns0:v>
      </ns0:c>
      <ns0:c r="J635" t="n">
        <ns0:v>3543</ns0:v>
      </ns0:c>
      <ns0:c r="K635" t="n">
        <ns0:v>3</ns0:v>
      </ns0:c>
      <ns0:c r="L635" t="n">
        <ns0:v>0</ns0:v>
      </ns0:c>
      <ns0:c r="M635" t="n">
        <ns0:v>323349</ns0:v>
      </ns0:c>
      <ns0:c r="N635" t="n">
        <ns0:v>2480</ns0:v>
      </ns0:c>
      <ns0:c r="O635" t="n">
        <ns0:v>325829</ns0:v>
      </ns0:c>
      <ns0:c r="P635" t="n">
        <ns0:v>20</ns0:v>
      </ns0:c>
      <ns0:c r="Q635">
        <ns0:f>IF(AND(L635=1,O635*Calculations!$B$2&lt;=Calculations!$B$10*Calculations!$B$4),1,0)</ns0:f>
        <ns0:v>0</ns0:v>
      </ns0:c>
      <ns0:c r="R635">
        <ns0:f>IF(AND(L635=1,O635*Calculations!$B$2&lt;=Calculations!$B$11*Calculations!$B$4),1,0)</ns0:f>
        <ns0:v>0</ns0:v>
      </ns0:c>
    </ns0:row>
    <ns0:row r="636">
      <ns0:c r="A636" t="inlineStr">
        <ns0:is>
          <ns0:t>case_0635</ns0:t>
        </ns0:is>
      </ns0:c>
      <ns0:c r="B636" t="inlineStr">
        <ns0:is>
          <ns0:t>function_0114</ns0:t>
        </ns0:is>
      </ns0:c>
      <ns0:c r="C636" t="inlineStr">
        <ns0:is>
          <ns0:t>run_007</ns0:t>
        </ns0:is>
      </ns0:c>
      <ns0:c r="D636" t="inlineStr">
        <ns0:is>
          <ns0:t>humantime</ns0:t>
        </ns0:is>
      </ns0:c>
      <ns0:c r="E636" t="inlineStr">
        <ns0:is>
          <ns0:t>gpt-4.1-nano</ns0:t>
        </ns0:is>
      </ns0:c>
      <ns0:c r="F636" t="inlineStr">
        <ns0:is>
          <ns0:t>E0432</ns0:t>
        </ns0:is>
      </ns0:c>
      <ns0:c r="G636" t="n">
        <ns0:v>0</ns0:v>
      </ns0:c>
      <ns0:c r="H636" t="n">
        <ns0:v>3363</ns0:v>
      </ns0:c>
      <ns0:c r="I636" t="n">
        <ns0:v>186</ns0:v>
      </ns0:c>
      <ns0:c r="J636" t="n">
        <ns0:v>3549</ns0:v>
      </ns0:c>
      <ns0:c r="K636" t="n">
        <ns0:v>3</ns0:v>
      </ns0:c>
      <ns0:c r="L636" t="n">
        <ns0:v>0</ns0:v>
      </ns0:c>
      <ns0:c r="M636" t="n">
        <ns0:v>243078</ns0:v>
      </ns0:c>
      <ns0:c r="N636" t="n">
        <ns0:v>4782</ns0:v>
      </ns0:c>
      <ns0:c r="O636" t="n">
        <ns0:v>247860</ns0:v>
      </ns0:c>
      <ns0:c r="P636" t="n">
        <ns0:v>20</ns0:v>
      </ns0:c>
      <ns0:c r="Q636">
        <ns0:f>IF(AND(L636=1,O636*Calculations!$B$2&lt;=Calculations!$B$10*Calculations!$B$4),1,0)</ns0:f>
        <ns0:v>0</ns0:v>
      </ns0:c>
      <ns0:c r="R636">
        <ns0:f>IF(AND(L636=1,O636*Calculations!$B$2&lt;=Calculations!$B$11*Calculations!$B$4),1,0)</ns0:f>
        <ns0:v>0</ns0:v>
      </ns0:c>
    </ns0:row>
    <ns0:row r="637">
      <ns0:c r="A637" t="inlineStr">
        <ns0:is>
          <ns0:t>case_0636</ns0:t>
        </ns0:is>
      </ns0:c>
      <ns0:c r="B637" t="inlineStr">
        <ns0:is>
          <ns0:t>function_0114</ns0:t>
        </ns0:is>
      </ns0:c>
      <ns0:c r="C637" t="inlineStr">
        <ns0:is>
          <ns0:t>run_007</ns0:t>
        </ns0:is>
      </ns0:c>
      <ns0:c r="D637" t="inlineStr">
        <ns0:is>
          <ns0:t>humantime</ns0:t>
        </ns0:is>
      </ns0:c>
      <ns0:c r="E637" t="inlineStr">
        <ns0:is>
          <ns0:t>gpt-4.1-nano</ns0:t>
        </ns0:is>
      </ns0:c>
      <ns0:c r="F637" t="inlineStr">
        <ns0:is>
          <ns0:t>E0433</ns0:t>
        </ns0:is>
      </ns0:c>
      <ns0:c r="G637" t="n">
        <ns0:v>1</ns0:v>
      </ns0:c>
      <ns0:c r="H637" t="n">
        <ns0:v>661</ns0:v>
      </ns0:c>
      <ns0:c r="I637" t="n">
        <ns0:v>62</ns0:v>
      </ns0:c>
      <ns0:c r="J637" t="n">
        <ns0:v>723</ns0:v>
      </ns0:c>
      <ns0:c r="K637" t="n">
        <ns0:v>1</ns0:v>
      </ns0:c>
      <ns0:c r="L637" t="n">
        <ns0:v>1</ns0:v>
      </ns0:c>
      <ns0:c r="M637" t="n">
        <ns0:v>82970</ns0:v>
      </ns0:c>
      <ns0:c r="N637" t="n">
        <ns0:v>1476</ns0:v>
      </ns0:c>
      <ns0:c r="O637" t="n">
        <ns0:v>84446</ns0:v>
      </ns0:c>
      <ns0:c r="P637" t="n">
        <ns0:v>7</ns0:v>
      </ns0:c>
      <ns0:c r="Q637">
        <ns0:f>IF(AND(L637=1,O637*Calculations!$B$2&lt;=Calculations!$B$10*Calculations!$B$4),1,0)</ns0:f>
        <ns0:v>0</ns0:v>
      </ns0:c>
      <ns0:c r="R637">
        <ns0:f>IF(AND(L637=1,O637*Calculations!$B$2&lt;=Calculations!$B$11*Calculations!$B$4),1,0)</ns0:f>
        <ns0:v>0</ns0:v>
      </ns0:c>
    </ns0:row>
    <ns0:row r="638">
      <ns0:c r="A638" t="inlineStr">
        <ns0:is>
          <ns0:t>case_0637</ns0:t>
        </ns0:is>
      </ns0:c>
      <ns0:c r="B638" t="inlineStr">
        <ns0:is>
          <ns0:t>function_0114</ns0:t>
        </ns0:is>
      </ns0:c>
      <ns0:c r="C638" t="inlineStr">
        <ns0:is>
          <ns0:t>run_007</ns0:t>
        </ns0:is>
      </ns0:c>
      <ns0:c r="D638" t="inlineStr">
        <ns0:is>
          <ns0:t>humantime</ns0:t>
        </ns0:is>
      </ns0:c>
      <ns0:c r="E638" t="inlineStr">
        <ns0:is>
          <ns0:t>gpt-4.1-nano</ns0:t>
        </ns0:is>
      </ns0:c>
      <ns0:c r="F638" t="inlineStr">
        <ns0:is>
          <ns0:t>E0432</ns0:t>
        </ns0:is>
      </ns0:c>
      <ns0:c r="G638" t="n">
        <ns0:v>0</ns0:v>
      </ns0:c>
      <ns0:c r="H638" t="n">
        <ns0:v>3379</ns0:v>
      </ns0:c>
      <ns0:c r="I638" t="n">
        <ns0:v>182</ns0:v>
      </ns0:c>
      <ns0:c r="J638" t="n">
        <ns0:v>3561</ns0:v>
      </ns0:c>
      <ns0:c r="K638" t="n">
        <ns0:v>3</ns0:v>
      </ns0:c>
      <ns0:c r="L638" t="n">
        <ns0:v>0</ns0:v>
      </ns0:c>
      <ns0:c r="M638" t="n">
        <ns0:v>162287</ns0:v>
      </ns0:c>
      <ns0:c r="N638" t="n">
        <ns0:v>2017</ns0:v>
      </ns0:c>
      <ns0:c r="O638" t="n">
        <ns0:v>164304</ns0:v>
      </ns0:c>
      <ns0:c r="P638" t="n">
        <ns0:v>20</ns0:v>
      </ns0:c>
      <ns0:c r="Q638">
        <ns0:f>IF(AND(L638=1,O638*Calculations!$B$2&lt;=Calculations!$B$10*Calculations!$B$4),1,0)</ns0:f>
        <ns0:v>0</ns0:v>
      </ns0:c>
      <ns0:c r="R638">
        <ns0:f>IF(AND(L638=1,O638*Calculations!$B$2&lt;=Calculations!$B$11*Calculations!$B$4),1,0)</ns0:f>
        <ns0:v>0</ns0:v>
      </ns0:c>
    </ns0:row>
    <ns0:row r="639">
      <ns0:c r="A639" t="inlineStr">
        <ns0:is>
          <ns0:t>case_0638</ns0:t>
        </ns0:is>
      </ns0:c>
      <ns0:c r="B639" t="inlineStr">
        <ns0:is>
          <ns0:t>function_0114</ns0:t>
        </ns0:is>
      </ns0:c>
      <ns0:c r="C639" t="inlineStr">
        <ns0:is>
          <ns0:t>run_007</ns0:t>
        </ns0:is>
      </ns0:c>
      <ns0:c r="D639" t="inlineStr">
        <ns0:is>
          <ns0:t>humantime</ns0:t>
        </ns0:is>
      </ns0:c>
      <ns0:c r="E639" t="inlineStr">
        <ns0:is>
          <ns0:t>gpt-4.1-nano</ns0:t>
        </ns0:is>
      </ns0:c>
      <ns0:c r="F639" t="inlineStr">
        <ns0:is>
          <ns0:t>E0433</ns0:t>
        </ns0:is>
      </ns0:c>
      <ns0:c r="G639" t="n">
        <ns0:v>1</ns0:v>
      </ns0:c>
      <ns0:c r="H639" t="n">
        <ns0:v>675</ns0:v>
      </ns0:c>
      <ns0:c r="I639" t="n">
        <ns0:v>357</ns0:v>
      </ns0:c>
      <ns0:c r="J639" t="n">
        <ns0:v>1032</ns0:v>
      </ns0:c>
      <ns0:c r="K639" t="n">
        <ns0:v>1</ns0:v>
      </ns0:c>
      <ns0:c r="L639" t="n">
        <ns0:v>0</ns0:v>
      </ns0:c>
      <ns0:c r="M639" t="n">
        <ns0:v>159260</ns0:v>
      </ns0:c>
      <ns0:c r="N639" t="n">
        <ns0:v>1579</ns0:v>
      </ns0:c>
      <ns0:c r="O639" t="n">
        <ns0:v>160839</ns0:v>
      </ns0:c>
      <ns0:c r="P639" t="n">
        <ns0:v>20</ns0:v>
      </ns0:c>
      <ns0:c r="Q639">
        <ns0:f>IF(AND(L639=1,O639*Calculations!$B$2&lt;=Calculations!$B$10*Calculations!$B$4),1,0)</ns0:f>
        <ns0:v>0</ns0:v>
      </ns0:c>
      <ns0:c r="R639">
        <ns0:f>IF(AND(L639=1,O639*Calculations!$B$2&lt;=Calculations!$B$11*Calculations!$B$4),1,0)</ns0:f>
        <ns0:v>0</ns0:v>
      </ns0:c>
    </ns0:row>
    <ns0:row r="640">
      <ns0:c r="A640" t="inlineStr">
        <ns0:is>
          <ns0:t>case_0639</ns0:t>
        </ns0:is>
      </ns0:c>
      <ns0:c r="B640" t="inlineStr">
        <ns0:is>
          <ns0:t>function_0115</ns0:t>
        </ns0:is>
      </ns0:c>
      <ns0:c r="C640" t="inlineStr">
        <ns0:is>
          <ns0:t>run_007</ns0:t>
        </ns0:is>
      </ns0:c>
      <ns0:c r="D640" t="inlineStr">
        <ns0:is>
          <ns0:t>humantime</ns0:t>
        </ns0:is>
      </ns0:c>
      <ns0:c r="E640" t="inlineStr">
        <ns0:is>
          <ns0:t>gpt-4.1-nano</ns0:t>
        </ns0:is>
      </ns0:c>
      <ns0:c r="F640" t="inlineStr">
        <ns0:is>
          <ns0:t>E0432</ns0:t>
        </ns0:is>
      </ns0:c>
      <ns0:c r="G640" t="n">
        <ns0:v>1</ns0:v>
      </ns0:c>
      <ns0:c r="H640" t="n">
        <ns0:v>0</ns0:v>
      </ns0:c>
      <ns0:c r="I640" t="n">
        <ns0:v>0</ns0:v>
      </ns0:c>
      <ns0:c r="J640" t="n">
        <ns0:v>0</ns0:v>
      </ns0:c>
      <ns0:c r="K640" t="n">
        <ns0:v>0</ns0:v>
      </ns0:c>
      <ns0:c r="L640" t="n">
        <ns0:v>1</ns0:v>
      </ns0:c>
      <ns0:c r="M640" t="n">
        <ns0:v>20470</ns0:v>
      </ns0:c>
      <ns0:c r="N640" t="n">
        <ns0:v>255</ns0:v>
      </ns0:c>
      <ns0:c r="O640" t="n">
        <ns0:v>20725</ns0:v>
      </ns0:c>
      <ns0:c r="P640" t="n">
        <ns0:v>3</ns0:v>
      </ns0:c>
      <ns0:c r="Q640">
        <ns0:f>IF(AND(L640=1,O640*Calculations!$B$2&lt;=Calculations!$B$10*Calculations!$B$4),1,0)</ns0:f>
        <ns0:v>1</ns0:v>
      </ns0:c>
      <ns0:c r="R640">
        <ns0:f>IF(AND(L640=1,O640*Calculations!$B$2&lt;=Calculations!$B$11*Calculations!$B$4),1,0)</ns0:f>
        <ns0:v>1</ns0:v>
      </ns0:c>
    </ns0:row>
    <ns0:row r="641">
      <ns0:c r="A641" t="inlineStr">
        <ns0:is>
          <ns0:t>case_0640</ns0:t>
        </ns0:is>
      </ns0:c>
      <ns0:c r="B641" t="inlineStr">
        <ns0:is>
          <ns0:t>function_0115</ns0:t>
        </ns0:is>
      </ns0:c>
      <ns0:c r="C641" t="inlineStr">
        <ns0:is>
          <ns0:t>run_007</ns0:t>
        </ns0:is>
      </ns0:c>
      <ns0:c r="D641" t="inlineStr">
        <ns0:is>
          <ns0:t>humantime</ns0:t>
        </ns0:is>
      </ns0:c>
      <ns0:c r="E641" t="inlineStr">
        <ns0:is>
          <ns0:t>gpt-4.1-nano</ns0:t>
        </ns0:is>
      </ns0:c>
      <ns0:c r="F641" t="inlineStr">
        <ns0:is>
          <ns0:t>E0432</ns0:t>
        </ns0:is>
      </ns0:c>
      <ns0:c r="G641" t="n">
        <ns0:v>1</ns0:v>
      </ns0:c>
      <ns0:c r="H641" t="n">
        <ns0:v>0</ns0:v>
      </ns0:c>
      <ns0:c r="I641" t="n">
        <ns0:v>0</ns0:v>
      </ns0:c>
      <ns0:c r="J641" t="n">
        <ns0:v>0</ns0:v>
      </ns0:c>
      <ns0:c r="K641" t="n">
        <ns0:v>0</ns0:v>
      </ns0:c>
      <ns0:c r="L641" t="n">
        <ns0:v>1</ns0:v>
      </ns0:c>
      <ns0:c r="M641" t="n">
        <ns0:v>20260</ns0:v>
      </ns0:c>
      <ns0:c r="N641" t="n">
        <ns0:v>286</ns0:v>
      </ns0:c>
      <ns0:c r="O641" t="n">
        <ns0:v>20546</ns0:v>
      </ns0:c>
      <ns0:c r="P641" t="n">
        <ns0:v>3</ns0:v>
      </ns0:c>
      <ns0:c r="Q641">
        <ns0:f>IF(AND(L641=1,O641*Calculations!$B$2&lt;=Calculations!$B$10*Calculations!$B$4),1,0)</ns0:f>
        <ns0:v>1</ns0:v>
      </ns0:c>
      <ns0:c r="R641">
        <ns0:f>IF(AND(L641=1,O641*Calculations!$B$2&lt;=Calculations!$B$11*Calculations!$B$4),1,0)</ns0:f>
        <ns0:v>1</ns0:v>
      </ns0:c>
    </ns0:row>
    <ns0:row r="642">
      <ns0:c r="A642" t="inlineStr">
        <ns0:is>
          <ns0:t>case_0641</ns0:t>
        </ns0:is>
      </ns0:c>
      <ns0:c r="B642" t="inlineStr">
        <ns0:is>
          <ns0:t>function_0115</ns0:t>
        </ns0:is>
      </ns0:c>
      <ns0:c r="C642" t="inlineStr">
        <ns0:is>
          <ns0:t>run_007</ns0:t>
        </ns0:is>
      </ns0:c>
      <ns0:c r="D642" t="inlineStr">
        <ns0:is>
          <ns0:t>humantime</ns0:t>
        </ns0:is>
      </ns0:c>
      <ns0:c r="E642" t="inlineStr">
        <ns0:is>
          <ns0:t>gpt-4.1-nano</ns0:t>
        </ns0:is>
      </ns0:c>
      <ns0:c r="F642" t="inlineStr">
        <ns0:is>
          <ns0:t>E0432</ns0:t>
        </ns0:is>
      </ns0:c>
      <ns0:c r="G642" t="n">
        <ns0:v>1</ns0:v>
      </ns0:c>
      <ns0:c r="H642" t="n">
        <ns0:v>0</ns0:v>
      </ns0:c>
      <ns0:c r="I642" t="n">
        <ns0:v>0</ns0:v>
      </ns0:c>
      <ns0:c r="J642" t="n">
        <ns0:v>0</ns0:v>
      </ns0:c>
      <ns0:c r="K642" t="n">
        <ns0:v>0</ns0:v>
      </ns0:c>
      <ns0:c r="L642" t="n">
        <ns0:v>1</ns0:v>
      </ns0:c>
      <ns0:c r="M642" t="n">
        <ns0:v>20372</ns0:v>
      </ns0:c>
      <ns0:c r="N642" t="n">
        <ns0:v>301</ns0:v>
      </ns0:c>
      <ns0:c r="O642" t="n">
        <ns0:v>20673</ns0:v>
      </ns0:c>
      <ns0:c r="P642" t="n">
        <ns0:v>3</ns0:v>
      </ns0:c>
      <ns0:c r="Q642">
        <ns0:f>IF(AND(L642=1,O642*Calculations!$B$2&lt;=Calculations!$B$10*Calculations!$B$4),1,0)</ns0:f>
        <ns0:v>1</ns0:v>
      </ns0:c>
      <ns0:c r="R642">
        <ns0:f>IF(AND(L642=1,O642*Calculations!$B$2&lt;=Calculations!$B$11*Calculations!$B$4),1,0)</ns0:f>
        <ns0:v>1</ns0:v>
      </ns0:c>
    </ns0:row>
    <ns0:row r="643">
      <ns0:c r="A643" t="inlineStr">
        <ns0:is>
          <ns0:t>case_0642</ns0:t>
        </ns0:is>
      </ns0:c>
      <ns0:c r="B643" t="inlineStr">
        <ns0:is>
          <ns0:t>function_0116</ns0:t>
        </ns0:is>
      </ns0:c>
      <ns0:c r="C643" t="inlineStr">
        <ns0:is>
          <ns0:t>run_007</ns0:t>
        </ns0:is>
      </ns0:c>
      <ns0:c r="D643" t="inlineStr">
        <ns0:is>
          <ns0:t>humantime</ns0:t>
        </ns0:is>
      </ns0:c>
      <ns0:c r="E643" t="inlineStr">
        <ns0:is>
          <ns0:t>gpt-4.1-nano</ns0:t>
        </ns0:is>
      </ns0:c>
      <ns0:c r="F643" t="inlineStr">
        <ns0:is>
          <ns0:t>E0063,E0308,E0432</ns0:t>
        </ns0:is>
      </ns0:c>
      <ns0:c r="G643" t="n">
        <ns0:v>0</ns0:v>
      </ns0:c>
      <ns0:c r="H643" t="n">
        <ns0:v>6059</ns0:v>
      </ns0:c>
      <ns0:c r="I643" t="n">
        <ns0:v>399</ns0:v>
      </ns0:c>
      <ns0:c r="J643" t="n">
        <ns0:v>6458</ns0:v>
      </ns0:c>
      <ns0:c r="K643" t="n">
        <ns0:v>3</ns0:v>
      </ns0:c>
      <ns0:c r="L643" t="n">
        <ns0:v>1</ns0:v>
      </ns0:c>
      <ns0:c r="M643" t="n">
        <ns0:v>53421</ns0:v>
      </ns0:c>
      <ns0:c r="N643" t="n">
        <ns0:v>1343</ns0:v>
      </ns0:c>
      <ns0:c r="O643" t="n">
        <ns0:v>54764</ns0:v>
      </ns0:c>
      <ns0:c r="P643" t="n">
        <ns0:v>7</ns0:v>
      </ns0:c>
      <ns0:c r="Q643">
        <ns0:f>IF(AND(L643=1,O643*Calculations!$B$2&lt;=Calculations!$B$10*Calculations!$B$4),1,0)</ns0:f>
        <ns0:v>0</ns0:v>
      </ns0:c>
      <ns0:c r="R643">
        <ns0:f>IF(AND(L643=1,O643*Calculations!$B$2&lt;=Calculations!$B$11*Calculations!$B$4),1,0)</ns0:f>
        <ns0:v>0</ns0:v>
      </ns0:c>
    </ns0:row>
    <ns0:row r="644">
      <ns0:c r="A644" t="inlineStr">
        <ns0:is>
          <ns0:t>case_0643</ns0:t>
        </ns0:is>
      </ns0:c>
      <ns0:c r="B644" t="inlineStr">
        <ns0:is>
          <ns0:t>function_0116</ns0:t>
        </ns0:is>
      </ns0:c>
      <ns0:c r="C644" t="inlineStr">
        <ns0:is>
          <ns0:t>run_007</ns0:t>
        </ns0:is>
      </ns0:c>
      <ns0:c r="D644" t="inlineStr">
        <ns0:is>
          <ns0:t>humantime</ns0:t>
        </ns0:is>
      </ns0:c>
      <ns0:c r="E644" t="inlineStr">
        <ns0:is>
          <ns0:t>gpt-4.1-nano</ns0:t>
        </ns0:is>
      </ns0:c>
      <ns0:c r="F644" t="inlineStr">
        <ns0:is>
          <ns0:t>E0063,E0308,E0599</ns0:t>
        </ns0:is>
      </ns0:c>
      <ns0:c r="G644" t="n">
        <ns0:v>1</ns0:v>
      </ns0:c>
      <ns0:c r="H644" t="n">
        <ns0:v>1932</ns0:v>
      </ns0:c>
      <ns0:c r="I644" t="n">
        <ns0:v>168</ns0:v>
      </ns0:c>
      <ns0:c r="J644" t="n">
        <ns0:v>2100</ns0:v>
      </ns0:c>
      <ns0:c r="K644" t="n">
        <ns0:v>1</ns0:v>
      </ns0:c>
      <ns0:c r="L644" t="n">
        <ns0:v>1</ns0:v>
      </ns0:c>
      <ns0:c r="M644" t="n">
        <ns0:v>66118</ns0:v>
      </ns0:c>
      <ns0:c r="N644" t="n">
        <ns0:v>801</ns0:v>
      </ns0:c>
      <ns0:c r="O644" t="n">
        <ns0:v>66919</ns0:v>
      </ns0:c>
      <ns0:c r="P644" t="n">
        <ns0:v>5</ns0:v>
      </ns0:c>
      <ns0:c r="Q644">
        <ns0:f>IF(AND(L644=1,O644*Calculations!$B$2&lt;=Calculations!$B$10*Calculations!$B$4),1,0)</ns0:f>
        <ns0:v>0</ns0:v>
      </ns0:c>
      <ns0:c r="R644">
        <ns0:f>IF(AND(L644=1,O644*Calculations!$B$2&lt;=Calculations!$B$11*Calculations!$B$4),1,0)</ns0:f>
        <ns0:v>0</ns0:v>
      </ns0:c>
    </ns0:row>
    <ns0:row r="645">
      <ns0:c r="A645" t="inlineStr">
        <ns0:is>
          <ns0:t>case_0644</ns0:t>
        </ns0:is>
      </ns0:c>
      <ns0:c r="B645" t="inlineStr">
        <ns0:is>
          <ns0:t>function_0116</ns0:t>
        </ns0:is>
      </ns0:c>
      <ns0:c r="C645" t="inlineStr">
        <ns0:is>
          <ns0:t>run_007</ns0:t>
        </ns0:is>
      </ns0:c>
      <ns0:c r="D645" t="inlineStr">
        <ns0:is>
          <ns0:t>humantime</ns0:t>
        </ns0:is>
      </ns0:c>
      <ns0:c r="E645" t="inlineStr">
        <ns0:is>
          <ns0:t>gpt-4.1-nano</ns0:t>
        </ns0:is>
      </ns0:c>
      <ns0:c r="F645" t="inlineStr">
        <ns0:is>
          <ns0:t>E0063,E0308,E0432</ns0:t>
        </ns0:is>
      </ns0:c>
      <ns0:c r="G645" t="n">
        <ns0:v>0</ns0:v>
      </ns0:c>
      <ns0:c r="H645" t="n">
        <ns0:v>6136</ns0:v>
      </ns0:c>
      <ns0:c r="I645" t="n">
        <ns0:v>496</ns0:v>
      </ns0:c>
      <ns0:c r="J645" t="n">
        <ns0:v>6632</ns0:v>
      </ns0:c>
      <ns0:c r="K645" t="n">
        <ns0:v>3</ns0:v>
      </ns0:c>
      <ns0:c r="L645" t="n">
        <ns0:v>1</ns0:v>
      </ns0:c>
      <ns0:c r="M645" t="n">
        <ns0:v>80659</ns0:v>
      </ns0:c>
      <ns0:c r="N645" t="n">
        <ns0:v>567</ns0:v>
      </ns0:c>
      <ns0:c r="O645" t="n">
        <ns0:v>81226</ns0:v>
      </ns0:c>
      <ns0:c r="P645" t="n">
        <ns0:v>6</ns0:v>
      </ns0:c>
      <ns0:c r="Q645">
        <ns0:f>IF(AND(L645=1,O645*Calculations!$B$2&lt;=Calculations!$B$10*Calculations!$B$4),1,0)</ns0:f>
        <ns0:v>0</ns0:v>
      </ns0:c>
      <ns0:c r="R645">
        <ns0:f>IF(AND(L645=1,O645*Calculations!$B$2&lt;=Calculations!$B$11*Calculations!$B$4),1,0)</ns0:f>
        <ns0:v>0</ns0:v>
      </ns0:c>
    </ns0:row>
    <ns0:row r="646">
      <ns0:c r="A646" t="inlineStr">
        <ns0:is>
          <ns0:t>case_0645</ns0:t>
        </ns0:is>
      </ns0:c>
      <ns0:c r="B646" t="inlineStr">
        <ns0:is>
          <ns0:t>function_0116</ns0:t>
        </ns0:is>
      </ns0:c>
      <ns0:c r="C646" t="inlineStr">
        <ns0:is>
          <ns0:t>run_007</ns0:t>
        </ns0:is>
      </ns0:c>
      <ns0:c r="D646" t="inlineStr">
        <ns0:is>
          <ns0:t>humantime</ns0:t>
        </ns0:is>
      </ns0:c>
      <ns0:c r="E646" t="inlineStr">
        <ns0:is>
          <ns0:t>gpt-4.1-nano</ns0:t>
        </ns0:is>
      </ns0:c>
      <ns0:c r="F646" t="inlineStr">
        <ns0:is>
          <ns0:t>E0063,E0308</ns0:t>
        </ns0:is>
      </ns0:c>
      <ns0:c r="G646" t="n">
        <ns0:v>1</ns0:v>
      </ns0:c>
      <ns0:c r="H646" t="n">
        <ns0:v>1763</ns0:v>
      </ns0:c>
      <ns0:c r="I646" t="n">
        <ns0:v>101</ns0:v>
      </ns0:c>
      <ns0:c r="J646" t="n">
        <ns0:v>1864</ns0:v>
      </ns0:c>
      <ns0:c r="K646" t="n">
        <ns0:v>1</ns0:v>
      </ns0:c>
      <ns0:c r="L646" t="n">
        <ns0:v>1</ns0:v>
      </ns0:c>
      <ns0:c r="M646" t="n">
        <ns0:v>93607</ns0:v>
      </ns0:c>
      <ns0:c r="N646" t="n">
        <ns0:v>986</ns0:v>
      </ns0:c>
      <ns0:c r="O646" t="n">
        <ns0:v>94593</ns0:v>
      </ns0:c>
      <ns0:c r="P646" t="n">
        <ns0:v>9</ns0:v>
      </ns0:c>
      <ns0:c r="Q646">
        <ns0:f>IF(AND(L646=1,O646*Calculations!$B$2&lt;=Calculations!$B$10*Calculations!$B$4),1,0)</ns0:f>
        <ns0:v>0</ns0:v>
      </ns0:c>
      <ns0:c r="R646">
        <ns0:f>IF(AND(L646=1,O646*Calculations!$B$2&lt;=Calculations!$B$11*Calculations!$B$4),1,0)</ns0:f>
        <ns0:v>0</ns0:v>
      </ns0:c>
    </ns0:row>
    <ns0:row r="647">
      <ns0:c r="A647" t="inlineStr">
        <ns0:is>
          <ns0:t>case_0646</ns0:t>
        </ns0:is>
      </ns0:c>
      <ns0:c r="B647" t="inlineStr">
        <ns0:is>
          <ns0:t>function_0116</ns0:t>
        </ns0:is>
      </ns0:c>
      <ns0:c r="C647" t="inlineStr">
        <ns0:is>
          <ns0:t>run_007</ns0:t>
        </ns0:is>
      </ns0:c>
      <ns0:c r="D647" t="inlineStr">
        <ns0:is>
          <ns0:t>humantime</ns0:t>
        </ns0:is>
      </ns0:c>
      <ns0:c r="E647" t="inlineStr">
        <ns0:is>
          <ns0:t>gpt-4.1-nano</ns0:t>
        </ns0:is>
      </ns0:c>
      <ns0:c r="F647" t="inlineStr">
        <ns0:is>
          <ns0:t>E0063,E0308,E0432</ns0:t>
        </ns0:is>
      </ns0:c>
      <ns0:c r="G647" t="n">
        <ns0:v>0</ns0:v>
      </ns0:c>
      <ns0:c r="H647" t="n">
        <ns0:v>6044</ns0:v>
      </ns0:c>
      <ns0:c r="I647" t="n">
        <ns0:v>381</ns0:v>
      </ns0:c>
      <ns0:c r="J647" t="n">
        <ns0:v>6425</ns0:v>
      </ns0:c>
      <ns0:c r="K647" t="n">
        <ns0:v>3</ns0:v>
      </ns0:c>
      <ns0:c r="L647" t="n">
        <ns0:v>1</ns0:v>
      </ns0:c>
      <ns0:c r="M647" t="n">
        <ns0:v>58357</ns0:v>
      </ns0:c>
      <ns0:c r="N647" t="n">
        <ns0:v>1150</ns0:v>
      </ns0:c>
      <ns0:c r="O647" t="n">
        <ns0:v>59507</ns0:v>
      </ns0:c>
      <ns0:c r="P647" t="n">
        <ns0:v>6</ns0:v>
      </ns0:c>
      <ns0:c r="Q647">
        <ns0:f>IF(AND(L647=1,O647*Calculations!$B$2&lt;=Calculations!$B$10*Calculations!$B$4),1,0)</ns0:f>
        <ns0:v>0</ns0:v>
      </ns0:c>
      <ns0:c r="R647">
        <ns0:f>IF(AND(L647=1,O647*Calculations!$B$2&lt;=Calculations!$B$11*Calculations!$B$4),1,0)</ns0:f>
        <ns0:v>0</ns0:v>
      </ns0:c>
    </ns0:row>
    <ns0:row r="648">
      <ns0:c r="A648" t="inlineStr">
        <ns0:is>
          <ns0:t>case_0647</ns0:t>
        </ns0:is>
      </ns0:c>
      <ns0:c r="B648" t="inlineStr">
        <ns0:is>
          <ns0:t>function_0116</ns0:t>
        </ns0:is>
      </ns0:c>
      <ns0:c r="C648" t="inlineStr">
        <ns0:is>
          <ns0:t>run_007</ns0:t>
        </ns0:is>
      </ns0:c>
      <ns0:c r="D648" t="inlineStr">
        <ns0:is>
          <ns0:t>humantime</ns0:t>
        </ns0:is>
      </ns0:c>
      <ns0:c r="E648" t="inlineStr">
        <ns0:is>
          <ns0:t>gpt-4.1-nano</ns0:t>
        </ns0:is>
      </ns0:c>
      <ns0:c r="F648" t="inlineStr">
        <ns0:is>
          <ns0:t>E0063,E0308</ns0:t>
        </ns0:is>
      </ns0:c>
      <ns0:c r="G648" t="n">
        <ns0:v>1</ns0:v>
      </ns0:c>
      <ns0:c r="H648" t="n">
        <ns0:v>1836</ns0:v>
      </ns0:c>
      <ns0:c r="I648" t="n">
        <ns0:v>112</ns0:v>
      </ns0:c>
      <ns0:c r="J648" t="n">
        <ns0:v>1948</ns0:v>
      </ns0:c>
      <ns0:c r="K648" t="n">
        <ns0:v>1</ns0:v>
      </ns0:c>
      <ns0:c r="L648" t="n">
        <ns0:v>1</ns0:v>
      </ns0:c>
      <ns0:c r="M648" t="n">
        <ns0:v>142735</ns0:v>
      </ns0:c>
      <ns0:c r="N648" t="n">
        <ns0:v>2277</ns0:v>
      </ns0:c>
      <ns0:c r="O648" t="n">
        <ns0:v>145012</ns0:v>
      </ns0:c>
      <ns0:c r="P648" t="n">
        <ns0:v>8</ns0:v>
      </ns0:c>
      <ns0:c r="Q648">
        <ns0:f>IF(AND(L648=1,O648*Calculations!$B$2&lt;=Calculations!$B$10*Calculations!$B$4),1,0)</ns0:f>
        <ns0:v>0</ns0:v>
      </ns0:c>
      <ns0:c r="R648">
        <ns0:f>IF(AND(L648=1,O648*Calculations!$B$2&lt;=Calculations!$B$11*Calculations!$B$4),1,0)</ns0:f>
        <ns0:v>0</ns0:v>
      </ns0:c>
    </ns0:row>
    <ns0:row r="649">
      <ns0:c r="A649" t="inlineStr">
        <ns0:is>
          <ns0:t>case_0648</ns0:t>
        </ns0:is>
      </ns0:c>
      <ns0:c r="B649" t="inlineStr">
        <ns0:is>
          <ns0:t>function_0116</ns0:t>
        </ns0:is>
      </ns0:c>
      <ns0:c r="C649" t="inlineStr">
        <ns0:is>
          <ns0:t>run_007</ns0:t>
        </ns0:is>
      </ns0:c>
      <ns0:c r="D649" t="inlineStr">
        <ns0:is>
          <ns0:t>humantime</ns0:t>
        </ns0:is>
      </ns0:c>
      <ns0:c r="E649" t="inlineStr">
        <ns0:is>
          <ns0:t>gpt-4.1-nano</ns0:t>
        </ns0:is>
      </ns0:c>
      <ns0:c r="F649" t="inlineStr">
        <ns0:is>
          <ns0:t>E0063,E0308,E0432</ns0:t>
        </ns0:is>
      </ns0:c>
      <ns0:c r="G649" t="n">
        <ns0:v>0</ns0:v>
      </ns0:c>
      <ns0:c r="H649" t="n">
        <ns0:v>6900</ns0:v>
      </ns0:c>
      <ns0:c r="I649" t="n">
        <ns0:v>1025</ns0:v>
      </ns0:c>
      <ns0:c r="J649" t="n">
        <ns0:v>7925</ns0:v>
      </ns0:c>
      <ns0:c r="K649" t="n">
        <ns0:v>3</ns0:v>
      </ns0:c>
      <ns0:c r="L649" t="n">
        <ns0:v>1</ns0:v>
      </ns0:c>
      <ns0:c r="M649" t="n">
        <ns0:v>83862</ns0:v>
      </ns0:c>
      <ns0:c r="N649" t="n">
        <ns0:v>2281</ns0:v>
      </ns0:c>
      <ns0:c r="O649" t="n">
        <ns0:v>86143</ns0:v>
      </ns0:c>
      <ns0:c r="P649" t="n">
        <ns0:v>8</ns0:v>
      </ns0:c>
      <ns0:c r="Q649">
        <ns0:f>IF(AND(L649=1,O649*Calculations!$B$2&lt;=Calculations!$B$10*Calculations!$B$4),1,0)</ns0:f>
        <ns0:v>0</ns0:v>
      </ns0:c>
      <ns0:c r="R649">
        <ns0:f>IF(AND(L649=1,O649*Calculations!$B$2&lt;=Calculations!$B$11*Calculations!$B$4),1,0)</ns0:f>
        <ns0:v>0</ns0:v>
      </ns0:c>
    </ns0:row>
    <ns0:row r="650">
      <ns0:c r="A650" t="inlineStr">
        <ns0:is>
          <ns0:t>case_0649</ns0:t>
        </ns0:is>
      </ns0:c>
      <ns0:c r="B650" t="inlineStr">
        <ns0:is>
          <ns0:t>function_0116</ns0:t>
        </ns0:is>
      </ns0:c>
      <ns0:c r="C650" t="inlineStr">
        <ns0:is>
          <ns0:t>run_007</ns0:t>
        </ns0:is>
      </ns0:c>
      <ns0:c r="D650" t="inlineStr">
        <ns0:is>
          <ns0:t>humantime</ns0:t>
        </ns0:is>
      </ns0:c>
      <ns0:c r="E650" t="inlineStr">
        <ns0:is>
          <ns0:t>gpt-4.1-nano</ns0:t>
        </ns0:is>
      </ns0:c>
      <ns0:c r="F650" t="inlineStr">
        <ns0:is>
          <ns0:t>E0063,E0308</ns0:t>
        </ns0:is>
      </ns0:c>
      <ns0:c r="G650" t="n">
        <ns0:v>1</ns0:v>
      </ns0:c>
      <ns0:c r="H650" t="n">
        <ns0:v>1746</ns0:v>
      </ns0:c>
      <ns0:c r="I650" t="n">
        <ns0:v>122</ns0:v>
      </ns0:c>
      <ns0:c r="J650" t="n">
        <ns0:v>1868</ns0:v>
      </ns0:c>
      <ns0:c r="K650" t="n">
        <ns0:v>1</ns0:v>
      </ns0:c>
      <ns0:c r="L650" t="n">
        <ns0:v>1</ns0:v>
      </ns0:c>
      <ns0:c r="M650" t="n">
        <ns0:v>49867</ns0:v>
      </ns0:c>
      <ns0:c r="N650" t="n">
        <ns0:v>483</ns0:v>
      </ns0:c>
      <ns0:c r="O650" t="n">
        <ns0:v>50350</ns0:v>
      </ns0:c>
      <ns0:c r="P650" t="n">
        <ns0:v>4</ns0:v>
      </ns0:c>
      <ns0:c r="Q650">
        <ns0:f>IF(AND(L650=1,O650*Calculations!$B$2&lt;=Calculations!$B$10*Calculations!$B$4),1,0)</ns0:f>
        <ns0:v>0</ns0:v>
      </ns0:c>
      <ns0:c r="R650">
        <ns0:f>IF(AND(L650=1,O650*Calculations!$B$2&lt;=Calculations!$B$11*Calculations!$B$4),1,0)</ns0:f>
        <ns0:v>0</ns0:v>
      </ns0:c>
    </ns0:row>
    <ns0:row r="651">
      <ns0:c r="A651" t="inlineStr">
        <ns0:is>
          <ns0:t>case_0650</ns0:t>
        </ns0:is>
      </ns0:c>
      <ns0:c r="B651" t="inlineStr">
        <ns0:is>
          <ns0:t>function_0116</ns0:t>
        </ns0:is>
      </ns0:c>
      <ns0:c r="C651" t="inlineStr">
        <ns0:is>
          <ns0:t>run_007</ns0:t>
        </ns0:is>
      </ns0:c>
      <ns0:c r="D651" t="inlineStr">
        <ns0:is>
          <ns0:t>humantime</ns0:t>
        </ns0:is>
      </ns0:c>
      <ns0:c r="E651" t="inlineStr">
        <ns0:is>
          <ns0:t>gpt-4.1-nano</ns0:t>
        </ns0:is>
      </ns0:c>
      <ns0:c r="F651" t="inlineStr">
        <ns0:is>
          <ns0:t>E0063,E0308,E0425</ns0:t>
        </ns0:is>
      </ns0:c>
      <ns0:c r="G651" t="n">
        <ns0:v>1</ns0:v>
      </ns0:c>
      <ns0:c r="H651" t="n">
        <ns0:v>1854</ns0:v>
      </ns0:c>
      <ns0:c r="I651" t="n">
        <ns0:v>119</ns0:v>
      </ns0:c>
      <ns0:c r="J651" t="n">
        <ns0:v>1973</ns0:v>
      </ns0:c>
      <ns0:c r="K651" t="n">
        <ns0:v>1</ns0:v>
      </ns0:c>
      <ns0:c r="L651" t="n">
        <ns0:v>0</ns0:v>
      </ns0:c>
      <ns0:c r="M651" t="n">
        <ns0:v>14025</ns0:v>
      </ns0:c>
      <ns0:c r="N651" t="n">
        <ns0:v>231</ns0:v>
      </ns0:c>
      <ns0:c r="O651" t="n">
        <ns0:v>14256</ns0:v>
      </ns0:c>
      <ns0:c r="P651" t="n">
        <ns0:v>2</ns0:v>
      </ns0:c>
      <ns0:c r="Q651">
        <ns0:f>IF(AND(L651=1,O651*Calculations!$B$2&lt;=Calculations!$B$10*Calculations!$B$4),1,0)</ns0:f>
        <ns0:v>0</ns0:v>
      </ns0:c>
      <ns0:c r="R651">
        <ns0:f>IF(AND(L651=1,O651*Calculations!$B$2&lt;=Calculations!$B$11*Calculations!$B$4),1,0)</ns0:f>
        <ns0:v>0</ns0:v>
      </ns0:c>
    </ns0:row>
    <ns0:row r="652">
      <ns0:c r="A652" t="inlineStr">
        <ns0:is>
          <ns0:t>case_0651</ns0:t>
        </ns0:is>
      </ns0:c>
      <ns0:c r="B652" t="inlineStr">
        <ns0:is>
          <ns0:t>function_0116</ns0:t>
        </ns0:is>
      </ns0:c>
      <ns0:c r="C652" t="inlineStr">
        <ns0:is>
          <ns0:t>run_007</ns0:t>
        </ns0:is>
      </ns0:c>
      <ns0:c r="D652" t="inlineStr">
        <ns0:is>
          <ns0:t>humantime</ns0:t>
        </ns0:is>
      </ns0:c>
      <ns0:c r="E652" t="inlineStr">
        <ns0:is>
          <ns0:t>gpt-4.1-nano</ns0:t>
        </ns0:is>
      </ns0:c>
      <ns0:c r="F652" t="inlineStr">
        <ns0:is>
          <ns0:t>E0412,E0432</ns0:t>
        </ns0:is>
      </ns0:c>
      <ns0:c r="G652" t="n">
        <ns0:v>0</ns0:v>
      </ns0:c>
      <ns0:c r="H652" t="n">
        <ns0:v>0</ns0:v>
      </ns0:c>
      <ns0:c r="I652" t="n">
        <ns0:v>0</ns0:v>
      </ns0:c>
      <ns0:c r="J652" t="n">
        <ns0:v>0</ns0:v>
      </ns0:c>
      <ns0:c r="K652" t="n">
        <ns0:v>0</ns0:v>
      </ns0:c>
      <ns0:c r="L652" t="n">
        <ns0:v>1</ns0:v>
      </ns0:c>
      <ns0:c r="M652" t="n">
        <ns0:v>77742</ns0:v>
      </ns0:c>
      <ns0:c r="N652" t="n">
        <ns0:v>2198</ns0:v>
      </ns0:c>
      <ns0:c r="O652" t="n">
        <ns0:v>79940</ns0:v>
      </ns0:c>
      <ns0:c r="P652" t="n">
        <ns0:v>10</ns0:v>
      </ns0:c>
      <ns0:c r="Q652">
        <ns0:f>IF(AND(L652=1,O652*Calculations!$B$2&lt;=Calculations!$B$10*Calculations!$B$4),1,0)</ns0:f>
        <ns0:v>0</ns0:v>
      </ns0:c>
      <ns0:c r="R652">
        <ns0:f>IF(AND(L652=1,O652*Calculations!$B$2&lt;=Calculations!$B$11*Calculations!$B$4),1,0)</ns0:f>
        <ns0:v>0</ns0:v>
      </ns0:c>
    </ns0:row>
    <ns0:row r="653">
      <ns0:c r="A653" t="inlineStr">
        <ns0:is>
          <ns0:t>case_0652</ns0:t>
        </ns0:is>
      </ns0:c>
      <ns0:c r="B653" t="inlineStr">
        <ns0:is>
          <ns0:t>function_0116</ns0:t>
        </ns0:is>
      </ns0:c>
      <ns0:c r="C653" t="inlineStr">
        <ns0:is>
          <ns0:t>run_007</ns0:t>
        </ns0:is>
      </ns0:c>
      <ns0:c r="D653" t="inlineStr">
        <ns0:is>
          <ns0:t>humantime</ns0:t>
        </ns0:is>
      </ns0:c>
      <ns0:c r="E653" t="inlineStr">
        <ns0:is>
          <ns0:t>gpt-4.1-nano</ns0:t>
        </ns0:is>
      </ns0:c>
      <ns0:c r="F653" t="inlineStr">
        <ns0:is>
          <ns0:t>E0433</ns0:t>
        </ns0:is>
      </ns0:c>
      <ns0:c r="G653" t="n">
        <ns0:v>1</ns0:v>
      </ns0:c>
      <ns0:c r="H653" t="n">
        <ns0:v>2330</ns0:v>
      </ns0:c>
      <ns0:c r="I653" t="n">
        <ns0:v>117</ns0:v>
      </ns0:c>
      <ns0:c r="J653" t="n">
        <ns0:v>2447</ns0:v>
      </ns0:c>
      <ns0:c r="K653" t="n">
        <ns0:v>1</ns0:v>
      </ns0:c>
      <ns0:c r="L653" t="n">
        <ns0:v>1</ns0:v>
      </ns0:c>
      <ns0:c r="M653" t="n">
        <ns0:v>80397</ns0:v>
      </ns0:c>
      <ns0:c r="N653" t="n">
        <ns0:v>816</ns0:v>
      </ns0:c>
      <ns0:c r="O653" t="n">
        <ns0:v>81213</ns0:v>
      </ns0:c>
      <ns0:c r="P653" t="n">
        <ns0:v>6</ns0:v>
      </ns0:c>
      <ns0:c r="Q653">
        <ns0:f>IF(AND(L653=1,O653*Calculations!$B$2&lt;=Calculations!$B$10*Calculations!$B$4),1,0)</ns0:f>
        <ns0:v>0</ns0:v>
      </ns0:c>
      <ns0:c r="R653">
        <ns0:f>IF(AND(L653=1,O653*Calculations!$B$2&lt;=Calculations!$B$11*Calculations!$B$4),1,0)</ns0:f>
        <ns0:v>0</ns0:v>
      </ns0:c>
    </ns0:row>
    <ns0:row r="654">
      <ns0:c r="A654" t="inlineStr">
        <ns0:is>
          <ns0:t>case_0653</ns0:t>
        </ns0:is>
      </ns0:c>
      <ns0:c r="B654" t="inlineStr">
        <ns0:is>
          <ns0:t>function_0116</ns0:t>
        </ns0:is>
      </ns0:c>
      <ns0:c r="C654" t="inlineStr">
        <ns0:is>
          <ns0:t>run_007</ns0:t>
        </ns0:is>
      </ns0:c>
      <ns0:c r="D654" t="inlineStr">
        <ns0:is>
          <ns0:t>humantime</ns0:t>
        </ns0:is>
      </ns0:c>
      <ns0:c r="E654" t="inlineStr">
        <ns0:is>
          <ns0:t>gpt-4.1-nano</ns0:t>
        </ns0:is>
      </ns0:c>
      <ns0:c r="F654" t="inlineStr">
        <ns0:is>
          <ns0:t>E0063,E0308</ns0:t>
        </ns0:is>
      </ns0:c>
      <ns0:c r="G654" t="n">
        <ns0:v>1</ns0:v>
      </ns0:c>
      <ns0:c r="H654" t="n">
        <ns0:v>1907</ns0:v>
      </ns0:c>
      <ns0:c r="I654" t="n">
        <ns0:v>165</ns0:v>
      </ns0:c>
      <ns0:c r="J654" t="n">
        <ns0:v>2072</ns0:v>
      </ns0:c>
      <ns0:c r="K654" t="n">
        <ns0:v>1</ns0:v>
      </ns0:c>
      <ns0:c r="L654" t="n">
        <ns0:v>1</ns0:v>
      </ns0:c>
      <ns0:c r="M654" t="n">
        <ns0:v>82715</ns0:v>
      </ns0:c>
      <ns0:c r="N654" t="n">
        <ns0:v>1327</ns0:v>
      </ns0:c>
      <ns0:c r="O654" t="n">
        <ns0:v>84042</ns0:v>
      </ns0:c>
      <ns0:c r="P654" t="n">
        <ns0:v>9</ns0:v>
      </ns0:c>
      <ns0:c r="Q654">
        <ns0:f>IF(AND(L654=1,O654*Calculations!$B$2&lt;=Calculations!$B$10*Calculations!$B$4),1,0)</ns0:f>
        <ns0:v>0</ns0:v>
      </ns0:c>
      <ns0:c r="R654">
        <ns0:f>IF(AND(L654=1,O654*Calculations!$B$2&lt;=Calculations!$B$11*Calculations!$B$4),1,0)</ns0:f>
        <ns0:v>0</ns0:v>
      </ns0:c>
    </ns0:row>
    <ns0:row r="655">
      <ns0:c r="A655" t="inlineStr">
        <ns0:is>
          <ns0:t>case_0654</ns0:t>
        </ns0:is>
      </ns0:c>
      <ns0:c r="B655" t="inlineStr">
        <ns0:is>
          <ns0:t>function_0117</ns0:t>
        </ns0:is>
      </ns0:c>
      <ns0:c r="C655" t="inlineStr">
        <ns0:is>
          <ns0:t>run_007</ns0:t>
        </ns0:is>
      </ns0:c>
      <ns0:c r="D655" t="inlineStr">
        <ns0:is>
          <ns0:t>humantime</ns0:t>
        </ns0:is>
      </ns0:c>
      <ns0:c r="E655" t="inlineStr">
        <ns0:is>
          <ns0:t>gpt-4.1-nano</ns0:t>
        </ns0:is>
      </ns0:c>
      <ns0:c r="F655" t="inlineStr">
        <ns0:is>
          <ns0:t>E0063</ns0:t>
        </ns0:is>
      </ns0:c>
      <ns0:c r="G655" t="n">
        <ns0:v>1</ns0:v>
      </ns0:c>
      <ns0:c r="H655" t="n">
        <ns0:v>2884</ns0:v>
      </ns0:c>
      <ns0:c r="I655" t="n">
        <ns0:v>434</ns0:v>
      </ns0:c>
      <ns0:c r="J655" t="n">
        <ns0:v>3318</ns0:v>
      </ns0:c>
      <ns0:c r="K655" t="n">
        <ns0:v>1</ns0:v>
      </ns0:c>
      <ns0:c r="L655" t="n">
        <ns0:v>1</ns0:v>
      </ns0:c>
      <ns0:c r="M655" t="n">
        <ns0:v>36461</ns0:v>
      </ns0:c>
      <ns0:c r="N655" t="n">
        <ns0:v>323</ns0:v>
      </ns0:c>
      <ns0:c r="O655" t="n">
        <ns0:v>36784</ns0:v>
      </ns0:c>
      <ns0:c r="P655" t="n">
        <ns0:v>4</ns0:v>
      </ns0:c>
      <ns0:c r="Q655">
        <ns0:f>IF(AND(L655=1,O655*Calculations!$B$2&lt;=Calculations!$B$10*Calculations!$B$4),1,0)</ns0:f>
        <ns0:v>0</ns0:v>
      </ns0:c>
      <ns0:c r="R655">
        <ns0:f>IF(AND(L655=1,O655*Calculations!$B$2&lt;=Calculations!$B$11*Calculations!$B$4),1,0)</ns0:f>
        <ns0:v>1</ns0:v>
      </ns0:c>
    </ns0:row>
    <ns0:row r="656">
      <ns0:c r="A656" t="inlineStr">
        <ns0:is>
          <ns0:t>case_0655</ns0:t>
        </ns0:is>
      </ns0:c>
      <ns0:c r="B656" t="inlineStr">
        <ns0:is>
          <ns0:t>function_0117</ns0:t>
        </ns0:is>
      </ns0:c>
      <ns0:c r="C656" t="inlineStr">
        <ns0:is>
          <ns0:t>run_007</ns0:t>
        </ns0:is>
      </ns0:c>
      <ns0:c r="D656" t="inlineStr">
        <ns0:is>
          <ns0:t>humantime</ns0:t>
        </ns0:is>
      </ns0:c>
      <ns0:c r="E656" t="inlineStr">
        <ns0:is>
          <ns0:t>gpt-4.1-nano</ns0:t>
        </ns0:is>
      </ns0:c>
      <ns0:c r="F656" t="inlineStr">
        <ns0:is>
          <ns0:t>E0308,E0433,E0560</ns0:t>
        </ns0:is>
      </ns0:c>
      <ns0:c r="G656" t="n">
        <ns0:v>1</ns0:v>
      </ns0:c>
      <ns0:c r="H656" t="n">
        <ns0:v>1974</ns0:v>
      </ns0:c>
      <ns0:c r="I656" t="n">
        <ns0:v>147</ns0:v>
      </ns0:c>
      <ns0:c r="J656" t="n">
        <ns0:v>2121</ns0:v>
      </ns0:c>
      <ns0:c r="K656" t="n">
        <ns0:v>1</ns0:v>
      </ns0:c>
      <ns0:c r="L656" t="n">
        <ns0:v>1</ns0:v>
      </ns0:c>
      <ns0:c r="M656" t="n">
        <ns0:v>44892</ns0:v>
      </ns0:c>
      <ns0:c r="N656" t="n">
        <ns0:v>1350</ns0:v>
      </ns0:c>
      <ns0:c r="O656" t="n">
        <ns0:v>46242</ns0:v>
      </ns0:c>
      <ns0:c r="P656" t="n">
        <ns0:v>6</ns0:v>
      </ns0:c>
      <ns0:c r="Q656">
        <ns0:f>IF(AND(L656=1,O656*Calculations!$B$2&lt;=Calculations!$B$10*Calculations!$B$4),1,0)</ns0:f>
        <ns0:v>0</ns0:v>
      </ns0:c>
      <ns0:c r="R656">
        <ns0:f>IF(AND(L656=1,O656*Calculations!$B$2&lt;=Calculations!$B$11*Calculations!$B$4),1,0)</ns0:f>
        <ns0:v>1</ns0:v>
      </ns0:c>
    </ns0:row>
    <ns0:row r="657">
      <ns0:c r="A657" t="inlineStr">
        <ns0:is>
          <ns0:t>case_0656</ns0:t>
        </ns0:is>
      </ns0:c>
      <ns0:c r="B657" t="inlineStr">
        <ns0:is>
          <ns0:t>function_0117</ns0:t>
        </ns0:is>
      </ns0:c>
      <ns0:c r="C657" t="inlineStr">
        <ns0:is>
          <ns0:t>run_007</ns0:t>
        </ns0:is>
      </ns0:c>
      <ns0:c r="D657" t="inlineStr">
        <ns0:is>
          <ns0:t>humantime</ns0:t>
        </ns0:is>
      </ns0:c>
      <ns0:c r="E657" t="inlineStr">
        <ns0:is>
          <ns0:t>gpt-4.1-nano</ns0:t>
        </ns0:is>
      </ns0:c>
      <ns0:c r="F657" t="inlineStr">
        <ns0:is>
          <ns0:t>E0063,E0433</ns0:t>
        </ns0:is>
      </ns0:c>
      <ns0:c r="G657" t="n">
        <ns0:v>1</ns0:v>
      </ns0:c>
      <ns0:c r="H657" t="n">
        <ns0:v>1708</ns0:v>
      </ns0:c>
      <ns0:c r="I657" t="n">
        <ns0:v>155</ns0:v>
      </ns0:c>
      <ns0:c r="J657" t="n">
        <ns0:v>1863</ns0:v>
      </ns0:c>
      <ns0:c r="K657" t="n">
        <ns0:v>1</ns0:v>
      </ns0:c>
      <ns0:c r="L657" t="n">
        <ns0:v>1</ns0:v>
      </ns0:c>
      <ns0:c r="M657" t="n">
        <ns0:v>30048</ns0:v>
      </ns0:c>
      <ns0:c r="N657" t="n">
        <ns0:v>753</ns0:v>
      </ns0:c>
      <ns0:c r="O657" t="n">
        <ns0:v>30801</ns0:v>
      </ns0:c>
      <ns0:c r="P657" t="n">
        <ns0:v>4</ns0:v>
      </ns0:c>
      <ns0:c r="Q657">
        <ns0:f>IF(AND(L657=1,O657*Calculations!$B$2&lt;=Calculations!$B$10*Calculations!$B$4),1,0)</ns0:f>
        <ns0:v>0</ns0:v>
      </ns0:c>
      <ns0:c r="R657">
        <ns0:f>IF(AND(L657=1,O657*Calculations!$B$2&lt;=Calculations!$B$11*Calculations!$B$4),1,0)</ns0:f>
        <ns0:v>1</ns0:v>
      </ns0:c>
    </ns0:row>
    <ns0:row r="658">
      <ns0:c r="A658" t="inlineStr">
        <ns0:is>
          <ns0:t>case_0657</ns0:t>
        </ns0:is>
      </ns0:c>
      <ns0:c r="B658" t="inlineStr">
        <ns0:is>
          <ns0:t>function_0117</ns0:t>
        </ns0:is>
      </ns0:c>
      <ns0:c r="C658" t="inlineStr">
        <ns0:is>
          <ns0:t>run_007</ns0:t>
        </ns0:is>
      </ns0:c>
      <ns0:c r="D658" t="inlineStr">
        <ns0:is>
          <ns0:t>humantime</ns0:t>
        </ns0:is>
      </ns0:c>
      <ns0:c r="E658" t="inlineStr">
        <ns0:is>
          <ns0:t>gpt-4.1-nano</ns0:t>
        </ns0:is>
      </ns0:c>
      <ns0:c r="F658" t="inlineStr">
        <ns0:is>
          <ns0:t>E0063</ns0:t>
        </ns0:is>
      </ns0:c>
      <ns0:c r="G658" t="n">
        <ns0:v>1</ns0:v>
      </ns0:c>
      <ns0:c r="H658" t="n">
        <ns0:v>1737</ns0:v>
      </ns0:c>
      <ns0:c r="I658" t="n">
        <ns0:v>187</ns0:v>
      </ns0:c>
      <ns0:c r="J658" t="n">
        <ns0:v>1924</ns0:v>
      </ns0:c>
      <ns0:c r="K658" t="n">
        <ns0:v>1</ns0:v>
      </ns0:c>
      <ns0:c r="L658" t="n">
        <ns0:v>1</ns0:v>
      </ns0:c>
      <ns0:c r="M658" t="n">
        <ns0:v>50299</ns0:v>
      </ns0:c>
      <ns0:c r="N658" t="n">
        <ns0:v>493</ns0:v>
      </ns0:c>
      <ns0:c r="O658" t="n">
        <ns0:v>50792</ns0:v>
      </ns0:c>
      <ns0:c r="P658" t="n">
        <ns0:v>4</ns0:v>
      </ns0:c>
      <ns0:c r="Q658">
        <ns0:f>IF(AND(L658=1,O658*Calculations!$B$2&lt;=Calculations!$B$10*Calculations!$B$4),1,0)</ns0:f>
        <ns0:v>0</ns0:v>
      </ns0:c>
      <ns0:c r="R658">
        <ns0:f>IF(AND(L658=1,O658*Calculations!$B$2&lt;=Calculations!$B$11*Calculations!$B$4),1,0)</ns0:f>
        <ns0:v>0</ns0:v>
      </ns0:c>
    </ns0:row>
    <ns0:row r="659">
      <ns0:c r="A659" t="inlineStr">
        <ns0:is>
          <ns0:t>case_0658</ns0:t>
        </ns0:is>
      </ns0:c>
      <ns0:c r="B659" t="inlineStr">
        <ns0:is>
          <ns0:t>function_0117</ns0:t>
        </ns0:is>
      </ns0:c>
      <ns0:c r="C659" t="inlineStr">
        <ns0:is>
          <ns0:t>run_007</ns0:t>
        </ns0:is>
      </ns0:c>
      <ns0:c r="D659" t="inlineStr">
        <ns0:is>
          <ns0:t>humantime</ns0:t>
        </ns0:is>
      </ns0:c>
      <ns0:c r="E659" t="inlineStr">
        <ns0:is>
          <ns0:t>gpt-4.1-nano</ns0:t>
        </ns0:is>
      </ns0:c>
      <ns0:c r="F659" t="inlineStr">
        <ns0:is>
          <ns0:t>E0308,E0560</ns0:t>
        </ns0:is>
      </ns0:c>
      <ns0:c r="G659" t="n">
        <ns0:v>1</ns0:v>
      </ns0:c>
      <ns0:c r="H659" t="n">
        <ns0:v>1956</ns0:v>
      </ns0:c>
      <ns0:c r="I659" t="n">
        <ns0:v>158</ns0:v>
      </ns0:c>
      <ns0:c r="J659" t="n">
        <ns0:v>2114</ns0:v>
      </ns0:c>
      <ns0:c r="K659" t="n">
        <ns0:v>1</ns0:v>
      </ns0:c>
      <ns0:c r="L659" t="n">
        <ns0:v>1</ns0:v>
      </ns0:c>
      <ns0:c r="M659" t="n">
        <ns0:v>35672</ns0:v>
      </ns0:c>
      <ns0:c r="N659" t="n">
        <ns0:v>614</ns0:v>
      </ns0:c>
      <ns0:c r="O659" t="n">
        <ns0:v>36286</ns0:v>
      </ns0:c>
      <ns0:c r="P659" t="n">
        <ns0:v>5</ns0:v>
      </ns0:c>
      <ns0:c r="Q659">
        <ns0:f>IF(AND(L659=1,O659*Calculations!$B$2&lt;=Calculations!$B$10*Calculations!$B$4),1,0)</ns0:f>
        <ns0:v>0</ns0:v>
      </ns0:c>
      <ns0:c r="R659">
        <ns0:f>IF(AND(L659=1,O659*Calculations!$B$2&lt;=Calculations!$B$11*Calculations!$B$4),1,0)</ns0:f>
        <ns0:v>1</ns0:v>
      </ns0:c>
    </ns0:row>
    <ns0:row r="660">
      <ns0:c r="A660" t="inlineStr">
        <ns0:is>
          <ns0:t>case_0659</ns0:t>
        </ns0:is>
      </ns0:c>
      <ns0:c r="B660" t="inlineStr">
        <ns0:is>
          <ns0:t>function_0117</ns0:t>
        </ns0:is>
      </ns0:c>
      <ns0:c r="C660" t="inlineStr">
        <ns0:is>
          <ns0:t>run_007</ns0:t>
        </ns0:is>
      </ns0:c>
      <ns0:c r="D660" t="inlineStr">
        <ns0:is>
          <ns0:t>humantime</ns0:t>
        </ns0:is>
      </ns0:c>
      <ns0:c r="E660" t="inlineStr">
        <ns0:is>
          <ns0:t>gpt-4.1-nano</ns0:t>
        </ns0:is>
      </ns0:c>
      <ns0:c r="F660" t="inlineStr">
        <ns0:is>
          <ns0:t>E0107,E0560</ns0:t>
        </ns0:is>
      </ns0:c>
      <ns0:c r="G660" t="n">
        <ns0:v>1</ns0:v>
      </ns0:c>
      <ns0:c r="H660" t="n">
        <ns0:v>1779</ns0:v>
      </ns0:c>
      <ns0:c r="I660" t="n">
        <ns0:v>86</ns0:v>
      </ns0:c>
      <ns0:c r="J660" t="n">
        <ns0:v>1865</ns0:v>
      </ns0:c>
      <ns0:c r="K660" t="n">
        <ns0:v>1</ns0:v>
      </ns0:c>
      <ns0:c r="L660" t="n">
        <ns0:v>1</ns0:v>
      </ns0:c>
      <ns0:c r="M660" t="n">
        <ns0:v>50664</ns0:v>
      </ns0:c>
      <ns0:c r="N660" t="n">
        <ns0:v>1015</ns0:v>
      </ns0:c>
      <ns0:c r="O660" t="n">
        <ns0:v>51679</ns0:v>
      </ns0:c>
      <ns0:c r="P660" t="n">
        <ns0:v>7</ns0:v>
      </ns0:c>
      <ns0:c r="Q660">
        <ns0:f>IF(AND(L660=1,O660*Calculations!$B$2&lt;=Calculations!$B$10*Calculations!$B$4),1,0)</ns0:f>
        <ns0:v>0</ns0:v>
      </ns0:c>
      <ns0:c r="R660">
        <ns0:f>IF(AND(L660=1,O660*Calculations!$B$2&lt;=Calculations!$B$11*Calculations!$B$4),1,0)</ns0:f>
        <ns0:v>0</ns0:v>
      </ns0:c>
    </ns0:row>
    <ns0:row r="661">
      <ns0:c r="A661" t="inlineStr">
        <ns0:is>
          <ns0:t>case_0660</ns0:t>
        </ns0:is>
      </ns0:c>
      <ns0:c r="B661" t="inlineStr">
        <ns0:is>
          <ns0:t>function_0117</ns0:t>
        </ns0:is>
      </ns0:c>
      <ns0:c r="C661" t="inlineStr">
        <ns0:is>
          <ns0:t>run_007</ns0:t>
        </ns0:is>
      </ns0:c>
      <ns0:c r="D661" t="inlineStr">
        <ns0:is>
          <ns0:t>humantime</ns0:t>
        </ns0:is>
      </ns0:c>
      <ns0:c r="E661" t="inlineStr">
        <ns0:is>
          <ns0:t>gpt-4.1-nano</ns0:t>
        </ns0:is>
      </ns0:c>
      <ns0:c r="F661" t="inlineStr">
        <ns0:is>
          <ns0:t>E0308,E0433,E0560</ns0:t>
        </ns0:is>
      </ns0:c>
      <ns0:c r="G661" t="n">
        <ns0:v>1</ns0:v>
      </ns0:c>
      <ns0:c r="H661" t="n">
        <ns0:v>2090</ns0:v>
      </ns0:c>
      <ns0:c r="I661" t="n">
        <ns0:v>184</ns0:v>
      </ns0:c>
      <ns0:c r="J661" t="n">
        <ns0:v>2274</ns0:v>
      </ns0:c>
      <ns0:c r="K661" t="n">
        <ns0:v>1</ns0:v>
      </ns0:c>
      <ns0:c r="L661" t="n">
        <ns0:v>0</ns0:v>
      </ns0:c>
      <ns0:c r="M661" t="n">
        <ns0:v>186148</ns0:v>
      </ns0:c>
      <ns0:c r="N661" t="n">
        <ns0:v>1910</ns0:v>
      </ns0:c>
      <ns0:c r="O661" t="n">
        <ns0:v>188058</ns0:v>
      </ns0:c>
      <ns0:c r="P661" t="n">
        <ns0:v>22</ns0:v>
      </ns0:c>
      <ns0:c r="Q661">
        <ns0:f>IF(AND(L661=1,O661*Calculations!$B$2&lt;=Calculations!$B$10*Calculations!$B$4),1,0)</ns0:f>
        <ns0:v>0</ns0:v>
      </ns0:c>
      <ns0:c r="R661">
        <ns0:f>IF(AND(L661=1,O661*Calculations!$B$2&lt;=Calculations!$B$11*Calculations!$B$4),1,0)</ns0:f>
        <ns0:v>0</ns0:v>
      </ns0:c>
    </ns0:row>
    <ns0:row r="662">
      <ns0:c r="A662" t="inlineStr">
        <ns0:is>
          <ns0:t>case_0661</ns0:t>
        </ns0:is>
      </ns0:c>
      <ns0:c r="B662" t="inlineStr">
        <ns0:is>
          <ns0:t>function_0117</ns0:t>
        </ns0:is>
      </ns0:c>
      <ns0:c r="C662" t="inlineStr">
        <ns0:is>
          <ns0:t>run_007</ns0:t>
        </ns0:is>
      </ns0:c>
      <ns0:c r="D662" t="inlineStr">
        <ns0:is>
          <ns0:t>humantime</ns0:t>
        </ns0:is>
      </ns0:c>
      <ns0:c r="E662" t="inlineStr">
        <ns0:is>
          <ns0:t>gpt-4.1-nano</ns0:t>
        </ns0:is>
      </ns0:c>
      <ns0:c r="F662" t="inlineStr">
        <ns0:is>
          <ns0:t>E0433,E0599</ns0:t>
        </ns0:is>
      </ns0:c>
      <ns0:c r="G662" t="n">
        <ns0:v>0</ns0:v>
      </ns0:c>
      <ns0:c r="H662" t="n">
        <ns0:v>12176</ns0:v>
      </ns0:c>
      <ns0:c r="I662" t="n">
        <ns0:v>1587</ns0:v>
      </ns0:c>
      <ns0:c r="J662" t="n">
        <ns0:v>13763</ns0:v>
      </ns0:c>
      <ns0:c r="K662" t="n">
        <ns0:v>3</ns0:v>
      </ns0:c>
      <ns0:c r="L662" t="n">
        <ns0:v>1</ns0:v>
      </ns0:c>
      <ns0:c r="M662" t="n">
        <ns0:v>195148</ns0:v>
      </ns0:c>
      <ns0:c r="N662" t="n">
        <ns0:v>2963</ns0:v>
      </ns0:c>
      <ns0:c r="O662" t="n">
        <ns0:v>198111</ns0:v>
      </ns0:c>
      <ns0:c r="P662" t="n">
        <ns0:v>18</ns0:v>
      </ns0:c>
      <ns0:c r="Q662">
        <ns0:f>IF(AND(L662=1,O662*Calculations!$B$2&lt;=Calculations!$B$10*Calculations!$B$4),1,0)</ns0:f>
        <ns0:v>0</ns0:v>
      </ns0:c>
      <ns0:c r="R662">
        <ns0:f>IF(AND(L662=1,O662*Calculations!$B$2&lt;=Calculations!$B$11*Calculations!$B$4),1,0)</ns0:f>
        <ns0:v>0</ns0:v>
      </ns0:c>
    </ns0:row>
    <ns0:row r="663">
      <ns0:c r="A663" t="inlineStr">
        <ns0:is>
          <ns0:t>case_0662</ns0:t>
        </ns0:is>
      </ns0:c>
      <ns0:c r="B663" t="inlineStr">
        <ns0:is>
          <ns0:t>function_0117</ns0:t>
        </ns0:is>
      </ns0:c>
      <ns0:c r="C663" t="inlineStr">
        <ns0:is>
          <ns0:t>run_007</ns0:t>
        </ns0:is>
      </ns0:c>
      <ns0:c r="D663" t="inlineStr">
        <ns0:is>
          <ns0:t>humantime</ns0:t>
        </ns0:is>
      </ns0:c>
      <ns0:c r="E663" t="inlineStr">
        <ns0:is>
          <ns0:t>gpt-4.1-nano</ns0:t>
        </ns0:is>
      </ns0:c>
      <ns0:c r="F663" t="inlineStr">
        <ns0:is>
          <ns0:t>E0063,E0308</ns0:t>
        </ns0:is>
      </ns0:c>
      <ns0:c r="G663" t="n">
        <ns0:v>1</ns0:v>
      </ns0:c>
      <ns0:c r="H663" t="n">
        <ns0:v>2071</ns0:v>
      </ns0:c>
      <ns0:c r="I663" t="n">
        <ns0:v>174</ns0:v>
      </ns0:c>
      <ns0:c r="J663" t="n">
        <ns0:v>2245</ns0:v>
      </ns0:c>
      <ns0:c r="K663" t="n">
        <ns0:v>1</ns0:v>
      </ns0:c>
      <ns0:c r="L663" t="n">
        <ns0:v>1</ns0:v>
      </ns0:c>
      <ns0:c r="M663" t="n">
        <ns0:v>66764</ns0:v>
      </ns0:c>
      <ns0:c r="N663" t="n">
        <ns0:v>1066</ns0:v>
      </ns0:c>
      <ns0:c r="O663" t="n">
        <ns0:v>67830</ns0:v>
      </ns0:c>
      <ns0:c r="P663" t="n">
        <ns0:v>5</ns0:v>
      </ns0:c>
      <ns0:c r="Q663">
        <ns0:f>IF(AND(L663=1,O663*Calculations!$B$2&lt;=Calculations!$B$10*Calculations!$B$4),1,0)</ns0:f>
        <ns0:v>0</ns0:v>
      </ns0:c>
      <ns0:c r="R663">
        <ns0:f>IF(AND(L663=1,O663*Calculations!$B$2&lt;=Calculations!$B$11*Calculations!$B$4),1,0)</ns0:f>
        <ns0:v>0</ns0:v>
      </ns0:c>
    </ns0:row>
    <ns0:row r="664">
      <ns0:c r="A664" t="inlineStr">
        <ns0:is>
          <ns0:t>case_0663</ns0:t>
        </ns0:is>
      </ns0:c>
      <ns0:c r="B664" t="inlineStr">
        <ns0:is>
          <ns0:t>function_0117</ns0:t>
        </ns0:is>
      </ns0:c>
      <ns0:c r="C664" t="inlineStr">
        <ns0:is>
          <ns0:t>run_007</ns0:t>
        </ns0:is>
      </ns0:c>
      <ns0:c r="D664" t="inlineStr">
        <ns0:is>
          <ns0:t>humantime</ns0:t>
        </ns0:is>
      </ns0:c>
      <ns0:c r="E664" t="inlineStr">
        <ns0:is>
          <ns0:t>gpt-4.1-nano</ns0:t>
        </ns0:is>
      </ns0:c>
      <ns0:c r="F664" t="inlineStr">
        <ns0:is>
          <ns0:t>E0063,E0308,E0432</ns0:t>
        </ns0:is>
      </ns0:c>
      <ns0:c r="G664" t="n">
        <ns0:v>0</ns0:v>
      </ns0:c>
      <ns0:c r="H664" t="n">
        <ns0:v>6015</ns0:v>
      </ns0:c>
      <ns0:c r="I664" t="n">
        <ns0:v>352</ns0:v>
      </ns0:c>
      <ns0:c r="J664" t="n">
        <ns0:v>6367</ns0:v>
      </ns0:c>
      <ns0:c r="K664" t="n">
        <ns0:v>3</ns0:v>
      </ns0:c>
      <ns0:c r="L664" t="n">
        <ns0:v>1</ns0:v>
      </ns0:c>
      <ns0:c r="M664" t="n">
        <ns0:v>57648</ns0:v>
      </ns0:c>
      <ns0:c r="N664" t="n">
        <ns0:v>526</ns0:v>
      </ns0:c>
      <ns0:c r="O664" t="n">
        <ns0:v>58174</ns0:v>
      </ns0:c>
      <ns0:c r="P664" t="n">
        <ns0:v>5</ns0:v>
      </ns0:c>
      <ns0:c r="Q664">
        <ns0:f>IF(AND(L664=1,O664*Calculations!$B$2&lt;=Calculations!$B$10*Calculations!$B$4),1,0)</ns0:f>
        <ns0:v>0</ns0:v>
      </ns0:c>
      <ns0:c r="R664">
        <ns0:f>IF(AND(L664=1,O664*Calculations!$B$2&lt;=Calculations!$B$11*Calculations!$B$4),1,0)</ns0:f>
        <ns0:v>0</ns0:v>
      </ns0:c>
    </ns0:row>
    <ns0:row r="665">
      <ns0:c r="A665" t="inlineStr">
        <ns0:is>
          <ns0:t>case_0664</ns0:t>
        </ns0:is>
      </ns0:c>
      <ns0:c r="B665" t="inlineStr">
        <ns0:is>
          <ns0:t>function_0117</ns0:t>
        </ns0:is>
      </ns0:c>
      <ns0:c r="C665" t="inlineStr">
        <ns0:is>
          <ns0:t>run_007</ns0:t>
        </ns0:is>
      </ns0:c>
      <ns0:c r="D665" t="inlineStr">
        <ns0:is>
          <ns0:t>humantime</ns0:t>
        </ns0:is>
      </ns0:c>
      <ns0:c r="E665" t="inlineStr">
        <ns0:is>
          <ns0:t>gpt-4.1-nano</ns0:t>
        </ns0:is>
      </ns0:c>
      <ns0:c r="F665" t="inlineStr">
        <ns0:is>
          <ns0:t>E0432,E0433</ns0:t>
        </ns0:is>
      </ns0:c>
      <ns0:c r="G665" t="n">
        <ns0:v>0</ns0:v>
      </ns0:c>
      <ns0:c r="H665" t="n">
        <ns0:v>5479</ns0:v>
      </ns0:c>
      <ns0:c r="I665" t="n">
        <ns0:v>345</ns0:v>
      </ns0:c>
      <ns0:c r="J665" t="n">
        <ns0:v>5824</ns0:v>
      </ns0:c>
      <ns0:c r="K665" t="n">
        <ns0:v>3</ns0:v>
      </ns0:c>
      <ns0:c r="L665" t="n">
        <ns0:v>1</ns0:v>
      </ns0:c>
      <ns0:c r="M665" t="n">
        <ns0:v>296422</ns0:v>
      </ns0:c>
      <ns0:c r="N665" t="n">
        <ns0:v>4018</ns0:v>
      </ns0:c>
      <ns0:c r="O665" t="n">
        <ns0:v>300440</ns0:v>
      </ns0:c>
      <ns0:c r="P665" t="n">
        <ns0:v>20</ns0:v>
      </ns0:c>
      <ns0:c r="Q665">
        <ns0:f>IF(AND(L665=1,O665*Calculations!$B$2&lt;=Calculations!$B$10*Calculations!$B$4),1,0)</ns0:f>
        <ns0:v>0</ns0:v>
      </ns0:c>
      <ns0:c r="R665">
        <ns0:f>IF(AND(L665=1,O665*Calculations!$B$2&lt;=Calculations!$B$11*Calculations!$B$4),1,0)</ns0:f>
        <ns0:v>0</ns0:v>
      </ns0:c>
    </ns0:row>
    <ns0:row r="666">
      <ns0:c r="A666" t="inlineStr">
        <ns0:is>
          <ns0:t>case_0665</ns0:t>
        </ns0:is>
      </ns0:c>
      <ns0:c r="B666" t="inlineStr">
        <ns0:is>
          <ns0:t>function_0117</ns0:t>
        </ns0:is>
      </ns0:c>
      <ns0:c r="C666" t="inlineStr">
        <ns0:is>
          <ns0:t>run_007</ns0:t>
        </ns0:is>
      </ns0:c>
      <ns0:c r="D666" t="inlineStr">
        <ns0:is>
          <ns0:t>humantime</ns0:t>
        </ns0:is>
      </ns0:c>
      <ns0:c r="E666" t="inlineStr">
        <ns0:is>
          <ns0:t>gpt-4.1-nano</ns0:t>
        </ns0:is>
      </ns0:c>
      <ns0:c r="F666" t="inlineStr">
        <ns0:is>
          <ns0:t>E0063,E0308</ns0:t>
        </ns0:is>
      </ns0:c>
      <ns0:c r="G666" t="n">
        <ns0:v>1</ns0:v>
      </ns0:c>
      <ns0:c r="H666" t="n">
        <ns0:v>1827</ns0:v>
      </ns0:c>
      <ns0:c r="I666" t="n">
        <ns0:v>129</ns0:v>
      </ns0:c>
      <ns0:c r="J666" t="n">
        <ns0:v>1956</ns0:v>
      </ns0:c>
      <ns0:c r="K666" t="n">
        <ns0:v>1</ns0:v>
      </ns0:c>
      <ns0:c r="L666" t="n">
        <ns0:v>1</ns0:v>
      </ns0:c>
      <ns0:c r="M666" t="n">
        <ns0:v>43330</ns0:v>
      </ns0:c>
      <ns0:c r="N666" t="n">
        <ns0:v>635</ns0:v>
      </ns0:c>
      <ns0:c r="O666" t="n">
        <ns0:v>43965</ns0:v>
      </ns0:c>
      <ns0:c r="P666" t="n">
        <ns0:v>6</ns0:v>
      </ns0:c>
      <ns0:c r="Q666">
        <ns0:f>IF(AND(L666=1,O666*Calculations!$B$2&lt;=Calculations!$B$10*Calculations!$B$4),1,0)</ns0:f>
        <ns0:v>0</ns0:v>
      </ns0:c>
      <ns0:c r="R666">
        <ns0:f>IF(AND(L666=1,O666*Calculations!$B$2&lt;=Calculations!$B$11*Calculations!$B$4),1,0)</ns0:f>
        <ns0:v>1</ns0:v>
      </ns0:c>
    </ns0:row>
    <ns0:row r="667">
      <ns0:c r="A667" t="inlineStr">
        <ns0:is>
          <ns0:t>case_0666</ns0:t>
        </ns0:is>
      </ns0:c>
      <ns0:c r="B667" t="inlineStr">
        <ns0:is>
          <ns0:t>function_0118</ns0:t>
        </ns0:is>
      </ns0:c>
      <ns0:c r="C667" t="inlineStr">
        <ns0:is>
          <ns0:t>run_007</ns0:t>
        </ns0:is>
      </ns0:c>
      <ns0:c r="D667" t="inlineStr">
        <ns0:is>
          <ns0:t>humantime</ns0:t>
        </ns0:is>
      </ns0:c>
      <ns0:c r="E667" t="inlineStr">
        <ns0:is>
          <ns0:t>gpt-4.1-nano</ns0:t>
        </ns0:is>
      </ns0:c>
      <ns0:c r="F667" t="inlineStr">
        <ns0:is>
          <ns0:t>E0560</ns0:t>
        </ns0:is>
      </ns0:c>
      <ns0:c r="G667" t="n">
        <ns0:v>1</ns0:v>
      </ns0:c>
      <ns0:c r="H667" t="n">
        <ns0:v>1703</ns0:v>
      </ns0:c>
      <ns0:c r="I667" t="n">
        <ns0:v>105</ns0:v>
      </ns0:c>
      <ns0:c r="J667" t="n">
        <ns0:v>1808</ns0:v>
      </ns0:c>
      <ns0:c r="K667" t="n">
        <ns0:v>1</ns0:v>
      </ns0:c>
      <ns0:c r="L667" t="n">
        <ns0:v>1</ns0:v>
      </ns0:c>
      <ns0:c r="M667" t="n">
        <ns0:v>86098</ns0:v>
      </ns0:c>
      <ns0:c r="N667" t="n">
        <ns0:v>670</ns0:v>
      </ns0:c>
      <ns0:c r="O667" t="n">
        <ns0:v>86768</ns0:v>
      </ns0:c>
      <ns0:c r="P667" t="n">
        <ns0:v>6</ns0:v>
      </ns0:c>
      <ns0:c r="Q667">
        <ns0:f>IF(AND(L667=1,O667*Calculations!$B$2&lt;=Calculations!$B$10*Calculations!$B$4),1,0)</ns0:f>
        <ns0:v>0</ns0:v>
      </ns0:c>
      <ns0:c r="R667">
        <ns0:f>IF(AND(L667=1,O667*Calculations!$B$2&lt;=Calculations!$B$11*Calculations!$B$4),1,0)</ns0:f>
        <ns0:v>0</ns0:v>
      </ns0:c>
    </ns0:row>
    <ns0:row r="668">
      <ns0:c r="A668" t="inlineStr">
        <ns0:is>
          <ns0:t>case_0667</ns0:t>
        </ns0:is>
      </ns0:c>
      <ns0:c r="B668" t="inlineStr">
        <ns0:is>
          <ns0:t>function_0118</ns0:t>
        </ns0:is>
      </ns0:c>
      <ns0:c r="C668" t="inlineStr">
        <ns0:is>
          <ns0:t>run_007</ns0:t>
        </ns0:is>
      </ns0:c>
      <ns0:c r="D668" t="inlineStr">
        <ns0:is>
          <ns0:t>humantime</ns0:t>
        </ns0:is>
      </ns0:c>
      <ns0:c r="E668" t="inlineStr">
        <ns0:is>
          <ns0:t>gpt-4.1-nano</ns0:t>
        </ns0:is>
      </ns0:c>
      <ns0:c r="F668" t="inlineStr">
        <ns0:is>
          <ns0:t>E0308,E0560</ns0:t>
        </ns0:is>
      </ns0:c>
      <ns0:c r="G668" t="n">
        <ns0:v>1</ns0:v>
      </ns0:c>
      <ns0:c r="H668" t="n">
        <ns0:v>2135</ns0:v>
      </ns0:c>
      <ns0:c r="I668" t="n">
        <ns0:v>171</ns0:v>
      </ns0:c>
      <ns0:c r="J668" t="n">
        <ns0:v>2306</ns0:v>
      </ns0:c>
      <ns0:c r="K668" t="n">
        <ns0:v>1</ns0:v>
      </ns0:c>
      <ns0:c r="L668" t="n">
        <ns0:v>1</ns0:v>
      </ns0:c>
      <ns0:c r="M668" t="n">
        <ns0:v>128105</ns0:v>
      </ns0:c>
      <ns0:c r="N668" t="n">
        <ns0:v>1700</ns0:v>
      </ns0:c>
      <ns0:c r="O668" t="n">
        <ns0:v>129805</ns0:v>
      </ns0:c>
      <ns0:c r="P668" t="n">
        <ns0:v>14</ns0:v>
      </ns0:c>
      <ns0:c r="Q668">
        <ns0:f>IF(AND(L668=1,O668*Calculations!$B$2&lt;=Calculations!$B$10*Calculations!$B$4),1,0)</ns0:f>
        <ns0:v>0</ns0:v>
      </ns0:c>
      <ns0:c r="R668">
        <ns0:f>IF(AND(L668=1,O668*Calculations!$B$2&lt;=Calculations!$B$11*Calculations!$B$4),1,0)</ns0:f>
        <ns0:v>0</ns0:v>
      </ns0:c>
    </ns0:row>
    <ns0:row r="669">
      <ns0:c r="A669" t="inlineStr">
        <ns0:is>
          <ns0:t>case_0668</ns0:t>
        </ns0:is>
      </ns0:c>
      <ns0:c r="B669" t="inlineStr">
        <ns0:is>
          <ns0:t>function_0118</ns0:t>
        </ns0:is>
      </ns0:c>
      <ns0:c r="C669" t="inlineStr">
        <ns0:is>
          <ns0:t>run_007</ns0:t>
        </ns0:is>
      </ns0:c>
      <ns0:c r="D669" t="inlineStr">
        <ns0:is>
          <ns0:t>humantime</ns0:t>
        </ns0:is>
      </ns0:c>
      <ns0:c r="E669" t="inlineStr">
        <ns0:is>
          <ns0:t>gpt-4.1-nano</ns0:t>
        </ns0:is>
      </ns0:c>
      <ns0:c r="F669" t="inlineStr">
        <ns0:is>
          <ns0:t>E0432,E0599</ns0:t>
        </ns0:is>
      </ns0:c>
      <ns0:c r="G669" t="n">
        <ns0:v>0</ns0:v>
      </ns0:c>
      <ns0:c r="H669" t="n">
        <ns0:v>7483</ns0:v>
      </ns0:c>
      <ns0:c r="I669" t="n">
        <ns0:v>885</ns0:v>
      </ns0:c>
      <ns0:c r="J669" t="n">
        <ns0:v>8368</ns0:v>
      </ns0:c>
      <ns0:c r="K669" t="n">
        <ns0:v>3</ns0:v>
      </ns0:c>
      <ns0:c r="L669" t="n">
        <ns0:v>0</ns0:v>
      </ns0:c>
      <ns0:c r="M669" t="n">
        <ns0:v>43698</ns0:v>
      </ns0:c>
      <ns0:c r="N669" t="n">
        <ns0:v>770</ns0:v>
      </ns0:c>
      <ns0:c r="O669" t="n">
        <ns0:v>44468</ns0:v>
      </ns0:c>
      <ns0:c r="P669" t="n">
        <ns0:v>5</ns0:v>
      </ns0:c>
      <ns0:c r="Q669">
        <ns0:f>IF(AND(L669=1,O669*Calculations!$B$2&lt;=Calculations!$B$10*Calculations!$B$4),1,0)</ns0:f>
        <ns0:v>0</ns0:v>
      </ns0:c>
      <ns0:c r="R669">
        <ns0:f>IF(AND(L669=1,O669*Calculations!$B$2&lt;=Calculations!$B$11*Calculations!$B$4),1,0)</ns0:f>
        <ns0:v>0</ns0:v>
      </ns0:c>
    </ns0:row>
    <ns0:row r="670">
      <ns0:c r="A670" t="inlineStr">
        <ns0:is>
          <ns0:t>case_0669</ns0:t>
        </ns0:is>
      </ns0:c>
      <ns0:c r="B670" t="inlineStr">
        <ns0:is>
          <ns0:t>function_0118</ns0:t>
        </ns0:is>
      </ns0:c>
      <ns0:c r="C670" t="inlineStr">
        <ns0:is>
          <ns0:t>run_007</ns0:t>
        </ns0:is>
      </ns0:c>
      <ns0:c r="D670" t="inlineStr">
        <ns0:is>
          <ns0:t>humantime</ns0:t>
        </ns0:is>
      </ns0:c>
      <ns0:c r="E670" t="inlineStr">
        <ns0:is>
          <ns0:t>gpt-4.1-nano</ns0:t>
        </ns0:is>
      </ns0:c>
      <ns0:c r="F670" t="inlineStr">
        <ns0:is>
          <ns0:t>E0560</ns0:t>
        </ns0:is>
      </ns0:c>
      <ns0:c r="G670" t="n">
        <ns0:v>1</ns0:v>
      </ns0:c>
      <ns0:c r="H670" t="n">
        <ns0:v>1739</ns0:v>
      </ns0:c>
      <ns0:c r="I670" t="n">
        <ns0:v>124</ns0:v>
      </ns0:c>
      <ns0:c r="J670" t="n">
        <ns0:v>1863</ns0:v>
      </ns0:c>
      <ns0:c r="K670" t="n">
        <ns0:v>1</ns0:v>
      </ns0:c>
      <ns0:c r="L670" t="n">
        <ns0:v>1</ns0:v>
      </ns0:c>
      <ns0:c r="M670" t="n">
        <ns0:v>96584</ns0:v>
      </ns0:c>
      <ns0:c r="N670" t="n">
        <ns0:v>958</ns0:v>
      </ns0:c>
      <ns0:c r="O670" t="n">
        <ns0:v>97542</ns0:v>
      </ns0:c>
      <ns0:c r="P670" t="n">
        <ns0:v>12</ns0:v>
      </ns0:c>
      <ns0:c r="Q670">
        <ns0:f>IF(AND(L670=1,O670*Calculations!$B$2&lt;=Calculations!$B$10*Calculations!$B$4),1,0)</ns0:f>
        <ns0:v>0</ns0:v>
      </ns0:c>
      <ns0:c r="R670">
        <ns0:f>IF(AND(L670=1,O670*Calculations!$B$2&lt;=Calculations!$B$11*Calculations!$B$4),1,0)</ns0:f>
        <ns0:v>0</ns0:v>
      </ns0:c>
    </ns0:row>
    <ns0:row r="671">
      <ns0:c r="A671" t="inlineStr">
        <ns0:is>
          <ns0:t>case_0670</ns0:t>
        </ns0:is>
      </ns0:c>
      <ns0:c r="B671" t="inlineStr">
        <ns0:is>
          <ns0:t>function_0118</ns0:t>
        </ns0:is>
      </ns0:c>
      <ns0:c r="C671" t="inlineStr">
        <ns0:is>
          <ns0:t>run_007</ns0:t>
        </ns0:is>
      </ns0:c>
      <ns0:c r="D671" t="inlineStr">
        <ns0:is>
          <ns0:t>humantime</ns0:t>
        </ns0:is>
      </ns0:c>
      <ns0:c r="E671" t="inlineStr">
        <ns0:is>
          <ns0:t>gpt-4.1-nano</ns0:t>
        </ns0:is>
      </ns0:c>
      <ns0:c r="F671" t="inlineStr">
        <ns0:is>
          <ns0:t>E0560</ns0:t>
        </ns0:is>
      </ns0:c>
      <ns0:c r="G671" t="n">
        <ns0:v>1</ns0:v>
      </ns0:c>
      <ns0:c r="H671" t="n">
        <ns0:v>1769</ns0:v>
      </ns0:c>
      <ns0:c r="I671" t="n">
        <ns0:v>157</ns0:v>
      </ns0:c>
      <ns0:c r="J671" t="n">
        <ns0:v>1926</ns0:v>
      </ns0:c>
      <ns0:c r="K671" t="n">
        <ns0:v>1</ns0:v>
      </ns0:c>
      <ns0:c r="L671" t="n">
        <ns0:v>1</ns0:v>
      </ns0:c>
      <ns0:c r="M671" t="n">
        <ns0:v>38710</ns0:v>
      </ns0:c>
      <ns0:c r="N671" t="n">
        <ns0:v>954</ns0:v>
      </ns0:c>
      <ns0:c r="O671" t="n">
        <ns0:v>39664</ns0:v>
      </ns0:c>
      <ns0:c r="P671" t="n">
        <ns0:v>5</ns0:v>
      </ns0:c>
      <ns0:c r="Q671">
        <ns0:f>IF(AND(L671=1,O671*Calculations!$B$2&lt;=Calculations!$B$10*Calculations!$B$4),1,0)</ns0:f>
        <ns0:v>0</ns0:v>
      </ns0:c>
      <ns0:c r="R671">
        <ns0:f>IF(AND(L671=1,O671*Calculations!$B$2&lt;=Calculations!$B$11*Calculations!$B$4),1,0)</ns0:f>
        <ns0:v>1</ns0:v>
      </ns0:c>
    </ns0:row>
    <ns0:row r="672">
      <ns0:c r="A672" t="inlineStr">
        <ns0:is>
          <ns0:t>case_0671</ns0:t>
        </ns0:is>
      </ns0:c>
      <ns0:c r="B672" t="inlineStr">
        <ns0:is>
          <ns0:t>function_0118</ns0:t>
        </ns0:is>
      </ns0:c>
      <ns0:c r="C672" t="inlineStr">
        <ns0:is>
          <ns0:t>run_007</ns0:t>
        </ns0:is>
      </ns0:c>
      <ns0:c r="D672" t="inlineStr">
        <ns0:is>
          <ns0:t>humantime</ns0:t>
        </ns0:is>
      </ns0:c>
      <ns0:c r="E672" t="inlineStr">
        <ns0:is>
          <ns0:t>gpt-4.1-nano</ns0:t>
        </ns0:is>
      </ns0:c>
      <ns0:c r="F672" t="inlineStr">
        <ns0:is>
          <ns0:t>E0308,E0560</ns0:t>
        </ns0:is>
      </ns0:c>
      <ns0:c r="G672" t="n">
        <ns0:v>1</ns0:v>
      </ns0:c>
      <ns0:c r="H672" t="n">
        <ns0:v>7455</ns0:v>
      </ns0:c>
      <ns0:c r="I672" t="n">
        <ns0:v>468</ns0:v>
      </ns0:c>
      <ns0:c r="J672" t="n">
        <ns0:v>7923</ns0:v>
      </ns0:c>
      <ns0:c r="K672" t="n">
        <ns0:v>4</ns0:v>
      </ns0:c>
      <ns0:c r="L672" t="n">
        <ns0:v>1</ns0:v>
      </ns0:c>
      <ns0:c r="M672" t="n">
        <ns0:v>55449</ns0:v>
      </ns0:c>
      <ns0:c r="N672" t="n">
        <ns0:v>1268</ns0:v>
      </ns0:c>
      <ns0:c r="O672" t="n">
        <ns0:v>56717</ns0:v>
      </ns0:c>
      <ns0:c r="P672" t="n">
        <ns0:v>4</ns0:v>
      </ns0:c>
      <ns0:c r="Q672">
        <ns0:f>IF(AND(L672=1,O672*Calculations!$B$2&lt;=Calculations!$B$10*Calculations!$B$4),1,0)</ns0:f>
        <ns0:v>0</ns0:v>
      </ns0:c>
      <ns0:c r="R672">
        <ns0:f>IF(AND(L672=1,O672*Calculations!$B$2&lt;=Calculations!$B$11*Calculations!$B$4),1,0)</ns0:f>
        <ns0:v>0</ns0:v>
      </ns0:c>
    </ns0:row>
    <ns0:row r="673">
      <ns0:c r="A673" t="inlineStr">
        <ns0:is>
          <ns0:t>case_0672</ns0:t>
        </ns0:is>
      </ns0:c>
      <ns0:c r="B673" t="inlineStr">
        <ns0:is>
          <ns0:t>function_0118</ns0:t>
        </ns0:is>
      </ns0:c>
      <ns0:c r="C673" t="inlineStr">
        <ns0:is>
          <ns0:t>run_007</ns0:t>
        </ns0:is>
      </ns0:c>
      <ns0:c r="D673" t="inlineStr">
        <ns0:is>
          <ns0:t>humantime</ns0:t>
        </ns0:is>
      </ns0:c>
      <ns0:c r="E673" t="inlineStr">
        <ns0:is>
          <ns0:t>gpt-4.1-nano</ns0:t>
        </ns0:is>
      </ns0:c>
      <ns0:c r="F673" t="inlineStr">
        <ns0:is>
          <ns0:t>E0560</ns0:t>
        </ns0:is>
      </ns0:c>
      <ns0:c r="G673" t="n">
        <ns0:v>1</ns0:v>
      </ns0:c>
      <ns0:c r="H673" t="n">
        <ns0:v>1702</ns0:v>
      </ns0:c>
      <ns0:c r="I673" t="n">
        <ns0:v>99</ns0:v>
      </ns0:c>
      <ns0:c r="J673" t="n">
        <ns0:v>1801</ns0:v>
      </ns0:c>
      <ns0:c r="K673" t="n">
        <ns0:v>1</ns0:v>
      </ns0:c>
      <ns0:c r="L673" t="n">
        <ns0:v>1</ns0:v>
      </ns0:c>
      <ns0:c r="M673" t="n">
        <ns0:v>112867</ns0:v>
      </ns0:c>
      <ns0:c r="N673" t="n">
        <ns0:v>750</ns0:v>
      </ns0:c>
      <ns0:c r="O673" t="n">
        <ns0:v>113617</ns0:v>
      </ns0:c>
      <ns0:c r="P673" t="n">
        <ns0:v>12</ns0:v>
      </ns0:c>
      <ns0:c r="Q673">
        <ns0:f>IF(AND(L673=1,O673*Calculations!$B$2&lt;=Calculations!$B$10*Calculations!$B$4),1,0)</ns0:f>
        <ns0:v>0</ns0:v>
      </ns0:c>
      <ns0:c r="R673">
        <ns0:f>IF(AND(L673=1,O673*Calculations!$B$2&lt;=Calculations!$B$11*Calculations!$B$4),1,0)</ns0:f>
        <ns0:v>0</ns0:v>
      </ns0:c>
    </ns0:row>
    <ns0:row r="674">
      <ns0:c r="A674" t="inlineStr">
        <ns0:is>
          <ns0:t>case_0673</ns0:t>
        </ns0:is>
      </ns0:c>
      <ns0:c r="B674" t="inlineStr">
        <ns0:is>
          <ns0:t>function_0118</ns0:t>
        </ns0:is>
      </ns0:c>
      <ns0:c r="C674" t="inlineStr">
        <ns0:is>
          <ns0:t>run_007</ns0:t>
        </ns0:is>
      </ns0:c>
      <ns0:c r="D674" t="inlineStr">
        <ns0:is>
          <ns0:t>humantime</ns0:t>
        </ns0:is>
      </ns0:c>
      <ns0:c r="E674" t="inlineStr">
        <ns0:is>
          <ns0:t>gpt-4.1-nano</ns0:t>
        </ns0:is>
      </ns0:c>
      <ns0:c r="F674" t="inlineStr">
        <ns0:is>
          <ns0:t>E0560</ns0:t>
        </ns0:is>
      </ns0:c>
      <ns0:c r="G674" t="n">
        <ns0:v>1</ns0:v>
      </ns0:c>
      <ns0:c r="H674" t="n">
        <ns0:v>1753</ns0:v>
      </ns0:c>
      <ns0:c r="I674" t="n">
        <ns0:v>134</ns0:v>
      </ns0:c>
      <ns0:c r="J674" t="n">
        <ns0:v>1887</ns0:v>
      </ns0:c>
      <ns0:c r="K674" t="n">
        <ns0:v>1</ns0:v>
      </ns0:c>
      <ns0:c r="L674" t="n">
        <ns0:v>1</ns0:v>
      </ns0:c>
      <ns0:c r="M674" t="n">
        <ns0:v>49889</ns0:v>
      </ns0:c>
      <ns0:c r="N674" t="n">
        <ns0:v>646</ns0:v>
      </ns0:c>
      <ns0:c r="O674" t="n">
        <ns0:v>50535</ns0:v>
      </ns0:c>
      <ns0:c r="P674" t="n">
        <ns0:v>4</ns0:v>
      </ns0:c>
      <ns0:c r="Q674">
        <ns0:f>IF(AND(L674=1,O674*Calculations!$B$2&lt;=Calculations!$B$10*Calculations!$B$4),1,0)</ns0:f>
        <ns0:v>0</ns0:v>
      </ns0:c>
      <ns0:c r="R674">
        <ns0:f>IF(AND(L674=1,O674*Calculations!$B$2&lt;=Calculations!$B$11*Calculations!$B$4),1,0)</ns0:f>
        <ns0:v>0</ns0:v>
      </ns0:c>
    </ns0:row>
    <ns0:row r="675">
      <ns0:c r="A675" t="inlineStr">
        <ns0:is>
          <ns0:t>case_0674</ns0:t>
        </ns0:is>
      </ns0:c>
      <ns0:c r="B675" t="inlineStr">
        <ns0:is>
          <ns0:t>function_0118</ns0:t>
        </ns0:is>
      </ns0:c>
      <ns0:c r="C675" t="inlineStr">
        <ns0:is>
          <ns0:t>run_007</ns0:t>
        </ns0:is>
      </ns0:c>
      <ns0:c r="D675" t="inlineStr">
        <ns0:is>
          <ns0:t>humantime</ns0:t>
        </ns0:is>
      </ns0:c>
      <ns0:c r="E675" t="inlineStr">
        <ns0:is>
          <ns0:t>gpt-4.1-nano</ns0:t>
        </ns0:is>
      </ns0:c>
      <ns0:c r="F675" t="inlineStr">
        <ns0:is>
          <ns0:t>E0560</ns0:t>
        </ns0:is>
      </ns0:c>
      <ns0:c r="G675" t="n">
        <ns0:v>1</ns0:v>
      </ns0:c>
      <ns0:c r="H675" t="n">
        <ns0:v>1654</ns0:v>
      </ns0:c>
      <ns0:c r="I675" t="n">
        <ns0:v>90</ns0:v>
      </ns0:c>
      <ns0:c r="J675" t="n">
        <ns0:v>1744</ns0:v>
      </ns0:c>
      <ns0:c r="K675" t="n">
        <ns0:v>1</ns0:v>
      </ns0:c>
      <ns0:c r="L675" t="n">
        <ns0:v>1</ns0:v>
      </ns0:c>
      <ns0:c r="M675" t="n">
        <ns0:v>49418</ns0:v>
      </ns0:c>
      <ns0:c r="N675" t="n">
        <ns0:v>661</ns0:v>
      </ns0:c>
      <ns0:c r="O675" t="n">
        <ns0:v>50079</ns0:v>
      </ns0:c>
      <ns0:c r="P675" t="n">
        <ns0:v>4</ns0:v>
      </ns0:c>
      <ns0:c r="Q675">
        <ns0:f>IF(AND(L675=1,O675*Calculations!$B$2&lt;=Calculations!$B$10*Calculations!$B$4),1,0)</ns0:f>
        <ns0:v>0</ns0:v>
      </ns0:c>
      <ns0:c r="R675">
        <ns0:f>IF(AND(L675=1,O675*Calculations!$B$2&lt;=Calculations!$B$11*Calculations!$B$4),1,0)</ns0:f>
        <ns0:v>0</ns0:v>
      </ns0:c>
    </ns0:row>
    <ns0:row r="676">
      <ns0:c r="A676" t="inlineStr">
        <ns0:is>
          <ns0:t>case_0675</ns0:t>
        </ns0:is>
      </ns0:c>
      <ns0:c r="B676" t="inlineStr">
        <ns0:is>
          <ns0:t>function_0118</ns0:t>
        </ns0:is>
      </ns0:c>
      <ns0:c r="C676" t="inlineStr">
        <ns0:is>
          <ns0:t>run_007</ns0:t>
        </ns0:is>
      </ns0:c>
      <ns0:c r="D676" t="inlineStr">
        <ns0:is>
          <ns0:t>humantime</ns0:t>
        </ns0:is>
      </ns0:c>
      <ns0:c r="E676" t="inlineStr">
        <ns0:is>
          <ns0:t>gpt-4.1-nano</ns0:t>
        </ns0:is>
      </ns0:c>
      <ns0:c r="F676" t="inlineStr">
        <ns0:is>
          <ns0:t>E0432,E0592</ns0:t>
        </ns0:is>
      </ns0:c>
      <ns0:c r="G676" t="n">
        <ns0:v>0</ns0:v>
      </ns0:c>
      <ns0:c r="H676" t="n">
        <ns0:v>8174</ns0:v>
      </ns0:c>
      <ns0:c r="I676" t="n">
        <ns0:v>1577</ns0:v>
      </ns0:c>
      <ns0:c r="J676" t="n">
        <ns0:v>9751</ns0:v>
      </ns0:c>
      <ns0:c r="K676" t="n">
        <ns0:v>3</ns0:v>
      </ns0:c>
      <ns0:c r="L676" t="n">
        <ns0:v>0</ns0:v>
      </ns0:c>
      <ns0:c r="M676" t="n">
        <ns0:v>137342</ns0:v>
      </ns0:c>
      <ns0:c r="N676" t="n">
        <ns0:v>1458</ns0:v>
      </ns0:c>
      <ns0:c r="O676" t="n">
        <ns0:v>138800</ns0:v>
      </ns0:c>
      <ns0:c r="P676" t="n">
        <ns0:v>9</ns0:v>
      </ns0:c>
      <ns0:c r="Q676">
        <ns0:f>IF(AND(L676=1,O676*Calculations!$B$2&lt;=Calculations!$B$10*Calculations!$B$4),1,0)</ns0:f>
        <ns0:v>0</ns0:v>
      </ns0:c>
      <ns0:c r="R676">
        <ns0:f>IF(AND(L676=1,O676*Calculations!$B$2&lt;=Calculations!$B$11*Calculations!$B$4),1,0)</ns0:f>
        <ns0:v>0</ns0:v>
      </ns0:c>
    </ns0:row>
    <ns0:row r="677">
      <ns0:c r="A677" t="inlineStr">
        <ns0:is>
          <ns0:t>case_0676</ns0:t>
        </ns0:is>
      </ns0:c>
      <ns0:c r="B677" t="inlineStr">
        <ns0:is>
          <ns0:t>function_0118</ns0:t>
        </ns0:is>
      </ns0:c>
      <ns0:c r="C677" t="inlineStr">
        <ns0:is>
          <ns0:t>run_007</ns0:t>
        </ns0:is>
      </ns0:c>
      <ns0:c r="D677" t="inlineStr">
        <ns0:is>
          <ns0:t>humantime</ns0:t>
        </ns0:is>
      </ns0:c>
      <ns0:c r="E677" t="inlineStr">
        <ns0:is>
          <ns0:t>gpt-4.1-nano</ns0:t>
        </ns0:is>
      </ns0:c>
      <ns0:c r="F677" t="inlineStr">
        <ns0:is>
          <ns0:t>E0599</ns0:t>
        </ns0:is>
      </ns0:c>
      <ns0:c r="G677" t="n">
        <ns0:v>0</ns0:v>
      </ns0:c>
      <ns0:c r="H677" t="n">
        <ns0:v>5875</ns0:v>
      </ns0:c>
      <ns0:c r="I677" t="n">
        <ns0:v>300</ns0:v>
      </ns0:c>
      <ns0:c r="J677" t="n">
        <ns0:v>6175</ns0:v>
      </ns0:c>
      <ns0:c r="K677" t="n">
        <ns0:v>3</ns0:v>
      </ns0:c>
      <ns0:c r="L677" t="n">
        <ns0:v>0</ns0:v>
      </ns0:c>
      <ns0:c r="M677" t="n">
        <ns0:v>50076</ns0:v>
      </ns0:c>
      <ns0:c r="N677" t="n">
        <ns0:v>698</ns0:v>
      </ns0:c>
      <ns0:c r="O677" t="n">
        <ns0:v>50774</ns0:v>
      </ns0:c>
      <ns0:c r="P677" t="n">
        <ns0:v>4</ns0:v>
      </ns0:c>
      <ns0:c r="Q677">
        <ns0:f>IF(AND(L677=1,O677*Calculations!$B$2&lt;=Calculations!$B$10*Calculations!$B$4),1,0)</ns0:f>
        <ns0:v>0</ns0:v>
      </ns0:c>
      <ns0:c r="R677">
        <ns0:f>IF(AND(L677=1,O677*Calculations!$B$2&lt;=Calculations!$B$11*Calculations!$B$4),1,0)</ns0:f>
        <ns0:v>0</ns0:v>
      </ns0:c>
    </ns0:row>
    <ns0:row r="678">
      <ns0:c r="A678" t="inlineStr">
        <ns0:is>
          <ns0:t>case_0677</ns0:t>
        </ns0:is>
      </ns0:c>
      <ns0:c r="B678" t="inlineStr">
        <ns0:is>
          <ns0:t>function_0118</ns0:t>
        </ns0:is>
      </ns0:c>
      <ns0:c r="C678" t="inlineStr">
        <ns0:is>
          <ns0:t>run_007</ns0:t>
        </ns0:is>
      </ns0:c>
      <ns0:c r="D678" t="inlineStr">
        <ns0:is>
          <ns0:t>humantime</ns0:t>
        </ns0:is>
      </ns0:c>
      <ns0:c r="E678" t="inlineStr">
        <ns0:is>
          <ns0:t>gpt-4.1-nano</ns0:t>
        </ns0:is>
      </ns0:c>
      <ns0:c r="F678" t="inlineStr">
        <ns0:is>
          <ns0:t>E0308,E0560</ns0:t>
        </ns0:is>
      </ns0:c>
      <ns0:c r="G678" t="n">
        <ns0:v>1</ns0:v>
      </ns0:c>
      <ns0:c r="H678" t="n">
        <ns0:v>1870</ns0:v>
      </ns0:c>
      <ns0:c r="I678" t="n">
        <ns0:v>108</ns0:v>
      </ns0:c>
      <ns0:c r="J678" t="n">
        <ns0:v>1978</ns0:v>
      </ns0:c>
      <ns0:c r="K678" t="n">
        <ns0:v>1</ns0:v>
      </ns0:c>
      <ns0:c r="L678" t="n">
        <ns0:v>1</ns0:v>
      </ns0:c>
      <ns0:c r="M678" t="n">
        <ns0:v>58644</ns0:v>
      </ns0:c>
      <ns0:c r="N678" t="n">
        <ns0:v>642</ns0:v>
      </ns0:c>
      <ns0:c r="O678" t="n">
        <ns0:v>59286</ns0:v>
      </ns0:c>
      <ns0:c r="P678" t="n">
        <ns0:v>8</ns0:v>
      </ns0:c>
      <ns0:c r="Q678">
        <ns0:f>IF(AND(L678=1,O678*Calculations!$B$2&lt;=Calculations!$B$10*Calculations!$B$4),1,0)</ns0:f>
        <ns0:v>0</ns0:v>
      </ns0:c>
      <ns0:c r="R678">
        <ns0:f>IF(AND(L678=1,O678*Calculations!$B$2&lt;=Calculations!$B$11*Calculations!$B$4),1,0)</ns0:f>
        <ns0:v>0</ns0:v>
      </ns0:c>
    </ns0:row>
    <ns0:row r="679">
      <ns0:c r="A679" t="inlineStr">
        <ns0:is>
          <ns0:t>case_0678</ns0:t>
        </ns0:is>
      </ns0:c>
      <ns0:c r="B679" t="inlineStr">
        <ns0:is>
          <ns0:t>function_0119</ns0:t>
        </ns0:is>
      </ns0:c>
      <ns0:c r="C679" t="inlineStr">
        <ns0:is>
          <ns0:t>run_007</ns0:t>
        </ns0:is>
      </ns0:c>
      <ns0:c r="D679" t="inlineStr">
        <ns0:is>
          <ns0:t>humantime</ns0:t>
        </ns0:is>
      </ns0:c>
      <ns0:c r="E679" t="inlineStr">
        <ns0:is>
          <ns0:t>gpt-4.1-nano</ns0:t>
        </ns0:is>
      </ns0:c>
      <ns0:c r="F679" t="inlineStr">
        <ns0:is>
          <ns0:t>E0063,E0308,E0432</ns0:t>
        </ns0:is>
      </ns0:c>
      <ns0:c r="G679" t="n">
        <ns0:v>0</ns0:v>
      </ns0:c>
      <ns0:c r="H679" t="n">
        <ns0:v>7354</ns0:v>
      </ns0:c>
      <ns0:c r="I679" t="n">
        <ns0:v>897</ns0:v>
      </ns0:c>
      <ns0:c r="J679" t="n">
        <ns0:v>8251</ns0:v>
      </ns0:c>
      <ns0:c r="K679" t="n">
        <ns0:v>3</ns0:v>
      </ns0:c>
      <ns0:c r="L679" t="n">
        <ns0:v>1</ns0:v>
      </ns0:c>
      <ns0:c r="M679" t="n">
        <ns0:v>97990</ns0:v>
      </ns0:c>
      <ns0:c r="N679" t="n">
        <ns0:v>1575</ns0:v>
      </ns0:c>
      <ns0:c r="O679" t="n">
        <ns0:v>99565</ns0:v>
      </ns0:c>
      <ns0:c r="P679" t="n">
        <ns0:v>12</ns0:v>
      </ns0:c>
      <ns0:c r="Q679">
        <ns0:f>IF(AND(L679=1,O679*Calculations!$B$2&lt;=Calculations!$B$10*Calculations!$B$4),1,0)</ns0:f>
        <ns0:v>0</ns0:v>
      </ns0:c>
      <ns0:c r="R679">
        <ns0:f>IF(AND(L679=1,O679*Calculations!$B$2&lt;=Calculations!$B$11*Calculations!$B$4),1,0)</ns0:f>
        <ns0:v>0</ns0:v>
      </ns0:c>
    </ns0:row>
    <ns0:row r="680">
      <ns0:c r="A680" t="inlineStr">
        <ns0:is>
          <ns0:t>case_0679</ns0:t>
        </ns0:is>
      </ns0:c>
      <ns0:c r="B680" t="inlineStr">
        <ns0:is>
          <ns0:t>function_0119</ns0:t>
        </ns0:is>
      </ns0:c>
      <ns0:c r="C680" t="inlineStr">
        <ns0:is>
          <ns0:t>run_007</ns0:t>
        </ns0:is>
      </ns0:c>
      <ns0:c r="D680" t="inlineStr">
        <ns0:is>
          <ns0:t>humantime</ns0:t>
        </ns0:is>
      </ns0:c>
      <ns0:c r="E680" t="inlineStr">
        <ns0:is>
          <ns0:t>gpt-4.1-nano</ns0:t>
        </ns0:is>
      </ns0:c>
      <ns0:c r="F680" t="inlineStr">
        <ns0:is>
          <ns0:t>E0063,E0308,E0432</ns0:t>
        </ns0:is>
      </ns0:c>
      <ns0:c r="G680" t="n">
        <ns0:v>0</ns0:v>
      </ns0:c>
      <ns0:c r="H680" t="n">
        <ns0:v>6472</ns0:v>
      </ns0:c>
      <ns0:c r="I680" t="n">
        <ns0:v>408</ns0:v>
      </ns0:c>
      <ns0:c r="J680" t="n">
        <ns0:v>6880</ns0:v>
      </ns0:c>
      <ns0:c r="K680" t="n">
        <ns0:v>3</ns0:v>
      </ns0:c>
      <ns0:c r="L680" t="n">
        <ns0:v>1</ns0:v>
      </ns0:c>
      <ns0:c r="M680" t="n">
        <ns0:v>92012</ns0:v>
      </ns0:c>
      <ns0:c r="N680" t="n">
        <ns0:v>877</ns0:v>
      </ns0:c>
      <ns0:c r="O680" t="n">
        <ns0:v>92889</ns0:v>
      </ns0:c>
      <ns0:c r="P680" t="n">
        <ns0:v>12</ns0:v>
      </ns0:c>
      <ns0:c r="Q680">
        <ns0:f>IF(AND(L680=1,O680*Calculations!$B$2&lt;=Calculations!$B$10*Calculations!$B$4),1,0)</ns0:f>
        <ns0:v>0</ns0:v>
      </ns0:c>
      <ns0:c r="R680">
        <ns0:f>IF(AND(L680=1,O680*Calculations!$B$2&lt;=Calculations!$B$11*Calculations!$B$4),1,0)</ns0:f>
        <ns0:v>0</ns0:v>
      </ns0:c>
    </ns0:row>
    <ns0:row r="681">
      <ns0:c r="A681" t="inlineStr">
        <ns0:is>
          <ns0:t>case_0680</ns0:t>
        </ns0:is>
      </ns0:c>
      <ns0:c r="B681" t="inlineStr">
        <ns0:is>
          <ns0:t>function_0119</ns0:t>
        </ns0:is>
      </ns0:c>
      <ns0:c r="C681" t="inlineStr">
        <ns0:is>
          <ns0:t>run_007</ns0:t>
        </ns0:is>
      </ns0:c>
      <ns0:c r="D681" t="inlineStr">
        <ns0:is>
          <ns0:t>humantime</ns0:t>
        </ns0:is>
      </ns0:c>
      <ns0:c r="E681" t="inlineStr">
        <ns0:is>
          <ns0:t>gpt-4.1-nano</ns0:t>
        </ns0:is>
      </ns0:c>
      <ns0:c r="F681" t="inlineStr">
        <ns0:is>
          <ns0:t>E0063,E0308,E0432</ns0:t>
        </ns0:is>
      </ns0:c>
      <ns0:c r="G681" t="n">
        <ns0:v>0</ns0:v>
      </ns0:c>
      <ns0:c r="H681" t="n">
        <ns0:v>6405</ns0:v>
      </ns0:c>
      <ns0:c r="I681" t="n">
        <ns0:v>483</ns0:v>
      </ns0:c>
      <ns0:c r="J681" t="n">
        <ns0:v>6888</ns0:v>
      </ns0:c>
      <ns0:c r="K681" t="n">
        <ns0:v>3</ns0:v>
      </ns0:c>
      <ns0:c r="L681" t="n">
        <ns0:v>1</ns0:v>
      </ns0:c>
      <ns0:c r="M681" t="n">
        <ns0:v>65410</ns0:v>
      </ns0:c>
      <ns0:c r="N681" t="n">
        <ns0:v>694</ns0:v>
      </ns0:c>
      <ns0:c r="O681" t="n">
        <ns0:v>66104</ns0:v>
      </ns0:c>
      <ns0:c r="P681" t="n">
        <ns0:v>6</ns0:v>
      </ns0:c>
      <ns0:c r="Q681">
        <ns0:f>IF(AND(L681=1,O681*Calculations!$B$2&lt;=Calculations!$B$10*Calculations!$B$4),1,0)</ns0:f>
        <ns0:v>0</ns0:v>
      </ns0:c>
      <ns0:c r="R681">
        <ns0:f>IF(AND(L681=1,O681*Calculations!$B$2&lt;=Calculations!$B$11*Calculations!$B$4),1,0)</ns0:f>
        <ns0:v>0</ns0:v>
      </ns0:c>
    </ns0:row>
    <ns0:row r="682">
      <ns0:c r="A682" t="inlineStr">
        <ns0:is>
          <ns0:t>case_0681</ns0:t>
        </ns0:is>
      </ns0:c>
      <ns0:c r="B682" t="inlineStr">
        <ns0:is>
          <ns0:t>function_0119</ns0:t>
        </ns0:is>
      </ns0:c>
      <ns0:c r="C682" t="inlineStr">
        <ns0:is>
          <ns0:t>run_007</ns0:t>
        </ns0:is>
      </ns0:c>
      <ns0:c r="D682" t="inlineStr">
        <ns0:is>
          <ns0:t>humantime</ns0:t>
        </ns0:is>
      </ns0:c>
      <ns0:c r="E682" t="inlineStr">
        <ns0:is>
          <ns0:t>gpt-4.1-nano</ns0:t>
        </ns0:is>
      </ns0:c>
      <ns0:c r="F682" t="inlineStr">
        <ns0:is>
          <ns0:t>E0063,E0308</ns0:t>
        </ns0:is>
      </ns0:c>
      <ns0:c r="G682" t="n">
        <ns0:v>1</ns0:v>
      </ns0:c>
      <ns0:c r="H682" t="n">
        <ns0:v>2121</ns0:v>
      </ns0:c>
      <ns0:c r="I682" t="n">
        <ns0:v>263</ns0:v>
      </ns0:c>
      <ns0:c r="J682" t="n">
        <ns0:v>2384</ns0:v>
      </ns0:c>
      <ns0:c r="K682" t="n">
        <ns0:v>1</ns0:v>
      </ns0:c>
      <ns0:c r="L682" t="n">
        <ns0:v>1</ns0:v>
      </ns0:c>
      <ns0:c r="M682" t="n">
        <ns0:v>51672</ns0:v>
      </ns0:c>
      <ns0:c r="N682" t="n">
        <ns0:v>594</ns0:v>
      </ns0:c>
      <ns0:c r="O682" t="n">
        <ns0:v>52266</ns0:v>
      </ns0:c>
      <ns0:c r="P682" t="n">
        <ns0:v>4</ns0:v>
      </ns0:c>
      <ns0:c r="Q682">
        <ns0:f>IF(AND(L682=1,O682*Calculations!$B$2&lt;=Calculations!$B$10*Calculations!$B$4),1,0)</ns0:f>
        <ns0:v>0</ns0:v>
      </ns0:c>
      <ns0:c r="R682">
        <ns0:f>IF(AND(L682=1,O682*Calculations!$B$2&lt;=Calculations!$B$11*Calculations!$B$4),1,0)</ns0:f>
        <ns0:v>0</ns0:v>
      </ns0:c>
    </ns0:row>
    <ns0:row r="683">
      <ns0:c r="A683" t="inlineStr">
        <ns0:is>
          <ns0:t>case_0682</ns0:t>
        </ns0:is>
      </ns0:c>
      <ns0:c r="B683" t="inlineStr">
        <ns0:is>
          <ns0:t>function_0119</ns0:t>
        </ns0:is>
      </ns0:c>
      <ns0:c r="C683" t="inlineStr">
        <ns0:is>
          <ns0:t>run_007</ns0:t>
        </ns0:is>
      </ns0:c>
      <ns0:c r="D683" t="inlineStr">
        <ns0:is>
          <ns0:t>humantime</ns0:t>
        </ns0:is>
      </ns0:c>
      <ns0:c r="E683" t="inlineStr">
        <ns0:is>
          <ns0:t>gpt-4.1-nano</ns0:t>
        </ns0:is>
      </ns0:c>
      <ns0:c r="F683" t="inlineStr">
        <ns0:is>
          <ns0:t>E0063,E0308</ns0:t>
        </ns0:is>
      </ns0:c>
      <ns0:c r="G683" t="n">
        <ns0:v>1</ns0:v>
      </ns0:c>
      <ns0:c r="H683" t="n">
        <ns0:v>2945</ns0:v>
      </ns0:c>
      <ns0:c r="I683" t="n">
        <ns0:v>282</ns0:v>
      </ns0:c>
      <ns0:c r="J683" t="n">
        <ns0:v>3227</ns0:v>
      </ns0:c>
      <ns0:c r="K683" t="n">
        <ns0:v>1</ns0:v>
      </ns0:c>
      <ns0:c r="L683" t="n">
        <ns0:v>1</ns0:v>
      </ns0:c>
      <ns0:c r="M683" t="n">
        <ns0:v>52897</ns0:v>
      </ns0:c>
      <ns0:c r="N683" t="n">
        <ns0:v>658</ns0:v>
      </ns0:c>
      <ns0:c r="O683" t="n">
        <ns0:v>53555</ns0:v>
      </ns0:c>
      <ns0:c r="P683" t="n">
        <ns0:v>4</ns0:v>
      </ns0:c>
      <ns0:c r="Q683">
        <ns0:f>IF(AND(L683=1,O683*Calculations!$B$2&lt;=Calculations!$B$10*Calculations!$B$4),1,0)</ns0:f>
        <ns0:v>0</ns0:v>
      </ns0:c>
      <ns0:c r="R683">
        <ns0:f>IF(AND(L683=1,O683*Calculations!$B$2&lt;=Calculations!$B$11*Calculations!$B$4),1,0)</ns0:f>
        <ns0:v>0</ns0:v>
      </ns0:c>
    </ns0:row>
    <ns0:row r="684">
      <ns0:c r="A684" t="inlineStr">
        <ns0:is>
          <ns0:t>case_0683</ns0:t>
        </ns0:is>
      </ns0:c>
      <ns0:c r="B684" t="inlineStr">
        <ns0:is>
          <ns0:t>function_0119</ns0:t>
        </ns0:is>
      </ns0:c>
      <ns0:c r="C684" t="inlineStr">
        <ns0:is>
          <ns0:t>run_007</ns0:t>
        </ns0:is>
      </ns0:c>
      <ns0:c r="D684" t="inlineStr">
        <ns0:is>
          <ns0:t>humantime</ns0:t>
        </ns0:is>
      </ns0:c>
      <ns0:c r="E684" t="inlineStr">
        <ns0:is>
          <ns0:t>gpt-4.1-nano</ns0:t>
        </ns0:is>
      </ns0:c>
      <ns0:c r="F684" t="inlineStr">
        <ns0:is>
          <ns0:t>E0063,E0308</ns0:t>
        </ns0:is>
      </ns0:c>
      <ns0:c r="G684" t="n">
        <ns0:v>1</ns0:v>
      </ns0:c>
      <ns0:c r="H684" t="n">
        <ns0:v>1966</ns0:v>
      </ns0:c>
      <ns0:c r="I684" t="n">
        <ns0:v>183</ns0:v>
      </ns0:c>
      <ns0:c r="J684" t="n">
        <ns0:v>2149</ns0:v>
      </ns0:c>
      <ns0:c r="K684" t="n">
        <ns0:v>1</ns0:v>
      </ns0:c>
      <ns0:c r="L684" t="n">
        <ns0:v>1</ns0:v>
      </ns0:c>
      <ns0:c r="M684" t="n">
        <ns0:v>50668</ns0:v>
      </ns0:c>
      <ns0:c r="N684" t="n">
        <ns0:v>713</ns0:v>
      </ns0:c>
      <ns0:c r="O684" t="n">
        <ns0:v>51381</ns0:v>
      </ns0:c>
      <ns0:c r="P684" t="n">
        <ns0:v>4</ns0:v>
      </ns0:c>
      <ns0:c r="Q684">
        <ns0:f>IF(AND(L684=1,O684*Calculations!$B$2&lt;=Calculations!$B$10*Calculations!$B$4),1,0)</ns0:f>
        <ns0:v>0</ns0:v>
      </ns0:c>
      <ns0:c r="R684">
        <ns0:f>IF(AND(L684=1,O684*Calculations!$B$2&lt;=Calculations!$B$11*Calculations!$B$4),1,0)</ns0:f>
        <ns0:v>0</ns0:v>
      </ns0:c>
    </ns0:row>
    <ns0:row r="685">
      <ns0:c r="A685" t="inlineStr">
        <ns0:is>
          <ns0:t>case_0684</ns0:t>
        </ns0:is>
      </ns0:c>
      <ns0:c r="B685" t="inlineStr">
        <ns0:is>
          <ns0:t>function_0119</ns0:t>
        </ns0:is>
      </ns0:c>
      <ns0:c r="C685" t="inlineStr">
        <ns0:is>
          <ns0:t>run_007</ns0:t>
        </ns0:is>
      </ns0:c>
      <ns0:c r="D685" t="inlineStr">
        <ns0:is>
          <ns0:t>humantime</ns0:t>
        </ns0:is>
      </ns0:c>
      <ns0:c r="E685" t="inlineStr">
        <ns0:is>
          <ns0:t>gpt-4.1-nano</ns0:t>
        </ns0:is>
      </ns0:c>
      <ns0:c r="F685" t="inlineStr">
        <ns0:is>
          <ns0:t>E0063,E0308</ns0:t>
        </ns0:is>
      </ns0:c>
      <ns0:c r="G685" t="n">
        <ns0:v>1</ns0:v>
      </ns0:c>
      <ns0:c r="H685" t="n">
        <ns0:v>2199</ns0:v>
      </ns0:c>
      <ns0:c r="I685" t="n">
        <ns0:v>274</ns0:v>
      </ns0:c>
      <ns0:c r="J685" t="n">
        <ns0:v>2473</ns0:v>
      </ns0:c>
      <ns0:c r="K685" t="n">
        <ns0:v>1</ns0:v>
      </ns0:c>
      <ns0:c r="L685" t="n">
        <ns0:v>1</ns0:v>
      </ns0:c>
      <ns0:c r="M685" t="n">
        <ns0:v>73413</ns0:v>
      </ns0:c>
      <ns0:c r="N685" t="n">
        <ns0:v>619</ns0:v>
      </ns0:c>
      <ns0:c r="O685" t="n">
        <ns0:v>74032</ns0:v>
      </ns0:c>
      <ns0:c r="P685" t="n">
        <ns0:v>5</ns0:v>
      </ns0:c>
      <ns0:c r="Q685">
        <ns0:f>IF(AND(L685=1,O685*Calculations!$B$2&lt;=Calculations!$B$10*Calculations!$B$4),1,0)</ns0:f>
        <ns0:v>0</ns0:v>
      </ns0:c>
      <ns0:c r="R685">
        <ns0:f>IF(AND(L685=1,O685*Calculations!$B$2&lt;=Calculations!$B$11*Calculations!$B$4),1,0)</ns0:f>
        <ns0:v>0</ns0:v>
      </ns0:c>
    </ns0:row>
    <ns0:row r="686">
      <ns0:c r="A686" t="inlineStr">
        <ns0:is>
          <ns0:t>case_0685</ns0:t>
        </ns0:is>
      </ns0:c>
      <ns0:c r="B686" t="inlineStr">
        <ns0:is>
          <ns0:t>function_0119</ns0:t>
        </ns0:is>
      </ns0:c>
      <ns0:c r="C686" t="inlineStr">
        <ns0:is>
          <ns0:t>run_007</ns0:t>
        </ns0:is>
      </ns0:c>
      <ns0:c r="D686" t="inlineStr">
        <ns0:is>
          <ns0:t>humantime</ns0:t>
        </ns0:is>
      </ns0:c>
      <ns0:c r="E686" t="inlineStr">
        <ns0:is>
          <ns0:t>gpt-4.1-nano</ns0:t>
        </ns0:is>
      </ns0:c>
      <ns0:c r="F686" t="inlineStr">
        <ns0:is>
          <ns0:t>E0432,E0433</ns0:t>
        </ns0:is>
      </ns0:c>
      <ns0:c r="G686" t="n">
        <ns0:v>0</ns0:v>
      </ns0:c>
      <ns0:c r="H686" t="n">
        <ns0:v>10473</ns0:v>
      </ns0:c>
      <ns0:c r="I686" t="n">
        <ns0:v>611</ns0:v>
      </ns0:c>
      <ns0:c r="J686" t="n">
        <ns0:v>11084</ns0:v>
      </ns0:c>
      <ns0:c r="K686" t="n">
        <ns0:v>3</ns0:v>
      </ns0:c>
      <ns0:c r="L686" t="n">
        <ns0:v>1</ns0:v>
      </ns0:c>
      <ns0:c r="M686" t="n">
        <ns0:v>87470</ns0:v>
      </ns0:c>
      <ns0:c r="N686" t="n">
        <ns0:v>1098</ns0:v>
      </ns0:c>
      <ns0:c r="O686" t="n">
        <ns0:v>88568</ns0:v>
      </ns0:c>
      <ns0:c r="P686" t="n">
        <ns0:v>11</ns0:v>
      </ns0:c>
      <ns0:c r="Q686">
        <ns0:f>IF(AND(L686=1,O686*Calculations!$B$2&lt;=Calculations!$B$10*Calculations!$B$4),1,0)</ns0:f>
        <ns0:v>0</ns0:v>
      </ns0:c>
      <ns0:c r="R686">
        <ns0:f>IF(AND(L686=1,O686*Calculations!$B$2&lt;=Calculations!$B$11*Calculations!$B$4),1,0)</ns0:f>
        <ns0:v>0</ns0:v>
      </ns0:c>
    </ns0:row>
    <ns0:row r="687">
      <ns0:c r="A687" t="inlineStr">
        <ns0:is>
          <ns0:t>case_0686</ns0:t>
        </ns0:is>
      </ns0:c>
      <ns0:c r="B687" t="inlineStr">
        <ns0:is>
          <ns0:t>function_0119</ns0:t>
        </ns0:is>
      </ns0:c>
      <ns0:c r="C687" t="inlineStr">
        <ns0:is>
          <ns0:t>run_007</ns0:t>
        </ns0:is>
      </ns0:c>
      <ns0:c r="D687" t="inlineStr">
        <ns0:is>
          <ns0:t>humantime</ns0:t>
        </ns0:is>
      </ns0:c>
      <ns0:c r="E687" t="inlineStr">
        <ns0:is>
          <ns0:t>gpt-4.1-nano</ns0:t>
        </ns0:is>
      </ns0:c>
      <ns0:c r="F687" t="inlineStr">
        <ns0:is>
          <ns0:t>E0261,E0433</ns0:t>
        </ns0:is>
      </ns0:c>
      <ns0:c r="G687" t="n">
        <ns0:v>1</ns0:v>
      </ns0:c>
      <ns0:c r="H687" t="n">
        <ns0:v>4816</ns0:v>
      </ns0:c>
      <ns0:c r="I687" t="n">
        <ns0:v>870</ns0:v>
      </ns0:c>
      <ns0:c r="J687" t="n">
        <ns0:v>5686</ns0:v>
      </ns0:c>
      <ns0:c r="K687" t="n">
        <ns0:v>1</ns0:v>
      </ns0:c>
      <ns0:c r="L687" t="n">
        <ns0:v>0</ns0:v>
      </ns0:c>
      <ns0:c r="M687" t="n">
        <ns0:v>101019</ns0:v>
      </ns0:c>
      <ns0:c r="N687" t="n">
        <ns0:v>1458</ns0:v>
      </ns0:c>
      <ns0:c r="O687" t="n">
        <ns0:v>102477</ns0:v>
      </ns0:c>
      <ns0:c r="P687" t="n">
        <ns0:v>10</ns0:v>
      </ns0:c>
      <ns0:c r="Q687">
        <ns0:f>IF(AND(L687=1,O687*Calculations!$B$2&lt;=Calculations!$B$10*Calculations!$B$4),1,0)</ns0:f>
        <ns0:v>0</ns0:v>
      </ns0:c>
      <ns0:c r="R687">
        <ns0:f>IF(AND(L687=1,O687*Calculations!$B$2&lt;=Calculations!$B$11*Calculations!$B$4),1,0)</ns0:f>
        <ns0:v>0</ns0:v>
      </ns0:c>
    </ns0:row>
    <ns0:row r="688">
      <ns0:c r="A688" t="inlineStr">
        <ns0:is>
          <ns0:t>case_0687</ns0:t>
        </ns0:is>
      </ns0:c>
      <ns0:c r="B688" t="inlineStr">
        <ns0:is>
          <ns0:t>function_0119</ns0:t>
        </ns0:is>
      </ns0:c>
      <ns0:c r="C688" t="inlineStr">
        <ns0:is>
          <ns0:t>run_007</ns0:t>
        </ns0:is>
      </ns0:c>
      <ns0:c r="D688" t="inlineStr">
        <ns0:is>
          <ns0:t>humantime</ns0:t>
        </ns0:is>
      </ns0:c>
      <ns0:c r="E688" t="inlineStr">
        <ns0:is>
          <ns0:t>gpt-4.1-nano</ns0:t>
        </ns0:is>
      </ns0:c>
      <ns0:c r="F688" t="inlineStr">
        <ns0:is>
          <ns0:t>E0432,E0560</ns0:t>
        </ns0:is>
      </ns0:c>
      <ns0:c r="G688" t="n">
        <ns0:v>0</ns0:v>
      </ns0:c>
      <ns0:c r="H688" t="n">
        <ns0:v>6217</ns0:v>
      </ns0:c>
      <ns0:c r="I688" t="n">
        <ns0:v>395</ns0:v>
      </ns0:c>
      <ns0:c r="J688" t="n">
        <ns0:v>6612</ns0:v>
      </ns0:c>
      <ns0:c r="K688" t="n">
        <ns0:v>3</ns0:v>
      </ns0:c>
      <ns0:c r="L688" t="n">
        <ns0:v>1</ns0:v>
      </ns0:c>
      <ns0:c r="M688" t="n">
        <ns0:v>104627</ns0:v>
      </ns0:c>
      <ns0:c r="N688" t="n">
        <ns0:v>492</ns0:v>
      </ns0:c>
      <ns0:c r="O688" t="n">
        <ns0:v>105119</ns0:v>
      </ns0:c>
      <ns0:c r="P688" t="n">
        <ns0:v>9</ns0:v>
      </ns0:c>
      <ns0:c r="Q688">
        <ns0:f>IF(AND(L688=1,O688*Calculations!$B$2&lt;=Calculations!$B$10*Calculations!$B$4),1,0)</ns0:f>
        <ns0:v>0</ns0:v>
      </ns0:c>
      <ns0:c r="R688">
        <ns0:f>IF(AND(L688=1,O688*Calculations!$B$2&lt;=Calculations!$B$11*Calculations!$B$4),1,0)</ns0:f>
        <ns0:v>0</ns0:v>
      </ns0:c>
    </ns0:row>
    <ns0:row r="689">
      <ns0:c r="A689" t="inlineStr">
        <ns0:is>
          <ns0:t>case_0688</ns0:t>
        </ns0:is>
      </ns0:c>
      <ns0:c r="B689" t="inlineStr">
        <ns0:is>
          <ns0:t>function_0119</ns0:t>
        </ns0:is>
      </ns0:c>
      <ns0:c r="C689" t="inlineStr">
        <ns0:is>
          <ns0:t>run_007</ns0:t>
        </ns0:is>
      </ns0:c>
      <ns0:c r="D689" t="inlineStr">
        <ns0:is>
          <ns0:t>humantime</ns0:t>
        </ns0:is>
      </ns0:c>
      <ns0:c r="E689" t="inlineStr">
        <ns0:is>
          <ns0:t>gpt-4.1-nano</ns0:t>
        </ns0:is>
      </ns0:c>
      <ns0:c r="F689" t="inlineStr">
        <ns0:is>
          <ns0:t>E0433</ns0:t>
        </ns0:is>
      </ns0:c>
      <ns0:c r="G689" t="n">
        <ns0:v>1</ns0:v>
      </ns0:c>
      <ns0:c r="H689" t="n">
        <ns0:v>2515</ns0:v>
      </ns0:c>
      <ns0:c r="I689" t="n">
        <ns0:v>130</ns0:v>
      </ns0:c>
      <ns0:c r="J689" t="n">
        <ns0:v>2645</ns0:v>
      </ns0:c>
      <ns0:c r="K689" t="n">
        <ns0:v>1</ns0:v>
      </ns0:c>
      <ns0:c r="L689" t="n">
        <ns0:v>1</ns0:v>
      </ns0:c>
      <ns0:c r="M689" t="n">
        <ns0:v>93981</ns0:v>
      </ns0:c>
      <ns0:c r="N689" t="n">
        <ns0:v>1376</ns0:v>
      </ns0:c>
      <ns0:c r="O689" t="n">
        <ns0:v>95357</ns0:v>
      </ns0:c>
      <ns0:c r="P689" t="n">
        <ns0:v>9</ns0:v>
      </ns0:c>
      <ns0:c r="Q689">
        <ns0:f>IF(AND(L689=1,O689*Calculations!$B$2&lt;=Calculations!$B$10*Calculations!$B$4),1,0)</ns0:f>
        <ns0:v>0</ns0:v>
      </ns0:c>
      <ns0:c r="R689">
        <ns0:f>IF(AND(L689=1,O689*Calculations!$B$2&lt;=Calculations!$B$11*Calculations!$B$4),1,0)</ns0:f>
        <ns0:v>0</ns0:v>
      </ns0:c>
    </ns0:row>
    <ns0:row r="690">
      <ns0:c r="A690" t="inlineStr">
        <ns0:is>
          <ns0:t>case_0689</ns0:t>
        </ns0:is>
      </ns0:c>
      <ns0:c r="B690" t="inlineStr">
        <ns0:is>
          <ns0:t>function_0119</ns0:t>
        </ns0:is>
      </ns0:c>
      <ns0:c r="C690" t="inlineStr">
        <ns0:is>
          <ns0:t>run_007</ns0:t>
        </ns0:is>
      </ns0:c>
      <ns0:c r="D690" t="inlineStr">
        <ns0:is>
          <ns0:t>humantime</ns0:t>
        </ns0:is>
      </ns0:c>
      <ns0:c r="E690" t="inlineStr">
        <ns0:is>
          <ns0:t>gpt-4.1-nano</ns0:t>
        </ns0:is>
      </ns0:c>
      <ns0:c r="F690" t="inlineStr">
        <ns0:is>
          <ns0:t>E0063,E0308,E0432</ns0:t>
        </ns0:is>
      </ns0:c>
      <ns0:c r="G690" t="n">
        <ns0:v>0</ns0:v>
      </ns0:c>
      <ns0:c r="H690" t="n">
        <ns0:v>6251</ns0:v>
      </ns0:c>
      <ns0:c r="I690" t="n">
        <ns0:v>393</ns0:v>
      </ns0:c>
      <ns0:c r="J690" t="n">
        <ns0:v>6644</ns0:v>
      </ns0:c>
      <ns0:c r="K690" t="n">
        <ns0:v>3</ns0:v>
      </ns0:c>
      <ns0:c r="L690" t="n">
        <ns0:v>1</ns0:v>
      </ns0:c>
      <ns0:c r="M690" t="n">
        <ns0:v>36724</ns0:v>
      </ns0:c>
      <ns0:c r="N690" t="n">
        <ns0:v>766</ns0:v>
      </ns0:c>
      <ns0:c r="O690" t="n">
        <ns0:v>37490</ns0:v>
      </ns0:c>
      <ns0:c r="P690" t="n">
        <ns0:v>5</ns0:v>
      </ns0:c>
      <ns0:c r="Q690">
        <ns0:f>IF(AND(L690=1,O690*Calculations!$B$2&lt;=Calculations!$B$10*Calculations!$B$4),1,0)</ns0:f>
        <ns0:v>0</ns0:v>
      </ns0:c>
      <ns0:c r="R690">
        <ns0:f>IF(AND(L690=1,O690*Calculations!$B$2&lt;=Calculations!$B$11*Calculations!$B$4),1,0)</ns0:f>
        <ns0:v>1</ns0:v>
      </ns0:c>
    </ns0:row>
    <ns0:row r="691">
      <ns0:c r="A691" t="inlineStr">
        <ns0:is>
          <ns0:t>case_0690</ns0:t>
        </ns0:is>
      </ns0:c>
      <ns0:c r="B691" t="inlineStr">
        <ns0:is>
          <ns0:t>function_0120</ns0:t>
        </ns0:is>
      </ns0:c>
      <ns0:c r="C691" t="inlineStr">
        <ns0:is>
          <ns0:t>run_007</ns0:t>
        </ns0:is>
      </ns0:c>
      <ns0:c r="D691" t="inlineStr">
        <ns0:is>
          <ns0:t>humantime</ns0:t>
        </ns0:is>
      </ns0:c>
      <ns0:c r="E691" t="inlineStr">
        <ns0:is>
          <ns0:t>gpt-4.1-nano</ns0:t>
        </ns0:is>
      </ns0:c>
      <ns0:c r="F691" t="inlineStr">
        <ns0:is>
          <ns0:t>E0658</ns0:t>
        </ns0:is>
      </ns0:c>
      <ns0:c r="G691" t="n">
        <ns0:v>0</ns0:v>
      </ns0:c>
      <ns0:c r="H691" t="n">
        <ns0:v>2313</ns0:v>
      </ns0:c>
      <ns0:c r="I691" t="n">
        <ns0:v>396</ns0:v>
      </ns0:c>
      <ns0:c r="J691" t="n">
        <ns0:v>2709</ns0:v>
      </ns0:c>
      <ns0:c r="K691" t="n">
        <ns0:v>3</ns0:v>
      </ns0:c>
      <ns0:c r="L691" t="n">
        <ns0:v>0</ns0:v>
      </ns0:c>
      <ns0:c r="M691" t="n">
        <ns0:v>364568</ns0:v>
      </ns0:c>
      <ns0:c r="N691" t="n">
        <ns0:v>5731</ns0:v>
      </ns0:c>
      <ns0:c r="O691" t="n">
        <ns0:v>370299</ns0:v>
      </ns0:c>
      <ns0:c r="P691" t="n">
        <ns0:v>20</ns0:v>
      </ns0:c>
      <ns0:c r="Q691">
        <ns0:f>IF(AND(L691=1,O691*Calculations!$B$2&lt;=Calculations!$B$10*Calculations!$B$4),1,0)</ns0:f>
        <ns0:v>0</ns0:v>
      </ns0:c>
      <ns0:c r="R691">
        <ns0:f>IF(AND(L691=1,O691*Calculations!$B$2&lt;=Calculations!$B$11*Calculations!$B$4),1,0)</ns0:f>
        <ns0:v>0</ns0:v>
      </ns0:c>
    </ns0:row>
    <ns0:row r="692">
      <ns0:c r="A692" t="inlineStr">
        <ns0:is>
          <ns0:t>case_0691</ns0:t>
        </ns0:is>
      </ns0:c>
      <ns0:c r="B692" t="inlineStr">
        <ns0:is>
          <ns0:t>function_0120</ns0:t>
        </ns0:is>
      </ns0:c>
      <ns0:c r="C692" t="inlineStr">
        <ns0:is>
          <ns0:t>run_007</ns0:t>
        </ns0:is>
      </ns0:c>
      <ns0:c r="D692" t="inlineStr">
        <ns0:is>
          <ns0:t>humantime</ns0:t>
        </ns0:is>
      </ns0:c>
      <ns0:c r="E692" t="inlineStr">
        <ns0:is>
          <ns0:t>gpt-4.1-nano</ns0:t>
        </ns0:is>
      </ns0:c>
      <ns0:c r="F692" t="inlineStr">
        <ns0:is>
          <ns0:t>E0404</ns0:t>
        </ns0:is>
      </ns0:c>
      <ns0:c r="G692" t="n">
        <ns0:v>1</ns0:v>
      </ns0:c>
      <ns0:c r="H692" t="n">
        <ns0:v>3674</ns0:v>
      </ns0:c>
      <ns0:c r="I692" t="n">
        <ns0:v>2611</ns0:v>
      </ns0:c>
      <ns0:c r="J692" t="n">
        <ns0:v>6285</ns0:v>
      </ns0:c>
      <ns0:c r="K692" t="n">
        <ns0:v>2</ns0:v>
      </ns0:c>
      <ns0:c r="L692" t="n">
        <ns0:v>0</ns0:v>
      </ns0:c>
      <ns0:c r="M692" t="n">
        <ns0:v>220767</ns0:v>
      </ns0:c>
      <ns0:c r="N692" t="n">
        <ns0:v>8330</ns0:v>
      </ns0:c>
      <ns0:c r="O692" t="n">
        <ns0:v>229097</ns0:v>
      </ns0:c>
      <ns0:c r="P692" t="n">
        <ns0:v>20</ns0:v>
      </ns0:c>
      <ns0:c r="Q692">
        <ns0:f>IF(AND(L692=1,O692*Calculations!$B$2&lt;=Calculations!$B$10*Calculations!$B$4),1,0)</ns0:f>
        <ns0:v>0</ns0:v>
      </ns0:c>
      <ns0:c r="R692">
        <ns0:f>IF(AND(L692=1,O692*Calculations!$B$2&lt;=Calculations!$B$11*Calculations!$B$4),1,0)</ns0:f>
        <ns0:v>0</ns0:v>
      </ns0:c>
    </ns0:row>
    <ns0:row r="693">
      <ns0:c r="A693" t="inlineStr">
        <ns0:is>
          <ns0:t>case_0692</ns0:t>
        </ns0:is>
      </ns0:c>
      <ns0:c r="B693" t="inlineStr">
        <ns0:is>
          <ns0:t>function_0120</ns0:t>
        </ns0:is>
      </ns0:c>
      <ns0:c r="C693" t="inlineStr">
        <ns0:is>
          <ns0:t>run_007</ns0:t>
        </ns0:is>
      </ns0:c>
      <ns0:c r="D693" t="inlineStr">
        <ns0:is>
          <ns0:t>humantime</ns0:t>
        </ns0:is>
      </ns0:c>
      <ns0:c r="E693" t="inlineStr">
        <ns0:is>
          <ns0:t>gpt-4.1-nano</ns0:t>
        </ns0:is>
      </ns0:c>
      <ns0:c r="F693" t="inlineStr">
        <ns0:is>
          <ns0:t>E0658</ns0:t>
        </ns0:is>
      </ns0:c>
      <ns0:c r="G693" t="n">
        <ns0:v>0</ns0:v>
      </ns0:c>
      <ns0:c r="H693" t="n">
        <ns0:v>2241</ns0:v>
      </ns0:c>
      <ns0:c r="I693" t="n">
        <ns0:v>319</ns0:v>
      </ns0:c>
      <ns0:c r="J693" t="n">
        <ns0:v>2560</ns0:v>
      </ns0:c>
      <ns0:c r="K693" t="n">
        <ns0:v>3</ns0:v>
      </ns0:c>
      <ns0:c r="L693" t="n">
        <ns0:v>0</ns0:v>
      </ns0:c>
      <ns0:c r="M693" t="n">
        <ns0:v>65736</ns0:v>
      </ns0:c>
      <ns0:c r="N693" t="n">
        <ns0:v>1826</ns0:v>
      </ns0:c>
      <ns0:c r="O693" t="n">
        <ns0:v>67562</ns0:v>
      </ns0:c>
      <ns0:c r="P693" t="n">
        <ns0:v>5</ns0:v>
      </ns0:c>
      <ns0:c r="Q693">
        <ns0:f>IF(AND(L693=1,O693*Calculations!$B$2&lt;=Calculations!$B$10*Calculations!$B$4),1,0)</ns0:f>
        <ns0:v>0</ns0:v>
      </ns0:c>
      <ns0:c r="R693">
        <ns0:f>IF(AND(L693=1,O693*Calculations!$B$2&lt;=Calculations!$B$11*Calculations!$B$4),1,0)</ns0:f>
        <ns0:v>0</ns0:v>
      </ns0:c>
    </ns0:row>
    <ns0:row r="694">
      <ns0:c r="A694" t="inlineStr">
        <ns0:is>
          <ns0:t>case_0693</ns0:t>
        </ns0:is>
      </ns0:c>
      <ns0:c r="B694" t="inlineStr">
        <ns0:is>
          <ns0:t>function_0120</ns0:t>
        </ns0:is>
      </ns0:c>
      <ns0:c r="C694" t="inlineStr">
        <ns0:is>
          <ns0:t>run_007</ns0:t>
        </ns0:is>
      </ns0:c>
      <ns0:c r="D694" t="inlineStr">
        <ns0:is>
          <ns0:t>humantime</ns0:t>
        </ns0:is>
      </ns0:c>
      <ns0:c r="E694" t="inlineStr">
        <ns0:is>
          <ns0:t>gpt-4.1-nano</ns0:t>
        </ns0:is>
      </ns0:c>
      <ns0:c r="F694" t="inlineStr">
        <ns0:is>
          <ns0:t>E0061,E0433,E0658</ns0:t>
        </ns0:is>
      </ns0:c>
      <ns0:c r="G694" t="n">
        <ns0:v>0</ns0:v>
      </ns0:c>
      <ns0:c r="H694" t="n">
        <ns0:v>2817</ns0:v>
      </ns0:c>
      <ns0:c r="I694" t="n">
        <ns0:v>693</ns0:v>
      </ns0:c>
      <ns0:c r="J694" t="n">
        <ns0:v>3510</ns0:v>
      </ns0:c>
      <ns0:c r="K694" t="n">
        <ns0:v>3</ns0:v>
      </ns0:c>
      <ns0:c r="L694" t="n">
        <ns0:v>0</ns0:v>
      </ns0:c>
      <ns0:c r="M694" t="n">
        <ns0:v>192865</ns0:v>
      </ns0:c>
      <ns0:c r="N694" t="n">
        <ns0:v>6020</ns0:v>
      </ns0:c>
      <ns0:c r="O694" t="n">
        <ns0:v>198885</ns0:v>
      </ns0:c>
      <ns0:c r="P694" t="n">
        <ns0:v>20</ns0:v>
      </ns0:c>
      <ns0:c r="Q694">
        <ns0:f>IF(AND(L694=1,O694*Calculations!$B$2&lt;=Calculations!$B$10*Calculations!$B$4),1,0)</ns0:f>
        <ns0:v>0</ns0:v>
      </ns0:c>
      <ns0:c r="R694">
        <ns0:f>IF(AND(L694=1,O694*Calculations!$B$2&lt;=Calculations!$B$11*Calculations!$B$4),1,0)</ns0:f>
        <ns0:v>0</ns0:v>
      </ns0:c>
    </ns0:row>
    <ns0:row r="695">
      <ns0:c r="A695" t="inlineStr">
        <ns0:is>
          <ns0:t>case_0694</ns0:t>
        </ns0:is>
      </ns0:c>
      <ns0:c r="B695" t="inlineStr">
        <ns0:is>
          <ns0:t>function_0120</ns0:t>
        </ns0:is>
      </ns0:c>
      <ns0:c r="C695" t="inlineStr">
        <ns0:is>
          <ns0:t>run_007</ns0:t>
        </ns0:is>
      </ns0:c>
      <ns0:c r="D695" t="inlineStr">
        <ns0:is>
          <ns0:t>humantime</ns0:t>
        </ns0:is>
      </ns0:c>
      <ns0:c r="E695" t="inlineStr">
        <ns0:is>
          <ns0:t>gpt-4.1-nano</ns0:t>
        </ns0:is>
      </ns0:c>
      <ns0:c r="F695" t="inlineStr">
        <ns0:is>
          <ns0:t>E0433,E0599</ns0:t>
        </ns0:is>
      </ns0:c>
      <ns0:c r="G695" t="n">
        <ns0:v>1</ns0:v>
      </ns0:c>
      <ns0:c r="H695" t="n">
        <ns0:v>0</ns0:v>
      </ns0:c>
      <ns0:c r="I695" t="n">
        <ns0:v>0</ns0:v>
      </ns0:c>
      <ns0:c r="J695" t="n">
        <ns0:v>0</ns0:v>
      </ns0:c>
      <ns0:c r="K695" t="n">
        <ns0:v>0</ns0:v>
      </ns0:c>
      <ns0:c r="L695" t="n">
        <ns0:v>0</ns0:v>
      </ns0:c>
      <ns0:c r="M695" t="n">
        <ns0:v>14876</ns0:v>
      </ns0:c>
      <ns0:c r="N695" t="n">
        <ns0:v>386</ns0:v>
      </ns0:c>
      <ns0:c r="O695" t="n">
        <ns0:v>15262</ns0:v>
      </ns0:c>
      <ns0:c r="P695" t="n">
        <ns0:v>2</ns0:v>
      </ns0:c>
      <ns0:c r="Q695">
        <ns0:f>IF(AND(L695=1,O695*Calculations!$B$2&lt;=Calculations!$B$10*Calculations!$B$4),1,0)</ns0:f>
        <ns0:v>0</ns0:v>
      </ns0:c>
      <ns0:c r="R695">
        <ns0:f>IF(AND(L695=1,O695*Calculations!$B$2&lt;=Calculations!$B$11*Calculations!$B$4),1,0)</ns0:f>
        <ns0:v>0</ns0:v>
      </ns0:c>
    </ns0:row>
    <ns0:row r="696">
      <ns0:c r="A696" t="inlineStr">
        <ns0:is>
          <ns0:t>case_0695</ns0:t>
        </ns0:is>
      </ns0:c>
      <ns0:c r="B696" t="inlineStr">
        <ns0:is>
          <ns0:t>function_0120</ns0:t>
        </ns0:is>
      </ns0:c>
      <ns0:c r="C696" t="inlineStr">
        <ns0:is>
          <ns0:t>run_007</ns0:t>
        </ns0:is>
      </ns0:c>
      <ns0:c r="D696" t="inlineStr">
        <ns0:is>
          <ns0:t>humantime</ns0:t>
        </ns0:is>
      </ns0:c>
      <ns0:c r="E696" t="inlineStr">
        <ns0:is>
          <ns0:t>gpt-4.1-nano</ns0:t>
        </ns0:is>
      </ns0:c>
      <ns0:c r="F696" t="inlineStr">
        <ns0:is>
          <ns0:t>E0061,E0433,E0658</ns0:t>
        </ns0:is>
      </ns0:c>
      <ns0:c r="G696" t="n">
        <ns0:v>0</ns0:v>
      </ns0:c>
      <ns0:c r="H696" t="n">
        <ns0:v>2229</ns0:v>
      </ns0:c>
      <ns0:c r="I696" t="n">
        <ns0:v>305</ns0:v>
      </ns0:c>
      <ns0:c r="J696" t="n">
        <ns0:v>2534</ns0:v>
      </ns0:c>
      <ns0:c r="K696" t="n">
        <ns0:v>3</ns0:v>
      </ns0:c>
      <ns0:c r="L696" t="n">
        <ns0:v>1</ns0:v>
      </ns0:c>
      <ns0:c r="M696" t="n">
        <ns0:v>51868</ns0:v>
      </ns0:c>
      <ns0:c r="N696" t="n">
        <ns0:v>5746</ns0:v>
      </ns0:c>
      <ns0:c r="O696" t="n">
        <ns0:v>57614</ns0:v>
      </ns0:c>
      <ns0:c r="P696" t="n">
        <ns0:v>4</ns0:v>
      </ns0:c>
      <ns0:c r="Q696">
        <ns0:f>IF(AND(L696=1,O696*Calculations!$B$2&lt;=Calculations!$B$10*Calculations!$B$4),1,0)</ns0:f>
        <ns0:v>0</ns0:v>
      </ns0:c>
      <ns0:c r="R696">
        <ns0:f>IF(AND(L696=1,O696*Calculations!$B$2&lt;=Calculations!$B$11*Calculations!$B$4),1,0)</ns0:f>
        <ns0:v>0</ns0:v>
      </ns0:c>
    </ns0:row>
    <ns0:row r="697">
      <ns0:c r="A697" t="inlineStr">
        <ns0:is>
          <ns0:t>case_0696</ns0:t>
        </ns0:is>
      </ns0:c>
      <ns0:c r="B697" t="inlineStr">
        <ns0:is>
          <ns0:t>function_0121</ns0:t>
        </ns0:is>
      </ns0:c>
      <ns0:c r="C697" t="inlineStr">
        <ns0:is>
          <ns0:t>run_007</ns0:t>
        </ns0:is>
      </ns0:c>
      <ns0:c r="D697" t="inlineStr">
        <ns0:is>
          <ns0:t>humantime</ns0:t>
        </ns0:is>
      </ns0:c>
      <ns0:c r="E697" t="inlineStr">
        <ns0:is>
          <ns0:t>gpt-4.1-nano</ns0:t>
        </ns0:is>
      </ns0:c>
      <ns0:c r="F697" t="inlineStr">
        <ns0:is>
          <ns0:t>E0658</ns0:t>
        </ns0:is>
      </ns0:c>
      <ns0:c r="G697" t="n">
        <ns0:v>0</ns0:v>
      </ns0:c>
      <ns0:c r="H697" t="n">
        <ns0:v>2202</ns0:v>
      </ns0:c>
      <ns0:c r="I697" t="n">
        <ns0:v>310</ns0:v>
      </ns0:c>
      <ns0:c r="J697" t="n">
        <ns0:v>2512</ns0:v>
      </ns0:c>
      <ns0:c r="K697" t="n">
        <ns0:v>3</ns0:v>
      </ns0:c>
      <ns0:c r="L697" t="n">
        <ns0:v>0</ns0:v>
      </ns0:c>
      <ns0:c r="M697" t="n">
        <ns0:v>432039</ns0:v>
      </ns0:c>
      <ns0:c r="N697" t="n">
        <ns0:v>15239</ns0:v>
      </ns0:c>
      <ns0:c r="O697" t="n">
        <ns0:v>447278</ns0:v>
      </ns0:c>
      <ns0:c r="P697" t="n">
        <ns0:v>20</ns0:v>
      </ns0:c>
      <ns0:c r="Q697">
        <ns0:f>IF(AND(L697=1,O697*Calculations!$B$2&lt;=Calculations!$B$10*Calculations!$B$4),1,0)</ns0:f>
        <ns0:v>0</ns0:v>
      </ns0:c>
      <ns0:c r="R697">
        <ns0:f>IF(AND(L697=1,O697*Calculations!$B$2&lt;=Calculations!$B$11*Calculations!$B$4),1,0)</ns0:f>
        <ns0:v>0</ns0:v>
      </ns0:c>
    </ns0:row>
    <ns0:row r="698">
      <ns0:c r="A698" t="inlineStr">
        <ns0:is>
          <ns0:t>case_0697</ns0:t>
        </ns0:is>
      </ns0:c>
      <ns0:c r="B698" t="inlineStr">
        <ns0:is>
          <ns0:t>function_0121</ns0:t>
        </ns0:is>
      </ns0:c>
      <ns0:c r="C698" t="inlineStr">
        <ns0:is>
          <ns0:t>run_007</ns0:t>
        </ns0:is>
      </ns0:c>
      <ns0:c r="D698" t="inlineStr">
        <ns0:is>
          <ns0:t>humantime</ns0:t>
        </ns0:is>
      </ns0:c>
      <ns0:c r="E698" t="inlineStr">
        <ns0:is>
          <ns0:t>gpt-4.1-nano</ns0:t>
        </ns0:is>
      </ns0:c>
      <ns0:c r="F698" t="inlineStr">
        <ns0:is>
          <ns0:t>E0061,E0658</ns0:t>
        </ns0:is>
      </ns0:c>
      <ns0:c r="G698" t="n">
        <ns0:v>1</ns0:v>
      </ns0:c>
      <ns0:c r="H698" t="n">
        <ns0:v>1743</ns0:v>
      </ns0:c>
      <ns0:c r="I698" t="n">
        <ns0:v>1615</ns0:v>
      </ns0:c>
      <ns0:c r="J698" t="n">
        <ns0:v>3358</ns0:v>
      </ns0:c>
      <ns0:c r="K698" t="n">
        <ns0:v>1</ns0:v>
      </ns0:c>
      <ns0:c r="L698" t="n">
        <ns0:v>1</ns0:v>
      </ns0:c>
      <ns0:c r="M698" t="n">
        <ns0:v>24586</ns0:v>
      </ns0:c>
      <ns0:c r="N698" t="n">
        <ns0:v>587</ns0:v>
      </ns0:c>
      <ns0:c r="O698" t="n">
        <ns0:v>25173</ns0:v>
      </ns0:c>
      <ns0:c r="P698" t="n">
        <ns0:v>3</ns0:v>
      </ns0:c>
      <ns0:c r="Q698">
        <ns0:f>IF(AND(L698=1,O698*Calculations!$B$2&lt;=Calculations!$B$10*Calculations!$B$4),1,0)</ns0:f>
        <ns0:v>0</ns0:v>
      </ns0:c>
      <ns0:c r="R698">
        <ns0:f>IF(AND(L698=1,O698*Calculations!$B$2&lt;=Calculations!$B$11*Calculations!$B$4),1,0)</ns0:f>
        <ns0:v>1</ns0:v>
      </ns0:c>
    </ns0:row>
    <ns0:row r="699">
      <ns0:c r="A699" t="inlineStr">
        <ns0:is>
          <ns0:t>case_0698</ns0:t>
        </ns0:is>
      </ns0:c>
      <ns0:c r="B699" t="inlineStr">
        <ns0:is>
          <ns0:t>function_0121</ns0:t>
        </ns0:is>
      </ns0:c>
      <ns0:c r="C699" t="inlineStr">
        <ns0:is>
          <ns0:t>run_007</ns0:t>
        </ns0:is>
      </ns0:c>
      <ns0:c r="D699" t="inlineStr">
        <ns0:is>
          <ns0:t>humantime</ns0:t>
        </ns0:is>
      </ns0:c>
      <ns0:c r="E699" t="inlineStr">
        <ns0:is>
          <ns0:t>gpt-4.1-nano</ns0:t>
        </ns0:is>
      </ns0:c>
      <ns0:c r="F699" t="inlineStr">
        <ns0:is>
          <ns0:t>E0599</ns0:t>
        </ns0:is>
      </ns0:c>
      <ns0:c r="G699" t="n">
        <ns0:v>1</ns0:v>
      </ns0:c>
      <ns0:c r="H699" t="n">
        <ns0:v>0</ns0:v>
      </ns0:c>
      <ns0:c r="I699" t="n">
        <ns0:v>0</ns0:v>
      </ns0:c>
      <ns0:c r="J699" t="n">
        <ns0:v>0</ns0:v>
      </ns0:c>
      <ns0:c r="K699" t="n">
        <ns0:v>0</ns0:v>
      </ns0:c>
      <ns0:c r="L699" t="n">
        <ns0:v>0</ns0:v>
      </ns0:c>
      <ns0:c r="M699" t="n">
        <ns0:v>365838</ns0:v>
      </ns0:c>
      <ns0:c r="N699" t="n">
        <ns0:v>16070</ns0:v>
      </ns0:c>
      <ns0:c r="O699" t="n">
        <ns0:v>381908</ns0:v>
      </ns0:c>
      <ns0:c r="P699" t="n">
        <ns0:v>20</ns0:v>
      </ns0:c>
      <ns0:c r="Q699">
        <ns0:f>IF(AND(L699=1,O699*Calculations!$B$2&lt;=Calculations!$B$10*Calculations!$B$4),1,0)</ns0:f>
        <ns0:v>0</ns0:v>
      </ns0:c>
      <ns0:c r="R699">
        <ns0:f>IF(AND(L699=1,O699*Calculations!$B$2&lt;=Calculations!$B$11*Calculations!$B$4),1,0)</ns0:f>
        <ns0:v>0</ns0:v>
      </ns0:c>
    </ns0:row>
    <ns0:row r="700">
      <ns0:c r="A700" t="inlineStr">
        <ns0:is>
          <ns0:t>case_0699</ns0:t>
        </ns0:is>
      </ns0:c>
      <ns0:c r="B700" t="inlineStr">
        <ns0:is>
          <ns0:t>function_0121</ns0:t>
        </ns0:is>
      </ns0:c>
      <ns0:c r="C700" t="inlineStr">
        <ns0:is>
          <ns0:t>run_007</ns0:t>
        </ns0:is>
      </ns0:c>
      <ns0:c r="D700" t="inlineStr">
        <ns0:is>
          <ns0:t>humantime</ns0:t>
        </ns0:is>
      </ns0:c>
      <ns0:c r="E700" t="inlineStr">
        <ns0:is>
          <ns0:t>gpt-4.1-nano</ns0:t>
        </ns0:is>
      </ns0:c>
      <ns0:c r="F700" t="inlineStr">
        <ns0:is>
          <ns0:t>E0433,E0658</ns0:t>
        </ns0:is>
      </ns0:c>
      <ns0:c r="G700" t="n">
        <ns0:v>0</ns0:v>
      </ns0:c>
      <ns0:c r="H700" t="n">
        <ns0:v>2382</ns0:v>
      </ns0:c>
      <ns0:c r="I700" t="n">
        <ns0:v>363</ns0:v>
      </ns0:c>
      <ns0:c r="J700" t="n">
        <ns0:v>2745</ns0:v>
      </ns0:c>
      <ns0:c r="K700" t="n">
        <ns0:v>3</ns0:v>
      </ns0:c>
      <ns0:c r="L700" t="n">
        <ns0:v>0</ns0:v>
      </ns0:c>
      <ns0:c r="M700" t="n">
        <ns0:v>220352</ns0:v>
      </ns0:c>
      <ns0:c r="N700" t="n">
        <ns0:v>4089</ns0:v>
      </ns0:c>
      <ns0:c r="O700" t="n">
        <ns0:v>224441</ns0:v>
      </ns0:c>
      <ns0:c r="P700" t="n">
        <ns0:v>20</ns0:v>
      </ns0:c>
      <ns0:c r="Q700">
        <ns0:f>IF(AND(L700=1,O700*Calculations!$B$2&lt;=Calculations!$B$10*Calculations!$B$4),1,0)</ns0:f>
        <ns0:v>0</ns0:v>
      </ns0:c>
      <ns0:c r="R700">
        <ns0:f>IF(AND(L700=1,O700*Calculations!$B$2&lt;=Calculations!$B$11*Calculations!$B$4),1,0)</ns0:f>
        <ns0:v>0</ns0:v>
      </ns0:c>
    </ns0:row>
    <ns0:row r="701">
      <ns0:c r="A701" t="inlineStr">
        <ns0:is>
          <ns0:t>case_0700</ns0:t>
        </ns0:is>
      </ns0:c>
      <ns0:c r="B701" t="inlineStr">
        <ns0:is>
          <ns0:t>function_0121</ns0:t>
        </ns0:is>
      </ns0:c>
      <ns0:c r="C701" t="inlineStr">
        <ns0:is>
          <ns0:t>run_007</ns0:t>
        </ns0:is>
      </ns0:c>
      <ns0:c r="D701" t="inlineStr">
        <ns0:is>
          <ns0:t>humantime</ns0:t>
        </ns0:is>
      </ns0:c>
      <ns0:c r="E701" t="inlineStr">
        <ns0:is>
          <ns0:t>gpt-4.1-nano</ns0:t>
        </ns0:is>
      </ns0:c>
      <ns0:c r="F701" t="inlineStr">
        <ns0:is>
          <ns0:t>E0432,E0658</ns0:t>
        </ns0:is>
      </ns0:c>
      <ns0:c r="G701" t="n">
        <ns0:v>0</ns0:v>
      </ns0:c>
      <ns0:c r="H701" t="n">
        <ns0:v>2459</ns0:v>
      </ns0:c>
      <ns0:c r="I701" t="n">
        <ns0:v>294</ns0:v>
      </ns0:c>
      <ns0:c r="J701" t="n">
        <ns0:v>2753</ns0:v>
      </ns0:c>
      <ns0:c r="K701" t="n">
        <ns0:v>3</ns0:v>
      </ns0:c>
      <ns0:c r="L701" t="n">
        <ns0:v>0</ns0:v>
      </ns0:c>
      <ns0:c r="M701" t="n">
        <ns0:v>45307</ns0:v>
      </ns0:c>
      <ns0:c r="N701" t="n">
        <ns0:v>4362</ns0:v>
      </ns0:c>
      <ns0:c r="O701" t="n">
        <ns0:v>49669</ns0:v>
      </ns0:c>
      <ns0:c r="P701" t="n">
        <ns0:v>6</ns0:v>
      </ns0:c>
      <ns0:c r="Q701">
        <ns0:f>IF(AND(L701=1,O701*Calculations!$B$2&lt;=Calculations!$B$10*Calculations!$B$4),1,0)</ns0:f>
        <ns0:v>0</ns0:v>
      </ns0:c>
      <ns0:c r="R701">
        <ns0:f>IF(AND(L701=1,O701*Calculations!$B$2&lt;=Calculations!$B$11*Calculations!$B$4),1,0)</ns0:f>
        <ns0:v>0</ns0:v>
      </ns0:c>
    </ns0:row>
    <ns0:row r="702">
      <ns0:c r="A702" t="inlineStr">
        <ns0:is>
          <ns0:t>case_0701</ns0:t>
        </ns0:is>
      </ns0:c>
      <ns0:c r="B702" t="inlineStr">
        <ns0:is>
          <ns0:t>function_0121</ns0:t>
        </ns0:is>
      </ns0:c>
      <ns0:c r="C702" t="inlineStr">
        <ns0:is>
          <ns0:t>run_007</ns0:t>
        </ns0:is>
      </ns0:c>
      <ns0:c r="D702" t="inlineStr">
        <ns0:is>
          <ns0:t>humantime</ns0:t>
        </ns0:is>
      </ns0:c>
      <ns0:c r="E702" t="inlineStr">
        <ns0:is>
          <ns0:t>gpt-4.1-nano</ns0:t>
        </ns0:is>
      </ns0:c>
      <ns0:c r="F702" t="inlineStr">
        <ns0:is>
          <ns0:t>E0061,E0433,E0658</ns0:t>
        </ns0:is>
      </ns0:c>
      <ns0:c r="G702" t="n">
        <ns0:v>0</ns0:v>
      </ns0:c>
      <ns0:c r="H702" t="n">
        <ns0:v>2537</ns0:v>
      </ns0:c>
      <ns0:c r="I702" t="n">
        <ns0:v>462</ns0:v>
      </ns0:c>
      <ns0:c r="J702" t="n">
        <ns0:v>2999</ns0:v>
      </ns0:c>
      <ns0:c r="K702" t="n">
        <ns0:v>3</ns0:v>
      </ns0:c>
      <ns0:c r="L702" t="n">
        <ns0:v>0</ns0:v>
      </ns0:c>
      <ns0:c r="M702" t="n">
        <ns0:v>185131</ns0:v>
      </ns0:c>
      <ns0:c r="N702" t="n">
        <ns0:v>4323</ns0:v>
      </ns0:c>
      <ns0:c r="O702" t="n">
        <ns0:v>189454</ns0:v>
      </ns0:c>
      <ns0:c r="P702" t="n">
        <ns0:v>20</ns0:v>
      </ns0:c>
      <ns0:c r="Q702">
        <ns0:f>IF(AND(L702=1,O702*Calculations!$B$2&lt;=Calculations!$B$10*Calculations!$B$4),1,0)</ns0:f>
        <ns0:v>0</ns0:v>
      </ns0:c>
      <ns0:c r="R702">
        <ns0:f>IF(AND(L702=1,O702*Calculations!$B$2&lt;=Calculations!$B$11*Calculations!$B$4),1,0)</ns0:f>
        <ns0:v>0</ns0:v>
      </ns0:c>
    </ns0:row>
    <ns0:row r="703">
      <ns0:c r="A703" t="inlineStr">
        <ns0:is>
          <ns0:t>case_0702</ns0:t>
        </ns0:is>
      </ns0:c>
      <ns0:c r="B703" t="inlineStr">
        <ns0:is>
          <ns0:t>function_0122</ns0:t>
        </ns0:is>
      </ns0:c>
      <ns0:c r="C703" t="inlineStr">
        <ns0:is>
          <ns0:t>run_008</ns0:t>
        </ns0:is>
      </ns0:c>
      <ns0:c r="D703" t="inlineStr">
        <ns0:is>
          <ns0:t>humantime</ns0:t>
        </ns0:is>
      </ns0:c>
      <ns0:c r="E703" t="inlineStr">
        <ns0:is>
          <ns0:t>gpt-4o-mini</ns0:t>
        </ns0:is>
      </ns0:c>
      <ns0:c r="F703" t="inlineStr">
        <ns0:is>
          <ns0:t>E0433</ns0:t>
        </ns0:is>
      </ns0:c>
      <ns0:c r="G703" t="n">
        <ns0:v>1</ns0:v>
      </ns0:c>
      <ns0:c r="H703" t="n">
        <ns0:v>0</ns0:v>
      </ns0:c>
      <ns0:c r="I703" t="n">
        <ns0:v>0</ns0:v>
      </ns0:c>
      <ns0:c r="J703" t="n">
        <ns0:v>0</ns0:v>
      </ns0:c>
      <ns0:c r="K703" t="n">
        <ns0:v>0</ns0:v>
      </ns0:c>
      <ns0:c r="L703" t="n">
        <ns0:v>1</ns0:v>
      </ns0:c>
      <ns0:c r="M703" t="n">
        <ns0:v>68986</ns0:v>
      </ns0:c>
      <ns0:c r="N703" t="n">
        <ns0:v>1784</ns0:v>
      </ns0:c>
      <ns0:c r="O703" t="n">
        <ns0:v>70770</ns0:v>
      </ns0:c>
      <ns0:c r="P703" t="n">
        <ns0:v>9</ns0:v>
      </ns0:c>
      <ns0:c r="Q703">
        <ns0:f>IF(AND(L703=1,O703*Calculations!$B$2&lt;=Calculations!$B$10*Calculations!$B$4),1,0)</ns0:f>
        <ns0:v>0</ns0:v>
      </ns0:c>
      <ns0:c r="R703">
        <ns0:f>IF(AND(L703=1,O703*Calculations!$B$2&lt;=Calculations!$B$11*Calculations!$B$4),1,0)</ns0:f>
        <ns0:v>0</ns0:v>
      </ns0:c>
    </ns0:row>
    <ns0:row r="704">
      <ns0:c r="A704" t="inlineStr">
        <ns0:is>
          <ns0:t>case_0703</ns0:t>
        </ns0:is>
      </ns0:c>
      <ns0:c r="B704" t="inlineStr">
        <ns0:is>
          <ns0:t>function_0122</ns0:t>
        </ns0:is>
      </ns0:c>
      <ns0:c r="C704" t="inlineStr">
        <ns0:is>
          <ns0:t>run_008</ns0:t>
        </ns0:is>
      </ns0:c>
      <ns0:c r="D704" t="inlineStr">
        <ns0:is>
          <ns0:t>humantime</ns0:t>
        </ns0:is>
      </ns0:c>
      <ns0:c r="E704" t="inlineStr">
        <ns0:is>
          <ns0:t>gpt-4o-mini</ns0:t>
        </ns0:is>
      </ns0:c>
      <ns0:c r="F704" t="inlineStr">
        <ns0:is>
          <ns0:t>E0433</ns0:t>
        </ns0:is>
      </ns0:c>
      <ns0:c r="G704" t="n">
        <ns0:v>1</ns0:v>
      </ns0:c>
      <ns0:c r="H704" t="n">
        <ns0:v>0</ns0:v>
      </ns0:c>
      <ns0:c r="I704" t="n">
        <ns0:v>0</ns0:v>
      </ns0:c>
      <ns0:c r="J704" t="n">
        <ns0:v>0</ns0:v>
      </ns0:c>
      <ns0:c r="K704" t="n">
        <ns0:v>0</ns0:v>
      </ns0:c>
      <ns0:c r="L704" t="n">
        <ns0:v>1</ns0:v>
      </ns0:c>
      <ns0:c r="M704" t="n">
        <ns0:v>99622</ns0:v>
      </ns0:c>
      <ns0:c r="N704" t="n">
        <ns0:v>3831</ns0:v>
      </ns0:c>
      <ns0:c r="O704" t="n">
        <ns0:v>103453</ns0:v>
      </ns0:c>
      <ns0:c r="P704" t="n">
        <ns0:v>13</ns0:v>
      </ns0:c>
      <ns0:c r="Q704">
        <ns0:f>IF(AND(L704=1,O704*Calculations!$B$2&lt;=Calculations!$B$10*Calculations!$B$4),1,0)</ns0:f>
        <ns0:v>0</ns0:v>
      </ns0:c>
      <ns0:c r="R704">
        <ns0:f>IF(AND(L704=1,O704*Calculations!$B$2&lt;=Calculations!$B$11*Calculations!$B$4),1,0)</ns0:f>
        <ns0:v>0</ns0:v>
      </ns0:c>
    </ns0:row>
    <ns0:row r="705">
      <ns0:c r="A705" t="inlineStr">
        <ns0:is>
          <ns0:t>case_0704</ns0:t>
        </ns0:is>
      </ns0:c>
      <ns0:c r="B705" t="inlineStr">
        <ns0:is>
          <ns0:t>function_0122</ns0:t>
        </ns0:is>
      </ns0:c>
      <ns0:c r="C705" t="inlineStr">
        <ns0:is>
          <ns0:t>run_008</ns0:t>
        </ns0:is>
      </ns0:c>
      <ns0:c r="D705" t="inlineStr">
        <ns0:is>
          <ns0:t>humantime</ns0:t>
        </ns0:is>
      </ns0:c>
      <ns0:c r="E705" t="inlineStr">
        <ns0:is>
          <ns0:t>gpt-4o-mini</ns0:t>
        </ns0:is>
      </ns0:c>
      <ns0:c r="F705" t="inlineStr">
        <ns0:is>
          <ns0:t>E0433</ns0:t>
        </ns0:is>
      </ns0:c>
      <ns0:c r="G705" t="n">
        <ns0:v>1</ns0:v>
      </ns0:c>
      <ns0:c r="H705" t="n">
        <ns0:v>0</ns0:v>
      </ns0:c>
      <ns0:c r="I705" t="n">
        <ns0:v>0</ns0:v>
      </ns0:c>
      <ns0:c r="J705" t="n">
        <ns0:v>0</ns0:v>
      </ns0:c>
      <ns0:c r="K705" t="n">
        <ns0:v>0</ns0:v>
      </ns0:c>
      <ns0:c r="L705" t="n">
        <ns0:v>1</ns0:v>
      </ns0:c>
      <ns0:c r="M705" t="n">
        <ns0:v>112921</ns0:v>
      </ns0:c>
      <ns0:c r="N705" t="n">
        <ns0:v>2204</ns0:v>
      </ns0:c>
      <ns0:c r="O705" t="n">
        <ns0:v>115125</ns0:v>
      </ns0:c>
      <ns0:c r="P705" t="n">
        <ns0:v>14</ns0:v>
      </ns0:c>
      <ns0:c r="Q705">
        <ns0:f>IF(AND(L705=1,O705*Calculations!$B$2&lt;=Calculations!$B$10*Calculations!$B$4),1,0)</ns0:f>
        <ns0:v>0</ns0:v>
      </ns0:c>
      <ns0:c r="R705">
        <ns0:f>IF(AND(L705=1,O705*Calculations!$B$2&lt;=Calculations!$B$11*Calculations!$B$4),1,0)</ns0:f>
        <ns0:v>0</ns0:v>
      </ns0:c>
    </ns0:row>
    <ns0:row r="706">
      <ns0:c r="A706" t="inlineStr">
        <ns0:is>
          <ns0:t>case_0705</ns0:t>
        </ns0:is>
      </ns0:c>
      <ns0:c r="B706" t="inlineStr">
        <ns0:is>
          <ns0:t>function_0122</ns0:t>
        </ns0:is>
      </ns0:c>
      <ns0:c r="C706" t="inlineStr">
        <ns0:is>
          <ns0:t>run_008</ns0:t>
        </ns0:is>
      </ns0:c>
      <ns0:c r="D706" t="inlineStr">
        <ns0:is>
          <ns0:t>humantime</ns0:t>
        </ns0:is>
      </ns0:c>
      <ns0:c r="E706" t="inlineStr">
        <ns0:is>
          <ns0:t>gpt-4o-mini</ns0:t>
        </ns0:is>
      </ns0:c>
      <ns0:c r="F706" t="inlineStr">
        <ns0:is>
          <ns0:t>E0433</ns0:t>
        </ns0:is>
      </ns0:c>
      <ns0:c r="G706" t="n">
        <ns0:v>1</ns0:v>
      </ns0:c>
      <ns0:c r="H706" t="n">
        <ns0:v>0</ns0:v>
      </ns0:c>
      <ns0:c r="I706" t="n">
        <ns0:v>0</ns0:v>
      </ns0:c>
      <ns0:c r="J706" t="n">
        <ns0:v>0</ns0:v>
      </ns0:c>
      <ns0:c r="K706" t="n">
        <ns0:v>0</ns0:v>
      </ns0:c>
      <ns0:c r="L706" t="n">
        <ns0:v>1</ns0:v>
      </ns0:c>
      <ns0:c r="M706" t="n">
        <ns0:v>21088</ns0:v>
      </ns0:c>
      <ns0:c r="N706" t="n">
        <ns0:v>770</ns0:v>
      </ns0:c>
      <ns0:c r="O706" t="n">
        <ns0:v>21858</ns0:v>
      </ns0:c>
      <ns0:c r="P706" t="n">
        <ns0:v>3</ns0:v>
      </ns0:c>
      <ns0:c r="Q706">
        <ns0:f>IF(AND(L706=1,O706*Calculations!$B$2&lt;=Calculations!$B$10*Calculations!$B$4),1,0)</ns0:f>
        <ns0:v>1</ns0:v>
      </ns0:c>
      <ns0:c r="R706">
        <ns0:f>IF(AND(L706=1,O706*Calculations!$B$2&lt;=Calculations!$B$11*Calculations!$B$4),1,0)</ns0:f>
        <ns0:v>1</ns0:v>
      </ns0:c>
    </ns0:row>
    <ns0:row r="707">
      <ns0:c r="A707" t="inlineStr">
        <ns0:is>
          <ns0:t>case_0706</ns0:t>
        </ns0:is>
      </ns0:c>
      <ns0:c r="B707" t="inlineStr">
        <ns0:is>
          <ns0:t>function_0122</ns0:t>
        </ns0:is>
      </ns0:c>
      <ns0:c r="C707" t="inlineStr">
        <ns0:is>
          <ns0:t>run_008</ns0:t>
        </ns0:is>
      </ns0:c>
      <ns0:c r="D707" t="inlineStr">
        <ns0:is>
          <ns0:t>humantime</ns0:t>
        </ns0:is>
      </ns0:c>
      <ns0:c r="E707" t="inlineStr">
        <ns0:is>
          <ns0:t>gpt-4o-mini</ns0:t>
        </ns0:is>
      </ns0:c>
      <ns0:c r="F707" t="inlineStr">
        <ns0:is>
          <ns0:t>E0433</ns0:t>
        </ns0:is>
      </ns0:c>
      <ns0:c r="G707" t="n">
        <ns0:v>1</ns0:v>
      </ns0:c>
      <ns0:c r="H707" t="n">
        <ns0:v>0</ns0:v>
      </ns0:c>
      <ns0:c r="I707" t="n">
        <ns0:v>0</ns0:v>
      </ns0:c>
      <ns0:c r="J707" t="n">
        <ns0:v>0</ns0:v>
      </ns0:c>
      <ns0:c r="K707" t="n">
        <ns0:v>0</ns0:v>
      </ns0:c>
      <ns0:c r="L707" t="n">
        <ns0:v>1</ns0:v>
      </ns0:c>
      <ns0:c r="M707" t="n">
        <ns0:v>36370</ns0:v>
      </ns0:c>
      <ns0:c r="N707" t="n">
        <ns0:v>893</ns0:v>
      </ns0:c>
      <ns0:c r="O707" t="n">
        <ns0:v>37263</ns0:v>
      </ns0:c>
      <ns0:c r="P707" t="n">
        <ns0:v>5</ns0:v>
      </ns0:c>
      <ns0:c r="Q707">
        <ns0:f>IF(AND(L707=1,O707*Calculations!$B$2&lt;=Calculations!$B$10*Calculations!$B$4),1,0)</ns0:f>
        <ns0:v>0</ns0:v>
      </ns0:c>
      <ns0:c r="R707">
        <ns0:f>IF(AND(L707=1,O707*Calculations!$B$2&lt;=Calculations!$B$11*Calculations!$B$4),1,0)</ns0:f>
        <ns0:v>1</ns0:v>
      </ns0:c>
    </ns0:row>
    <ns0:row r="708">
      <ns0:c r="A708" t="inlineStr">
        <ns0:is>
          <ns0:t>case_0707</ns0:t>
        </ns0:is>
      </ns0:c>
      <ns0:c r="B708" t="inlineStr">
        <ns0:is>
          <ns0:t>function_0122</ns0:t>
        </ns0:is>
      </ns0:c>
      <ns0:c r="C708" t="inlineStr">
        <ns0:is>
          <ns0:t>run_008</ns0:t>
        </ns0:is>
      </ns0:c>
      <ns0:c r="D708" t="inlineStr">
        <ns0:is>
          <ns0:t>humantime</ns0:t>
        </ns0:is>
      </ns0:c>
      <ns0:c r="E708" t="inlineStr">
        <ns0:is>
          <ns0:t>gpt-4o-mini</ns0:t>
        </ns0:is>
      </ns0:c>
      <ns0:c r="F708" t="inlineStr">
        <ns0:is>
          <ns0:t>E0433</ns0:t>
        </ns0:is>
      </ns0:c>
      <ns0:c r="G708" t="n">
        <ns0:v>1</ns0:v>
      </ns0:c>
      <ns0:c r="H708" t="n">
        <ns0:v>0</ns0:v>
      </ns0:c>
      <ns0:c r="I708" t="n">
        <ns0:v>0</ns0:v>
      </ns0:c>
      <ns0:c r="J708" t="n">
        <ns0:v>0</ns0:v>
      </ns0:c>
      <ns0:c r="K708" t="n">
        <ns0:v>0</ns0:v>
      </ns0:c>
      <ns0:c r="L708" t="n">
        <ns0:v>1</ns0:v>
      </ns0:c>
      <ns0:c r="M708" t="n">
        <ns0:v>42950</ns0:v>
      </ns0:c>
      <ns0:c r="N708" t="n">
        <ns0:v>1932</ns0:v>
      </ns0:c>
      <ns0:c r="O708" t="n">
        <ns0:v>44882</ns0:v>
      </ns0:c>
      <ns0:c r="P708" t="n">
        <ns0:v>6</ns0:v>
      </ns0:c>
      <ns0:c r="Q708">
        <ns0:f>IF(AND(L708=1,O708*Calculations!$B$2&lt;=Calculations!$B$10*Calculations!$B$4),1,0)</ns0:f>
        <ns0:v>0</ns0:v>
      </ns0:c>
      <ns0:c r="R708">
        <ns0:f>IF(AND(L708=1,O708*Calculations!$B$2&lt;=Calculations!$B$11*Calculations!$B$4),1,0)</ns0:f>
        <ns0:v>1</ns0:v>
      </ns0:c>
    </ns0:row>
    <ns0:row r="709">
      <ns0:c r="A709" t="inlineStr">
        <ns0:is>
          <ns0:t>case_0708</ns0:t>
        </ns0:is>
      </ns0:c>
      <ns0:c r="B709" t="inlineStr">
        <ns0:is>
          <ns0:t>function_0123</ns0:t>
        </ns0:is>
      </ns0:c>
      <ns0:c r="C709" t="inlineStr">
        <ns0:is>
          <ns0:t>run_008</ns0:t>
        </ns0:is>
      </ns0:c>
      <ns0:c r="D709" t="inlineStr">
        <ns0:is>
          <ns0:t>humantime</ns0:t>
        </ns0:is>
      </ns0:c>
      <ns0:c r="E709" t="inlineStr">
        <ns0:is>
          <ns0:t>gpt-4o-mini</ns0:t>
        </ns0:is>
      </ns0:c>
      <ns0:c r="F709" t="inlineStr">
        <ns0:is>
          <ns0:t>E0433</ns0:t>
        </ns0:is>
      </ns0:c>
      <ns0:c r="G709" t="n">
        <ns0:v>1</ns0:v>
      </ns0:c>
      <ns0:c r="H709" t="n">
        <ns0:v>0</ns0:v>
      </ns0:c>
      <ns0:c r="I709" t="n">
        <ns0:v>0</ns0:v>
      </ns0:c>
      <ns0:c r="J709" t="n">
        <ns0:v>0</ns0:v>
      </ns0:c>
      <ns0:c r="K709" t="n">
        <ns0:v>0</ns0:v>
      </ns0:c>
      <ns0:c r="L709" t="n">
        <ns0:v>1</ns0:v>
      </ns0:c>
      <ns0:c r="M709" t="n">
        <ns0:v>37842</ns0:v>
      </ns0:c>
      <ns0:c r="N709" t="n">
        <ns0:v>807</ns0:v>
      </ns0:c>
      <ns0:c r="O709" t="n">
        <ns0:v>38649</ns0:v>
      </ns0:c>
      <ns0:c r="P709" t="n">
        <ns0:v>5</ns0:v>
      </ns0:c>
      <ns0:c r="Q709">
        <ns0:f>IF(AND(L709=1,O709*Calculations!$B$2&lt;=Calculations!$B$10*Calculations!$B$4),1,0)</ns0:f>
        <ns0:v>0</ns0:v>
      </ns0:c>
      <ns0:c r="R709">
        <ns0:f>IF(AND(L709=1,O709*Calculations!$B$2&lt;=Calculations!$B$11*Calculations!$B$4),1,0)</ns0:f>
        <ns0:v>1</ns0:v>
      </ns0:c>
    </ns0:row>
    <ns0:row r="710">
      <ns0:c r="A710" t="inlineStr">
        <ns0:is>
          <ns0:t>case_0709</ns0:t>
        </ns0:is>
      </ns0:c>
      <ns0:c r="B710" t="inlineStr">
        <ns0:is>
          <ns0:t>function_0123</ns0:t>
        </ns0:is>
      </ns0:c>
      <ns0:c r="C710" t="inlineStr">
        <ns0:is>
          <ns0:t>run_008</ns0:t>
        </ns0:is>
      </ns0:c>
      <ns0:c r="D710" t="inlineStr">
        <ns0:is>
          <ns0:t>humantime</ns0:t>
        </ns0:is>
      </ns0:c>
      <ns0:c r="E710" t="inlineStr">
        <ns0:is>
          <ns0:t>gpt-4o-mini</ns0:t>
        </ns0:is>
      </ns0:c>
      <ns0:c r="F710" t="inlineStr">
        <ns0:is>
          <ns0:t>E0433</ns0:t>
        </ns0:is>
      </ns0:c>
      <ns0:c r="G710" t="n">
        <ns0:v>1</ns0:v>
      </ns0:c>
      <ns0:c r="H710" t="n">
        <ns0:v>0</ns0:v>
      </ns0:c>
      <ns0:c r="I710" t="n">
        <ns0:v>0</ns0:v>
      </ns0:c>
      <ns0:c r="J710" t="n">
        <ns0:v>0</ns0:v>
      </ns0:c>
      <ns0:c r="K710" t="n">
        <ns0:v>0</ns0:v>
      </ns0:c>
      <ns0:c r="L710" t="n">
        <ns0:v>1</ns0:v>
      </ns0:c>
      <ns0:c r="M710" t="n">
        <ns0:v>60285</ns0:v>
      </ns0:c>
      <ns0:c r="N710" t="n">
        <ns0:v>919</ns0:v>
      </ns0:c>
      <ns0:c r="O710" t="n">
        <ns0:v>61204</ns0:v>
      </ns0:c>
      <ns0:c r="P710" t="n">
        <ns0:v>8</ns0:v>
      </ns0:c>
      <ns0:c r="Q710">
        <ns0:f>IF(AND(L710=1,O710*Calculations!$B$2&lt;=Calculations!$B$10*Calculations!$B$4),1,0)</ns0:f>
        <ns0:v>0</ns0:v>
      </ns0:c>
      <ns0:c r="R710">
        <ns0:f>IF(AND(L710=1,O710*Calculations!$B$2&lt;=Calculations!$B$11*Calculations!$B$4),1,0)</ns0:f>
        <ns0:v>0</ns0:v>
      </ns0:c>
    </ns0:row>
    <ns0:row r="711">
      <ns0:c r="A711" t="inlineStr">
        <ns0:is>
          <ns0:t>case_0710</ns0:t>
        </ns0:is>
      </ns0:c>
      <ns0:c r="B711" t="inlineStr">
        <ns0:is>
          <ns0:t>function_0123</ns0:t>
        </ns0:is>
      </ns0:c>
      <ns0:c r="C711" t="inlineStr">
        <ns0:is>
          <ns0:t>run_008</ns0:t>
        </ns0:is>
      </ns0:c>
      <ns0:c r="D711" t="inlineStr">
        <ns0:is>
          <ns0:t>humantime</ns0:t>
        </ns0:is>
      </ns0:c>
      <ns0:c r="E711" t="inlineStr">
        <ns0:is>
          <ns0:t>gpt-4o-mini</ns0:t>
        </ns0:is>
      </ns0:c>
      <ns0:c r="F711" t="inlineStr">
        <ns0:is>
          <ns0:t>E0433,E0599</ns0:t>
        </ns0:is>
      </ns0:c>
      <ns0:c r="G711" t="n">
        <ns0:v>0</ns0:v>
      </ns0:c>
      <ns0:c r="H711" t="n">
        <ns0:v>4094</ns0:v>
      </ns0:c>
      <ns0:c r="I711" t="n">
        <ns0:v>264</ns0:v>
      </ns0:c>
      <ns0:c r="J711" t="n">
        <ns0:v>4358</ns0:v>
      </ns0:c>
      <ns0:c r="K711" t="n">
        <ns0:v>3</ns0:v>
      </ns0:c>
      <ns0:c r="L711" t="n">
        <ns0:v>1</ns0:v>
      </ns0:c>
      <ns0:c r="M711" t="n">
        <ns0:v>56013</ns0:v>
      </ns0:c>
      <ns0:c r="N711" t="n">
        <ns0:v>797</ns0:v>
      </ns0:c>
      <ns0:c r="O711" t="n">
        <ns0:v>56810</ns0:v>
      </ns0:c>
      <ns0:c r="P711" t="n">
        <ns0:v>7</ns0:v>
      </ns0:c>
      <ns0:c r="Q711">
        <ns0:f>IF(AND(L711=1,O711*Calculations!$B$2&lt;=Calculations!$B$10*Calculations!$B$4),1,0)</ns0:f>
        <ns0:v>0</ns0:v>
      </ns0:c>
      <ns0:c r="R711">
        <ns0:f>IF(AND(L711=1,O711*Calculations!$B$2&lt;=Calculations!$B$11*Calculations!$B$4),1,0)</ns0:f>
        <ns0:v>0</ns0:v>
      </ns0:c>
    </ns0:row>
    <ns0:row r="712">
      <ns0:c r="A712" t="inlineStr">
        <ns0:is>
          <ns0:t>case_0711</ns0:t>
        </ns0:is>
      </ns0:c>
      <ns0:c r="B712" t="inlineStr">
        <ns0:is>
          <ns0:t>function_0124</ns0:t>
        </ns0:is>
      </ns0:c>
      <ns0:c r="C712" t="inlineStr">
        <ns0:is>
          <ns0:t>run_008</ns0:t>
        </ns0:is>
      </ns0:c>
      <ns0:c r="D712" t="inlineStr">
        <ns0:is>
          <ns0:t>humantime</ns0:t>
        </ns0:is>
      </ns0:c>
      <ns0:c r="E712" t="inlineStr">
        <ns0:is>
          <ns0:t>gpt-4o-mini</ns0:t>
        </ns0:is>
      </ns0:c>
      <ns0:c r="F712" t="inlineStr">
        <ns0:is>
          <ns0:t>E0433</ns0:t>
        </ns0:is>
      </ns0:c>
      <ns0:c r="G712" t="n">
        <ns0:v>1</ns0:v>
      </ns0:c>
      <ns0:c r="H712" t="n">
        <ns0:v>0</ns0:v>
      </ns0:c>
      <ns0:c r="I712" t="n">
        <ns0:v>0</ns0:v>
      </ns0:c>
      <ns0:c r="J712" t="n">
        <ns0:v>0</ns0:v>
      </ns0:c>
      <ns0:c r="K712" t="n">
        <ns0:v>0</ns0:v>
      </ns0:c>
      <ns0:c r="L712" t="n">
        <ns0:v>1</ns0:v>
      </ns0:c>
      <ns0:c r="M712" t="n">
        <ns0:v>41805</ns0:v>
      </ns0:c>
      <ns0:c r="N712" t="n">
        <ns0:v>897</ns0:v>
      </ns0:c>
      <ns0:c r="O712" t="n">
        <ns0:v>42702</ns0:v>
      </ns0:c>
      <ns0:c r="P712" t="n">
        <ns0:v>5</ns0:v>
      </ns0:c>
      <ns0:c r="Q712">
        <ns0:f>IF(AND(L712=1,O712*Calculations!$B$2&lt;=Calculations!$B$10*Calculations!$B$4),1,0)</ns0:f>
        <ns0:v>0</ns0:v>
      </ns0:c>
      <ns0:c r="R712">
        <ns0:f>IF(AND(L712=1,O712*Calculations!$B$2&lt;=Calculations!$B$11*Calculations!$B$4),1,0)</ns0:f>
        <ns0:v>1</ns0:v>
      </ns0:c>
    </ns0:row>
    <ns0:row r="713">
      <ns0:c r="A713" t="inlineStr">
        <ns0:is>
          <ns0:t>case_0712</ns0:t>
        </ns0:is>
      </ns0:c>
      <ns0:c r="B713" t="inlineStr">
        <ns0:is>
          <ns0:t>function_0124</ns0:t>
        </ns0:is>
      </ns0:c>
      <ns0:c r="C713" t="inlineStr">
        <ns0:is>
          <ns0:t>run_008</ns0:t>
        </ns0:is>
      </ns0:c>
      <ns0:c r="D713" t="inlineStr">
        <ns0:is>
          <ns0:t>humantime</ns0:t>
        </ns0:is>
      </ns0:c>
      <ns0:c r="E713" t="inlineStr">
        <ns0:is>
          <ns0:t>gpt-4o-mini</ns0:t>
        </ns0:is>
      </ns0:c>
      <ns0:c r="F713" t="inlineStr">
        <ns0:is>
          <ns0:t>E0433</ns0:t>
        </ns0:is>
      </ns0:c>
      <ns0:c r="G713" t="n">
        <ns0:v>1</ns0:v>
      </ns0:c>
      <ns0:c r="H713" t="n">
        <ns0:v>0</ns0:v>
      </ns0:c>
      <ns0:c r="I713" t="n">
        <ns0:v>0</ns0:v>
      </ns0:c>
      <ns0:c r="J713" t="n">
        <ns0:v>0</ns0:v>
      </ns0:c>
      <ns0:c r="K713" t="n">
        <ns0:v>0</ns0:v>
      </ns0:c>
      <ns0:c r="L713" t="n">
        <ns0:v>0</ns0:v>
      </ns0:c>
      <ns0:c r="M713" t="n">
        <ns0:v>160250</ns0:v>
      </ns0:c>
      <ns0:c r="N713" t="n">
        <ns0:v>3023</ns0:v>
      </ns0:c>
      <ns0:c r="O713" t="n">
        <ns0:v>163273</ns0:v>
      </ns0:c>
      <ns0:c r="P713" t="n">
        <ns0:v>20</ns0:v>
      </ns0:c>
      <ns0:c r="Q713">
        <ns0:f>IF(AND(L713=1,O713*Calculations!$B$2&lt;=Calculations!$B$10*Calculations!$B$4),1,0)</ns0:f>
        <ns0:v>0</ns0:v>
      </ns0:c>
      <ns0:c r="R713">
        <ns0:f>IF(AND(L713=1,O713*Calculations!$B$2&lt;=Calculations!$B$11*Calculations!$B$4),1,0)</ns0:f>
        <ns0:v>0</ns0:v>
      </ns0:c>
    </ns0:row>
    <ns0:row r="714">
      <ns0:c r="A714" t="inlineStr">
        <ns0:is>
          <ns0:t>case_0713</ns0:t>
        </ns0:is>
      </ns0:c>
      <ns0:c r="B714" t="inlineStr">
        <ns0:is>
          <ns0:t>function_0124</ns0:t>
        </ns0:is>
      </ns0:c>
      <ns0:c r="C714" t="inlineStr">
        <ns0:is>
          <ns0:t>run_008</ns0:t>
        </ns0:is>
      </ns0:c>
      <ns0:c r="D714" t="inlineStr">
        <ns0:is>
          <ns0:t>humantime</ns0:t>
        </ns0:is>
      </ns0:c>
      <ns0:c r="E714" t="inlineStr">
        <ns0:is>
          <ns0:t>gpt-4o-mini</ns0:t>
        </ns0:is>
      </ns0:c>
      <ns0:c r="F714" t="inlineStr">
        <ns0:is>
          <ns0:t>E0433</ns0:t>
        </ns0:is>
      </ns0:c>
      <ns0:c r="G714" t="n">
        <ns0:v>1</ns0:v>
      </ns0:c>
      <ns0:c r="H714" t="n">
        <ns0:v>0</ns0:v>
      </ns0:c>
      <ns0:c r="I714" t="n">
        <ns0:v>0</ns0:v>
      </ns0:c>
      <ns0:c r="J714" t="n">
        <ns0:v>0</ns0:v>
      </ns0:c>
      <ns0:c r="K714" t="n">
        <ns0:v>0</ns0:v>
      </ns0:c>
      <ns0:c r="L714" t="n">
        <ns0:v>1</ns0:v>
      </ns0:c>
      <ns0:c r="M714" t="n">
        <ns0:v>124017</ns0:v>
      </ns0:c>
      <ns0:c r="N714" t="n">
        <ns0:v>3714</ns0:v>
      </ns0:c>
      <ns0:c r="O714" t="n">
        <ns0:v>127731</ns0:v>
      </ns0:c>
      <ns0:c r="P714" t="n">
        <ns0:v>15</ns0:v>
      </ns0:c>
      <ns0:c r="Q714">
        <ns0:f>IF(AND(L714=1,O714*Calculations!$B$2&lt;=Calculations!$B$10*Calculations!$B$4),1,0)</ns0:f>
        <ns0:v>0</ns0:v>
      </ns0:c>
      <ns0:c r="R714">
        <ns0:f>IF(AND(L714=1,O714*Calculations!$B$2&lt;=Calculations!$B$11*Calculations!$B$4),1,0)</ns0:f>
        <ns0:v>0</ns0:v>
      </ns0:c>
    </ns0:row>
    <ns0:row r="715">
      <ns0:c r="A715" t="inlineStr">
        <ns0:is>
          <ns0:t>case_0714</ns0:t>
        </ns0:is>
      </ns0:c>
      <ns0:c r="B715" t="inlineStr">
        <ns0:is>
          <ns0:t>function_0124</ns0:t>
        </ns0:is>
      </ns0:c>
      <ns0:c r="C715" t="inlineStr">
        <ns0:is>
          <ns0:t>run_008</ns0:t>
        </ns0:is>
      </ns0:c>
      <ns0:c r="D715" t="inlineStr">
        <ns0:is>
          <ns0:t>humantime</ns0:t>
        </ns0:is>
      </ns0:c>
      <ns0:c r="E715" t="inlineStr">
        <ns0:is>
          <ns0:t>gpt-4o-mini</ns0:t>
        </ns0:is>
      </ns0:c>
      <ns0:c r="F715" t="inlineStr">
        <ns0:is>
          <ns0:t>E0433</ns0:t>
        </ns0:is>
      </ns0:c>
      <ns0:c r="G715" t="n">
        <ns0:v>1</ns0:v>
      </ns0:c>
      <ns0:c r="H715" t="n">
        <ns0:v>0</ns0:v>
      </ns0:c>
      <ns0:c r="I715" t="n">
        <ns0:v>0</ns0:v>
      </ns0:c>
      <ns0:c r="J715" t="n">
        <ns0:v>0</ns0:v>
      </ns0:c>
      <ns0:c r="K715" t="n">
        <ns0:v>0</ns0:v>
      </ns0:c>
      <ns0:c r="L715" t="n">
        <ns0:v>1</ns0:v>
      </ns0:c>
      <ns0:c r="M715" t="n">
        <ns0:v>50657</ns0:v>
      </ns0:c>
      <ns0:c r="N715" t="n">
        <ns0:v>898</ns0:v>
      </ns0:c>
      <ns0:c r="O715" t="n">
        <ns0:v>51555</ns0:v>
      </ns0:c>
      <ns0:c r="P715" t="n">
        <ns0:v>7</ns0:v>
      </ns0:c>
      <ns0:c r="Q715">
        <ns0:f>IF(AND(L715=1,O715*Calculations!$B$2&lt;=Calculations!$B$10*Calculations!$B$4),1,0)</ns0:f>
        <ns0:v>0</ns0:v>
      </ns0:c>
      <ns0:c r="R715">
        <ns0:f>IF(AND(L715=1,O715*Calculations!$B$2&lt;=Calculations!$B$11*Calculations!$B$4),1,0)</ns0:f>
        <ns0:v>0</ns0:v>
      </ns0:c>
    </ns0:row>
    <ns0:row r="716">
      <ns0:c r="A716" t="inlineStr">
        <ns0:is>
          <ns0:t>case_0715</ns0:t>
        </ns0:is>
      </ns0:c>
      <ns0:c r="B716" t="inlineStr">
        <ns0:is>
          <ns0:t>function_0124</ns0:t>
        </ns0:is>
      </ns0:c>
      <ns0:c r="C716" t="inlineStr">
        <ns0:is>
          <ns0:t>run_008</ns0:t>
        </ns0:is>
      </ns0:c>
      <ns0:c r="D716" t="inlineStr">
        <ns0:is>
          <ns0:t>humantime</ns0:t>
        </ns0:is>
      </ns0:c>
      <ns0:c r="E716" t="inlineStr">
        <ns0:is>
          <ns0:t>gpt-4o-mini</ns0:t>
        </ns0:is>
      </ns0:c>
      <ns0:c r="F716" t="inlineStr">
        <ns0:is>
          <ns0:t>E0433</ns0:t>
        </ns0:is>
      </ns0:c>
      <ns0:c r="G716" t="n">
        <ns0:v>1</ns0:v>
      </ns0:c>
      <ns0:c r="H716" t="n">
        <ns0:v>0</ns0:v>
      </ns0:c>
      <ns0:c r="I716" t="n">
        <ns0:v>0</ns0:v>
      </ns0:c>
      <ns0:c r="J716" t="n">
        <ns0:v>0</ns0:v>
      </ns0:c>
      <ns0:c r="K716" t="n">
        <ns0:v>0</ns0:v>
      </ns0:c>
      <ns0:c r="L716" t="n">
        <ns0:v>0</ns0:v>
      </ns0:c>
      <ns0:c r="M716" t="n">
        <ns0:v>164717</ns0:v>
      </ns0:c>
      <ns0:c r="N716" t="n">
        <ns0:v>4226</ns0:v>
      </ns0:c>
      <ns0:c r="O716" t="n">
        <ns0:v>168943</ns0:v>
      </ns0:c>
      <ns0:c r="P716" t="n">
        <ns0:v>20</ns0:v>
      </ns0:c>
      <ns0:c r="Q716">
        <ns0:f>IF(AND(L716=1,O716*Calculations!$B$2&lt;=Calculations!$B$10*Calculations!$B$4),1,0)</ns0:f>
        <ns0:v>0</ns0:v>
      </ns0:c>
      <ns0:c r="R716">
        <ns0:f>IF(AND(L716=1,O716*Calculations!$B$2&lt;=Calculations!$B$11*Calculations!$B$4),1,0)</ns0:f>
        <ns0:v>0</ns0:v>
      </ns0:c>
    </ns0:row>
    <ns0:row r="717">
      <ns0:c r="A717" t="inlineStr">
        <ns0:is>
          <ns0:t>case_0716</ns0:t>
        </ns0:is>
      </ns0:c>
      <ns0:c r="B717" t="inlineStr">
        <ns0:is>
          <ns0:t>function_0124</ns0:t>
        </ns0:is>
      </ns0:c>
      <ns0:c r="C717" t="inlineStr">
        <ns0:is>
          <ns0:t>run_008</ns0:t>
        </ns0:is>
      </ns0:c>
      <ns0:c r="D717" t="inlineStr">
        <ns0:is>
          <ns0:t>humantime</ns0:t>
        </ns0:is>
      </ns0:c>
      <ns0:c r="E717" t="inlineStr">
        <ns0:is>
          <ns0:t>gpt-4o-mini</ns0:t>
        </ns0:is>
      </ns0:c>
      <ns0:c r="F717" t="inlineStr">
        <ns0:is>
          <ns0:t>E0433</ns0:t>
        </ns0:is>
      </ns0:c>
      <ns0:c r="G717" t="n">
        <ns0:v>1</ns0:v>
      </ns0:c>
      <ns0:c r="H717" t="n">
        <ns0:v>0</ns0:v>
      </ns0:c>
      <ns0:c r="I717" t="n">
        <ns0:v>0</ns0:v>
      </ns0:c>
      <ns0:c r="J717" t="n">
        <ns0:v>0</ns0:v>
      </ns0:c>
      <ns0:c r="K717" t="n">
        <ns0:v>0</ns0:v>
      </ns0:c>
      <ns0:c r="L717" t="n">
        <ns0:v>1</ns0:v>
      </ns0:c>
      <ns0:c r="M717" t="n">
        <ns0:v>57963</ns0:v>
      </ns0:c>
      <ns0:c r="N717" t="n">
        <ns0:v>926</ns0:v>
      </ns0:c>
      <ns0:c r="O717" t="n">
        <ns0:v>58889</ns0:v>
      </ns0:c>
      <ns0:c r="P717" t="n">
        <ns0:v>8</ns0:v>
      </ns0:c>
      <ns0:c r="Q717">
        <ns0:f>IF(AND(L717=1,O717*Calculations!$B$2&lt;=Calculations!$B$10*Calculations!$B$4),1,0)</ns0:f>
        <ns0:v>0</ns0:v>
      </ns0:c>
      <ns0:c r="R717">
        <ns0:f>IF(AND(L717=1,O717*Calculations!$B$2&lt;=Calculations!$B$11*Calculations!$B$4),1,0)</ns0:f>
        <ns0:v>0</ns0:v>
      </ns0:c>
    </ns0:row>
    <ns0:row r="718">
      <ns0:c r="A718" t="inlineStr">
        <ns0:is>
          <ns0:t>case_0717</ns0:t>
        </ns0:is>
      </ns0:c>
      <ns0:c r="B718" t="inlineStr">
        <ns0:is>
          <ns0:t>function_0125</ns0:t>
        </ns0:is>
      </ns0:c>
      <ns0:c r="C718" t="inlineStr">
        <ns0:is>
          <ns0:t>run_008</ns0:t>
        </ns0:is>
      </ns0:c>
      <ns0:c r="D718" t="inlineStr">
        <ns0:is>
          <ns0:t>humantime</ns0:t>
        </ns0:is>
      </ns0:c>
      <ns0:c r="E718" t="inlineStr">
        <ns0:is>
          <ns0:t>gpt-4o-mini</ns0:t>
        </ns0:is>
      </ns0:c>
      <ns0:c r="F718" t="inlineStr">
        <ns0:is>
          <ns0:t>E0433</ns0:t>
        </ns0:is>
      </ns0:c>
      <ns0:c r="G718" t="n">
        <ns0:v>1</ns0:v>
      </ns0:c>
      <ns0:c r="H718" t="n">
        <ns0:v>0</ns0:v>
      </ns0:c>
      <ns0:c r="I718" t="n">
        <ns0:v>0</ns0:v>
      </ns0:c>
      <ns0:c r="J718" t="n">
        <ns0:v>0</ns0:v>
      </ns0:c>
      <ns0:c r="K718" t="n">
        <ns0:v>0</ns0:v>
      </ns0:c>
      <ns0:c r="L718" t="n">
        <ns0:v>1</ns0:v>
      </ns0:c>
      <ns0:c r="M718" t="n">
        <ns0:v>37075</ns0:v>
      </ns0:c>
      <ns0:c r="N718" t="n">
        <ns0:v>1031</ns0:v>
      </ns0:c>
      <ns0:c r="O718" t="n">
        <ns0:v>38106</ns0:v>
      </ns0:c>
      <ns0:c r="P718" t="n">
        <ns0:v>5</ns0:v>
      </ns0:c>
      <ns0:c r="Q718">
        <ns0:f>IF(AND(L718=1,O718*Calculations!$B$2&lt;=Calculations!$B$10*Calculations!$B$4),1,0)</ns0:f>
        <ns0:v>0</ns0:v>
      </ns0:c>
      <ns0:c r="R718">
        <ns0:f>IF(AND(L718=1,O718*Calculations!$B$2&lt;=Calculations!$B$11*Calculations!$B$4),1,0)</ns0:f>
        <ns0:v>1</ns0:v>
      </ns0:c>
    </ns0:row>
    <ns0:row r="719">
      <ns0:c r="A719" t="inlineStr">
        <ns0:is>
          <ns0:t>case_0718</ns0:t>
        </ns0:is>
      </ns0:c>
      <ns0:c r="B719" t="inlineStr">
        <ns0:is>
          <ns0:t>function_0125</ns0:t>
        </ns0:is>
      </ns0:c>
      <ns0:c r="C719" t="inlineStr">
        <ns0:is>
          <ns0:t>run_008</ns0:t>
        </ns0:is>
      </ns0:c>
      <ns0:c r="D719" t="inlineStr">
        <ns0:is>
          <ns0:t>humantime</ns0:t>
        </ns0:is>
      </ns0:c>
      <ns0:c r="E719" t="inlineStr">
        <ns0:is>
          <ns0:t>gpt-4o-mini</ns0:t>
        </ns0:is>
      </ns0:c>
      <ns0:c r="F719" t="inlineStr">
        <ns0:is>
          <ns0:t>E0433</ns0:t>
        </ns0:is>
      </ns0:c>
      <ns0:c r="G719" t="n">
        <ns0:v>1</ns0:v>
      </ns0:c>
      <ns0:c r="H719" t="n">
        <ns0:v>0</ns0:v>
      </ns0:c>
      <ns0:c r="I719" t="n">
        <ns0:v>0</ns0:v>
      </ns0:c>
      <ns0:c r="J719" t="n">
        <ns0:v>0</ns0:v>
      </ns0:c>
      <ns0:c r="K719" t="n">
        <ns0:v>0</ns0:v>
      </ns0:c>
      <ns0:c r="L719" t="n">
        <ns0:v>1</ns0:v>
      </ns0:c>
      <ns0:c r="M719" t="n">
        <ns0:v>71063</ns0:v>
      </ns0:c>
      <ns0:c r="N719" t="n">
        <ns0:v>1807</ns0:v>
      </ns0:c>
      <ns0:c r="O719" t="n">
        <ns0:v>72870</ns0:v>
      </ns0:c>
      <ns0:c r="P719" t="n">
        <ns0:v>9</ns0:v>
      </ns0:c>
      <ns0:c r="Q719">
        <ns0:f>IF(AND(L719=1,O719*Calculations!$B$2&lt;=Calculations!$B$10*Calculations!$B$4),1,0)</ns0:f>
        <ns0:v>0</ns0:v>
      </ns0:c>
      <ns0:c r="R719">
        <ns0:f>IF(AND(L719=1,O719*Calculations!$B$2&lt;=Calculations!$B$11*Calculations!$B$4),1,0)</ns0:f>
        <ns0:v>0</ns0:v>
      </ns0:c>
    </ns0:row>
    <ns0:row r="720">
      <ns0:c r="A720" t="inlineStr">
        <ns0:is>
          <ns0:t>case_0719</ns0:t>
        </ns0:is>
      </ns0:c>
      <ns0:c r="B720" t="inlineStr">
        <ns0:is>
          <ns0:t>function_0125</ns0:t>
        </ns0:is>
      </ns0:c>
      <ns0:c r="C720" t="inlineStr">
        <ns0:is>
          <ns0:t>run_008</ns0:t>
        </ns0:is>
      </ns0:c>
      <ns0:c r="D720" t="inlineStr">
        <ns0:is>
          <ns0:t>humantime</ns0:t>
        </ns0:is>
      </ns0:c>
      <ns0:c r="E720" t="inlineStr">
        <ns0:is>
          <ns0:t>gpt-4o-mini</ns0:t>
        </ns0:is>
      </ns0:c>
      <ns0:c r="F720" t="inlineStr">
        <ns0:is>
          <ns0:t>E0433</ns0:t>
        </ns0:is>
      </ns0:c>
      <ns0:c r="G720" t="n">
        <ns0:v>1</ns0:v>
      </ns0:c>
      <ns0:c r="H720" t="n">
        <ns0:v>0</ns0:v>
      </ns0:c>
      <ns0:c r="I720" t="n">
        <ns0:v>0</ns0:v>
      </ns0:c>
      <ns0:c r="J720" t="n">
        <ns0:v>0</ns0:v>
      </ns0:c>
      <ns0:c r="K720" t="n">
        <ns0:v>0</ns0:v>
      </ns0:c>
      <ns0:c r="L720" t="n">
        <ns0:v>0</ns0:v>
      </ns0:c>
      <ns0:c r="M720" t="n">
        <ns0:v>171991</ns0:v>
      </ns0:c>
      <ns0:c r="N720" t="n">
        <ns0:v>3472</ns0:v>
      </ns0:c>
      <ns0:c r="O720" t="n">
        <ns0:v>175463</ns0:v>
      </ns0:c>
      <ns0:c r="P720" t="n">
        <ns0:v>21</ns0:v>
      </ns0:c>
      <ns0:c r="Q720">
        <ns0:f>IF(AND(L720=1,O720*Calculations!$B$2&lt;=Calculations!$B$10*Calculations!$B$4),1,0)</ns0:f>
        <ns0:v>0</ns0:v>
      </ns0:c>
      <ns0:c r="R720">
        <ns0:f>IF(AND(L720=1,O720*Calculations!$B$2&lt;=Calculations!$B$11*Calculations!$B$4),1,0)</ns0:f>
        <ns0:v>0</ns0:v>
      </ns0:c>
    </ns0:row>
    <ns0:row r="721">
      <ns0:c r="A721" t="inlineStr">
        <ns0:is>
          <ns0:t>case_0720</ns0:t>
        </ns0:is>
      </ns0:c>
      <ns0:c r="B721" t="inlineStr">
        <ns0:is>
          <ns0:t>function_0125</ns0:t>
        </ns0:is>
      </ns0:c>
      <ns0:c r="C721" t="inlineStr">
        <ns0:is>
          <ns0:t>run_008</ns0:t>
        </ns0:is>
      </ns0:c>
      <ns0:c r="D721" t="inlineStr">
        <ns0:is>
          <ns0:t>humantime</ns0:t>
        </ns0:is>
      </ns0:c>
      <ns0:c r="E721" t="inlineStr">
        <ns0:is>
          <ns0:t>gpt-4o-mini</ns0:t>
        </ns0:is>
      </ns0:c>
      <ns0:c r="F721" t="inlineStr">
        <ns0:is>
          <ns0:t>E0433</ns0:t>
        </ns0:is>
      </ns0:c>
      <ns0:c r="G721" t="n">
        <ns0:v>1</ns0:v>
      </ns0:c>
      <ns0:c r="H721" t="n">
        <ns0:v>0</ns0:v>
      </ns0:c>
      <ns0:c r="I721" t="n">
        <ns0:v>0</ns0:v>
      </ns0:c>
      <ns0:c r="J721" t="n">
        <ns0:v>0</ns0:v>
      </ns0:c>
      <ns0:c r="K721" t="n">
        <ns0:v>0</ns0:v>
      </ns0:c>
      <ns0:c r="L721" t="n">
        <ns0:v>1</ns0:v>
      </ns0:c>
      <ns0:c r="M721" t="n">
        <ns0:v>89821</ns0:v>
      </ns0:c>
      <ns0:c r="N721" t="n">
        <ns0:v>1426</ns0:v>
      </ns0:c>
      <ns0:c r="O721" t="n">
        <ns0:v>91247</ns0:v>
      </ns0:c>
      <ns0:c r="P721" t="n">
        <ns0:v>12</ns0:v>
      </ns0:c>
      <ns0:c r="Q721">
        <ns0:f>IF(AND(L721=1,O721*Calculations!$B$2&lt;=Calculations!$B$10*Calculations!$B$4),1,0)</ns0:f>
        <ns0:v>0</ns0:v>
      </ns0:c>
      <ns0:c r="R721">
        <ns0:f>IF(AND(L721=1,O721*Calculations!$B$2&lt;=Calculations!$B$11*Calculations!$B$4),1,0)</ns0:f>
        <ns0:v>0</ns0:v>
      </ns0:c>
    </ns0:row>
    <ns0:row r="722">
      <ns0:c r="A722" t="inlineStr">
        <ns0:is>
          <ns0:t>case_0721</ns0:t>
        </ns0:is>
      </ns0:c>
      <ns0:c r="B722" t="inlineStr">
        <ns0:is>
          <ns0:t>function_0126</ns0:t>
        </ns0:is>
      </ns0:c>
      <ns0:c r="C722" t="inlineStr">
        <ns0:is>
          <ns0:t>run_008</ns0:t>
        </ns0:is>
      </ns0:c>
      <ns0:c r="D722" t="inlineStr">
        <ns0:is>
          <ns0:t>humantime</ns0:t>
        </ns0:is>
      </ns0:c>
      <ns0:c r="E722" t="inlineStr">
        <ns0:is>
          <ns0:t>gpt-4o-mini</ns0:t>
        </ns0:is>
      </ns0:c>
      <ns0:c r="F722" t="inlineStr">
        <ns0:is>
          <ns0:t>E0433</ns0:t>
        </ns0:is>
      </ns0:c>
      <ns0:c r="G722" t="n">
        <ns0:v>1</ns0:v>
      </ns0:c>
      <ns0:c r="H722" t="n">
        <ns0:v>0</ns0:v>
      </ns0:c>
      <ns0:c r="I722" t="n">
        <ns0:v>0</ns0:v>
      </ns0:c>
      <ns0:c r="J722" t="n">
        <ns0:v>0</ns0:v>
      </ns0:c>
      <ns0:c r="K722" t="n">
        <ns0:v>0</ns0:v>
      </ns0:c>
      <ns0:c r="L722" t="n">
        <ns0:v>1</ns0:v>
      </ns0:c>
      <ns0:c r="M722" t="n">
        <ns0:v>27602</ns0:v>
      </ns0:c>
      <ns0:c r="N722" t="n">
        <ns0:v>554</ns0:v>
      </ns0:c>
      <ns0:c r="O722" t="n">
        <ns0:v>28156</ns0:v>
      </ns0:c>
      <ns0:c r="P722" t="n">
        <ns0:v>4</ns0:v>
      </ns0:c>
      <ns0:c r="Q722">
        <ns0:f>IF(AND(L722=1,O722*Calculations!$B$2&lt;=Calculations!$B$10*Calculations!$B$4),1,0)</ns0:f>
        <ns0:v>0</ns0:v>
      </ns0:c>
      <ns0:c r="R722">
        <ns0:f>IF(AND(L722=1,O722*Calculations!$B$2&lt;=Calculations!$B$11*Calculations!$B$4),1,0)</ns0:f>
        <ns0:v>1</ns0:v>
      </ns0:c>
    </ns0:row>
    <ns0:row r="723">
      <ns0:c r="A723" t="inlineStr">
        <ns0:is>
          <ns0:t>case_0722</ns0:t>
        </ns0:is>
      </ns0:c>
      <ns0:c r="B723" t="inlineStr">
        <ns0:is>
          <ns0:t>function_0126</ns0:t>
        </ns0:is>
      </ns0:c>
      <ns0:c r="C723" t="inlineStr">
        <ns0:is>
          <ns0:t>run_008</ns0:t>
        </ns0:is>
      </ns0:c>
      <ns0:c r="D723" t="inlineStr">
        <ns0:is>
          <ns0:t>humantime</ns0:t>
        </ns0:is>
      </ns0:c>
      <ns0:c r="E723" t="inlineStr">
        <ns0:is>
          <ns0:t>gpt-4o-mini</ns0:t>
        </ns0:is>
      </ns0:c>
      <ns0:c r="F723" t="inlineStr">
        <ns0:is>
          <ns0:t>E0433</ns0:t>
        </ns0:is>
      </ns0:c>
      <ns0:c r="G723" t="n">
        <ns0:v>1</ns0:v>
      </ns0:c>
      <ns0:c r="H723" t="n">
        <ns0:v>0</ns0:v>
      </ns0:c>
      <ns0:c r="I723" t="n">
        <ns0:v>0</ns0:v>
      </ns0:c>
      <ns0:c r="J723" t="n">
        <ns0:v>0</ns0:v>
      </ns0:c>
      <ns0:c r="K723" t="n">
        <ns0:v>0</ns0:v>
      </ns0:c>
      <ns0:c r="L723" t="n">
        <ns0:v>1</ns0:v>
      </ns0:c>
      <ns0:c r="M723" t="n">
        <ns0:v>40699</ns0:v>
      </ns0:c>
      <ns0:c r="N723" t="n">
        <ns0:v>727</ns0:v>
      </ns0:c>
      <ns0:c r="O723" t="n">
        <ns0:v>41426</ns0:v>
      </ns0:c>
      <ns0:c r="P723" t="n">
        <ns0:v>5</ns0:v>
      </ns0:c>
      <ns0:c r="Q723">
        <ns0:f>IF(AND(L723=1,O723*Calculations!$B$2&lt;=Calculations!$B$10*Calculations!$B$4),1,0)</ns0:f>
        <ns0:v>0</ns0:v>
      </ns0:c>
      <ns0:c r="R723">
        <ns0:f>IF(AND(L723=1,O723*Calculations!$B$2&lt;=Calculations!$B$11*Calculations!$B$4),1,0)</ns0:f>
        <ns0:v>1</ns0:v>
      </ns0:c>
    </ns0:row>
    <ns0:row r="724">
      <ns0:c r="A724" t="inlineStr">
        <ns0:is>
          <ns0:t>case_0723</ns0:t>
        </ns0:is>
      </ns0:c>
      <ns0:c r="B724" t="inlineStr">
        <ns0:is>
          <ns0:t>function_0126</ns0:t>
        </ns0:is>
      </ns0:c>
      <ns0:c r="C724" t="inlineStr">
        <ns0:is>
          <ns0:t>run_008</ns0:t>
        </ns0:is>
      </ns0:c>
      <ns0:c r="D724" t="inlineStr">
        <ns0:is>
          <ns0:t>humantime</ns0:t>
        </ns0:is>
      </ns0:c>
      <ns0:c r="E724" t="inlineStr">
        <ns0:is>
          <ns0:t>gpt-4o-mini</ns0:t>
        </ns0:is>
      </ns0:c>
      <ns0:c r="F724" t="inlineStr">
        <ns0:is>
          <ns0:t>E0433</ns0:t>
        </ns0:is>
      </ns0:c>
      <ns0:c r="G724" t="n">
        <ns0:v>1</ns0:v>
      </ns0:c>
      <ns0:c r="H724" t="n">
        <ns0:v>0</ns0:v>
      </ns0:c>
      <ns0:c r="I724" t="n">
        <ns0:v>0</ns0:v>
      </ns0:c>
      <ns0:c r="J724" t="n">
        <ns0:v>0</ns0:v>
      </ns0:c>
      <ns0:c r="K724" t="n">
        <ns0:v>0</ns0:v>
      </ns0:c>
      <ns0:c r="L724" t="n">
        <ns0:v>1</ns0:v>
      </ns0:c>
      <ns0:c r="M724" t="n">
        <ns0:v>31816</ns0:v>
      </ns0:c>
      <ns0:c r="N724" t="n">
        <ns0:v>522</ns0:v>
      </ns0:c>
      <ns0:c r="O724" t="n">
        <ns0:v>32338</ns0:v>
      </ns0:c>
      <ns0:c r="P724" t="n">
        <ns0:v>4</ns0:v>
      </ns0:c>
      <ns0:c r="Q724">
        <ns0:f>IF(AND(L724=1,O724*Calculations!$B$2&lt;=Calculations!$B$10*Calculations!$B$4),1,0)</ns0:f>
        <ns0:v>0</ns0:v>
      </ns0:c>
      <ns0:c r="R724">
        <ns0:f>IF(AND(L724=1,O724*Calculations!$B$2&lt;=Calculations!$B$11*Calculations!$B$4),1,0)</ns0:f>
        <ns0:v>1</ns0:v>
      </ns0:c>
    </ns0:row>
    <ns0:row r="725">
      <ns0:c r="A725" t="inlineStr">
        <ns0:is>
          <ns0:t>case_0724</ns0:t>
        </ns0:is>
      </ns0:c>
      <ns0:c r="B725" t="inlineStr">
        <ns0:is>
          <ns0:t>function_0127</ns0:t>
        </ns0:is>
      </ns0:c>
      <ns0:c r="C725" t="inlineStr">
        <ns0:is>
          <ns0:t>run_008</ns0:t>
        </ns0:is>
      </ns0:c>
      <ns0:c r="D725" t="inlineStr">
        <ns0:is>
          <ns0:t>humantime</ns0:t>
        </ns0:is>
      </ns0:c>
      <ns0:c r="E725" t="inlineStr">
        <ns0:is>
          <ns0:t>gpt-4o-mini</ns0:t>
        </ns0:is>
      </ns0:c>
      <ns0:c r="F725" t="inlineStr">
        <ns0:is>
          <ns0:t>E0433</ns0:t>
        </ns0:is>
      </ns0:c>
      <ns0:c r="G725" t="n">
        <ns0:v>1</ns0:v>
      </ns0:c>
      <ns0:c r="H725" t="n">
        <ns0:v>0</ns0:v>
      </ns0:c>
      <ns0:c r="I725" t="n">
        <ns0:v>0</ns0:v>
      </ns0:c>
      <ns0:c r="J725" t="n">
        <ns0:v>0</ns0:v>
      </ns0:c>
      <ns0:c r="K725" t="n">
        <ns0:v>0</ns0:v>
      </ns0:c>
      <ns0:c r="L725" t="n">
        <ns0:v>1</ns0:v>
      </ns0:c>
      <ns0:c r="M725" t="n">
        <ns0:v>32582</ns0:v>
      </ns0:c>
      <ns0:c r="N725" t="n">
        <ns0:v>374</ns0:v>
      </ns0:c>
      <ns0:c r="O725" t="n">
        <ns0:v>32956</ns0:v>
      </ns0:c>
      <ns0:c r="P725" t="n">
        <ns0:v>4</ns0:v>
      </ns0:c>
      <ns0:c r="Q725">
        <ns0:f>IF(AND(L725=1,O725*Calculations!$B$2&lt;=Calculations!$B$10*Calculations!$B$4),1,0)</ns0:f>
        <ns0:v>0</ns0:v>
      </ns0:c>
      <ns0:c r="R725">
        <ns0:f>IF(AND(L725=1,O725*Calculations!$B$2&lt;=Calculations!$B$11*Calculations!$B$4),1,0)</ns0:f>
        <ns0:v>1</ns0:v>
      </ns0:c>
    </ns0:row>
    <ns0:row r="726">
      <ns0:c r="A726" t="inlineStr">
        <ns0:is>
          <ns0:t>case_0725</ns0:t>
        </ns0:is>
      </ns0:c>
      <ns0:c r="B726" t="inlineStr">
        <ns0:is>
          <ns0:t>function_0127</ns0:t>
        </ns0:is>
      </ns0:c>
      <ns0:c r="C726" t="inlineStr">
        <ns0:is>
          <ns0:t>run_008</ns0:t>
        </ns0:is>
      </ns0:c>
      <ns0:c r="D726" t="inlineStr">
        <ns0:is>
          <ns0:t>humantime</ns0:t>
        </ns0:is>
      </ns0:c>
      <ns0:c r="E726" t="inlineStr">
        <ns0:is>
          <ns0:t>gpt-4o-mini</ns0:t>
        </ns0:is>
      </ns0:c>
      <ns0:c r="F726" t="inlineStr">
        <ns0:is>
          <ns0:t>E0433,E0599</ns0:t>
        </ns0:is>
      </ns0:c>
      <ns0:c r="G726" t="n">
        <ns0:v>0</ns0:v>
      </ns0:c>
      <ns0:c r="H726" t="n">
        <ns0:v>2707</ns0:v>
      </ns0:c>
      <ns0:c r="I726" t="n">
        <ns0:v>351</ns0:v>
      </ns0:c>
      <ns0:c r="J726" t="n">
        <ns0:v>3058</ns0:v>
      </ns0:c>
      <ns0:c r="K726" t="n">
        <ns0:v>3</ns0:v>
      </ns0:c>
      <ns0:c r="L726" t="n">
        <ns0:v>1</ns0:v>
      </ns0:c>
      <ns0:c r="M726" t="n">
        <ns0:v>29918</ns0:v>
      </ns0:c>
      <ns0:c r="N726" t="n">
        <ns0:v>1125</ns0:v>
      </ns0:c>
      <ns0:c r="O726" t="n">
        <ns0:v>31043</ns0:v>
      </ns0:c>
      <ns0:c r="P726" t="n">
        <ns0:v>4</ns0:v>
      </ns0:c>
      <ns0:c r="Q726">
        <ns0:f>IF(AND(L726=1,O726*Calculations!$B$2&lt;=Calculations!$B$10*Calculations!$B$4),1,0)</ns0:f>
        <ns0:v>0</ns0:v>
      </ns0:c>
      <ns0:c r="R726">
        <ns0:f>IF(AND(L726=1,O726*Calculations!$B$2&lt;=Calculations!$B$11*Calculations!$B$4),1,0)</ns0:f>
        <ns0:v>1</ns0:v>
      </ns0:c>
    </ns0:row>
    <ns0:row r="727">
      <ns0:c r="A727" t="inlineStr">
        <ns0:is>
          <ns0:t>case_0726</ns0:t>
        </ns0:is>
      </ns0:c>
      <ns0:c r="B727" t="inlineStr">
        <ns0:is>
          <ns0:t>function_0127</ns0:t>
        </ns0:is>
      </ns0:c>
      <ns0:c r="C727" t="inlineStr">
        <ns0:is>
          <ns0:t>run_008</ns0:t>
        </ns0:is>
      </ns0:c>
      <ns0:c r="D727" t="inlineStr">
        <ns0:is>
          <ns0:t>humantime</ns0:t>
        </ns0:is>
      </ns0:c>
      <ns0:c r="E727" t="inlineStr">
        <ns0:is>
          <ns0:t>gpt-4o-mini</ns0:t>
        </ns0:is>
      </ns0:c>
      <ns0:c r="F727" t="inlineStr">
        <ns0:is>
          <ns0:t>E0433,E0599</ns0:t>
        </ns0:is>
      </ns0:c>
      <ns0:c r="G727" t="n">
        <ns0:v>0</ns0:v>
      </ns0:c>
      <ns0:c r="H727" t="n">
        <ns0:v>2743</ns0:v>
      </ns0:c>
      <ns0:c r="I727" t="n">
        <ns0:v>363</ns0:v>
      </ns0:c>
      <ns0:c r="J727" t="n">
        <ns0:v>3106</ns0:v>
      </ns0:c>
      <ns0:c r="K727" t="n">
        <ns0:v>3</ns0:v>
      </ns0:c>
      <ns0:c r="L727" t="n">
        <ns0:v>0</ns0:v>
      </ns0:c>
      <ns0:c r="M727" t="n">
        <ns0:v>45236</ns0:v>
      </ns0:c>
      <ns0:c r="N727" t="n">
        <ns0:v>1022</ns0:v>
      </ns0:c>
      <ns0:c r="O727" t="n">
        <ns0:v>46258</ns0:v>
      </ns0:c>
      <ns0:c r="P727" t="n">
        <ns0:v>6</ns0:v>
      </ns0:c>
      <ns0:c r="Q727">
        <ns0:f>IF(AND(L727=1,O727*Calculations!$B$2&lt;=Calculations!$B$10*Calculations!$B$4),1,0)</ns0:f>
        <ns0:v>0</ns0:v>
      </ns0:c>
      <ns0:c r="R727">
        <ns0:f>IF(AND(L727=1,O727*Calculations!$B$2&lt;=Calculations!$B$11*Calculations!$B$4),1,0)</ns0:f>
        <ns0:v>0</ns0:v>
      </ns0:c>
    </ns0:row>
    <ns0:row r="728">
      <ns0:c r="A728" t="inlineStr">
        <ns0:is>
          <ns0:t>case_0727</ns0:t>
        </ns0:is>
      </ns0:c>
      <ns0:c r="B728" t="inlineStr">
        <ns0:is>
          <ns0:t>function_0127</ns0:t>
        </ns0:is>
      </ns0:c>
      <ns0:c r="C728" t="inlineStr">
        <ns0:is>
          <ns0:t>run_008</ns0:t>
        </ns0:is>
      </ns0:c>
      <ns0:c r="D728" t="inlineStr">
        <ns0:is>
          <ns0:t>humantime</ns0:t>
        </ns0:is>
      </ns0:c>
      <ns0:c r="E728" t="inlineStr">
        <ns0:is>
          <ns0:t>gpt-4o-mini</ns0:t>
        </ns0:is>
      </ns0:c>
      <ns0:c r="F728" t="inlineStr">
        <ns0:is>
          <ns0:t>E0277,E0433</ns0:t>
        </ns0:is>
      </ns0:c>
      <ns0:c r="G728" t="n">
        <ns0:v>0</ns0:v>
      </ns0:c>
      <ns0:c r="H728" t="n">
        <ns0:v>3818</ns0:v>
      </ns0:c>
      <ns0:c r="I728" t="n">
        <ns0:v>306</ns0:v>
      </ns0:c>
      <ns0:c r="J728" t="n">
        <ns0:v>4124</ns0:v>
      </ns0:c>
      <ns0:c r="K728" t="n">
        <ns0:v>3</ns0:v>
      </ns0:c>
      <ns0:c r="L728" t="n">
        <ns0:v>1</ns0:v>
      </ns0:c>
      <ns0:c r="M728" t="n">
        <ns0:v>39169</ns0:v>
      </ns0:c>
      <ns0:c r="N728" t="n">
        <ns0:v>1694</ns0:v>
      </ns0:c>
      <ns0:c r="O728" t="n">
        <ns0:v>40863</ns0:v>
      </ns0:c>
      <ns0:c r="P728" t="n">
        <ns0:v>5</ns0:v>
      </ns0:c>
      <ns0:c r="Q728">
        <ns0:f>IF(AND(L728=1,O728*Calculations!$B$2&lt;=Calculations!$B$10*Calculations!$B$4),1,0)</ns0:f>
        <ns0:v>0</ns0:v>
      </ns0:c>
      <ns0:c r="R728">
        <ns0:f>IF(AND(L728=1,O728*Calculations!$B$2&lt;=Calculations!$B$11*Calculations!$B$4),1,0)</ns0:f>
        <ns0:v>1</ns0:v>
      </ns0:c>
    </ns0:row>
    <ns0:row r="729">
      <ns0:c r="A729" t="inlineStr">
        <ns0:is>
          <ns0:t>case_0728</ns0:t>
        </ns0:is>
      </ns0:c>
      <ns0:c r="B729" t="inlineStr">
        <ns0:is>
          <ns0:t>function_0127</ns0:t>
        </ns0:is>
      </ns0:c>
      <ns0:c r="C729" t="inlineStr">
        <ns0:is>
          <ns0:t>run_008</ns0:t>
        </ns0:is>
      </ns0:c>
      <ns0:c r="D729" t="inlineStr">
        <ns0:is>
          <ns0:t>humantime</ns0:t>
        </ns0:is>
      </ns0:c>
      <ns0:c r="E729" t="inlineStr">
        <ns0:is>
          <ns0:t>gpt-4o-mini</ns0:t>
        </ns0:is>
      </ns0:c>
      <ns0:c r="F729" t="inlineStr">
        <ns0:is>
          <ns0:t>E0599</ns0:t>
        </ns0:is>
      </ns0:c>
      <ns0:c r="G729" t="n">
        <ns0:v>1</ns0:v>
      </ns0:c>
      <ns0:c r="H729" t="n">
        <ns0:v>1557</ns0:v>
      </ns0:c>
      <ns0:c r="I729" t="n">
        <ns0:v>226</ns0:v>
      </ns0:c>
      <ns0:c r="J729" t="n">
        <ns0:v>1783</ns0:v>
      </ns0:c>
      <ns0:c r="K729" t="n">
        <ns0:v>2</ns0:v>
      </ns0:c>
      <ns0:c r="L729" t="n">
        <ns0:v>1</ns0:v>
      </ns0:c>
      <ns0:c r="M729" t="n">
        <ns0:v>45264</ns0:v>
      </ns0:c>
      <ns0:c r="N729" t="n">
        <ns0:v>830</ns0:v>
      </ns0:c>
      <ns0:c r="O729" t="n">
        <ns0:v>46094</ns0:v>
      </ns0:c>
      <ns0:c r="P729" t="n">
        <ns0:v>6</ns0:v>
      </ns0:c>
      <ns0:c r="Q729">
        <ns0:f>IF(AND(L729=1,O729*Calculations!$B$2&lt;=Calculations!$B$10*Calculations!$B$4),1,0)</ns0:f>
        <ns0:v>0</ns0:v>
      </ns0:c>
      <ns0:c r="R729">
        <ns0:f>IF(AND(L729=1,O729*Calculations!$B$2&lt;=Calculations!$B$11*Calculations!$B$4),1,0)</ns0:f>
        <ns0:v>1</ns0:v>
      </ns0:c>
    </ns0:row>
    <ns0:row r="730">
      <ns0:c r="A730" t="inlineStr">
        <ns0:is>
          <ns0:t>case_0729</ns0:t>
        </ns0:is>
      </ns0:c>
      <ns0:c r="B730" t="inlineStr">
        <ns0:is>
          <ns0:t>function_0127</ns0:t>
        </ns0:is>
      </ns0:c>
      <ns0:c r="C730" t="inlineStr">
        <ns0:is>
          <ns0:t>run_008</ns0:t>
        </ns0:is>
      </ns0:c>
      <ns0:c r="D730" t="inlineStr">
        <ns0:is>
          <ns0:t>humantime</ns0:t>
        </ns0:is>
      </ns0:c>
      <ns0:c r="E730" t="inlineStr">
        <ns0:is>
          <ns0:t>gpt-4o-mini</ns0:t>
        </ns0:is>
      </ns0:c>
      <ns0:c r="F730" t="inlineStr">
        <ns0:is>
          <ns0:t>E0433,E0599</ns0:t>
        </ns0:is>
      </ns0:c>
      <ns0:c r="G730" t="n">
        <ns0:v>0</ns0:v>
      </ns0:c>
      <ns0:c r="H730" t="n">
        <ns0:v>4151</ns0:v>
      </ns0:c>
      <ns0:c r="I730" t="n">
        <ns0:v>369</ns0:v>
      </ns0:c>
      <ns0:c r="J730" t="n">
        <ns0:v>4520</ns0:v>
      </ns0:c>
      <ns0:c r="K730" t="n">
        <ns0:v>3</ns0:v>
      </ns0:c>
      <ns0:c r="L730" t="n">
        <ns0:v>1</ns0:v>
      </ns0:c>
      <ns0:c r="M730" t="n">
        <ns0:v>142664</ns0:v>
      </ns0:c>
      <ns0:c r="N730" t="n">
        <ns0:v>2149</ns0:v>
      </ns0:c>
      <ns0:c r="O730" t="n">
        <ns0:v>144813</ns0:v>
      </ns0:c>
      <ns0:c r="P730" t="n">
        <ns0:v>17</ns0:v>
      </ns0:c>
      <ns0:c r="Q730">
        <ns0:f>IF(AND(L730=1,O730*Calculations!$B$2&lt;=Calculations!$B$10*Calculations!$B$4),1,0)</ns0:f>
        <ns0:v>0</ns0:v>
      </ns0:c>
      <ns0:c r="R730">
        <ns0:f>IF(AND(L730=1,O730*Calculations!$B$2&lt;=Calculations!$B$11*Calculations!$B$4),1,0)</ns0:f>
        <ns0:v>0</ns0:v>
      </ns0:c>
    </ns0:row>
    <ns0:row r="731">
      <ns0:c r="A731" t="inlineStr">
        <ns0:is>
          <ns0:t>case_0730</ns0:t>
        </ns0:is>
      </ns0:c>
      <ns0:c r="B731" t="inlineStr">
        <ns0:is>
          <ns0:t>function_0128</ns0:t>
        </ns0:is>
      </ns0:c>
      <ns0:c r="C731" t="inlineStr">
        <ns0:is>
          <ns0:t>run_008</ns0:t>
        </ns0:is>
      </ns0:c>
      <ns0:c r="D731" t="inlineStr">
        <ns0:is>
          <ns0:t>humantime</ns0:t>
        </ns0:is>
      </ns0:c>
      <ns0:c r="E731" t="inlineStr">
        <ns0:is>
          <ns0:t>gpt-4o-mini</ns0:t>
        </ns0:is>
      </ns0:c>
      <ns0:c r="F731" t="inlineStr">
        <ns0:is>
          <ns0:t>E0433</ns0:t>
        </ns0:is>
      </ns0:c>
      <ns0:c r="G731" t="n">
        <ns0:v>1</ns0:v>
      </ns0:c>
      <ns0:c r="H731" t="n">
        <ns0:v>0</ns0:v>
      </ns0:c>
      <ns0:c r="I731" t="n">
        <ns0:v>0</ns0:v>
      </ns0:c>
      <ns0:c r="J731" t="n">
        <ns0:v>0</ns0:v>
      </ns0:c>
      <ns0:c r="K731" t="n">
        <ns0:v>0</ns0:v>
      </ns0:c>
      <ns0:c r="L731" t="n">
        <ns0:v>1</ns0:v>
      </ns0:c>
      <ns0:c r="M731" t="n">
        <ns0:v>27528</ns0:v>
      </ns0:c>
      <ns0:c r="N731" t="n">
        <ns0:v>660</ns0:v>
      </ns0:c>
      <ns0:c r="O731" t="n">
        <ns0:v>28188</ns0:v>
      </ns0:c>
      <ns0:c r="P731" t="n">
        <ns0:v>4</ns0:v>
      </ns0:c>
      <ns0:c r="Q731">
        <ns0:f>IF(AND(L731=1,O731*Calculations!$B$2&lt;=Calculations!$B$10*Calculations!$B$4),1,0)</ns0:f>
        <ns0:v>0</ns0:v>
      </ns0:c>
      <ns0:c r="R731">
        <ns0:f>IF(AND(L731=1,O731*Calculations!$B$2&lt;=Calculations!$B$11*Calculations!$B$4),1,0)</ns0:f>
        <ns0:v>1</ns0:v>
      </ns0:c>
    </ns0:row>
    <ns0:row r="732">
      <ns0:c r="A732" t="inlineStr">
        <ns0:is>
          <ns0:t>case_0731</ns0:t>
        </ns0:is>
      </ns0:c>
      <ns0:c r="B732" t="inlineStr">
        <ns0:is>
          <ns0:t>function_0128</ns0:t>
        </ns0:is>
      </ns0:c>
      <ns0:c r="C732" t="inlineStr">
        <ns0:is>
          <ns0:t>run_008</ns0:t>
        </ns0:is>
      </ns0:c>
      <ns0:c r="D732" t="inlineStr">
        <ns0:is>
          <ns0:t>humantime</ns0:t>
        </ns0:is>
      </ns0:c>
      <ns0:c r="E732" t="inlineStr">
        <ns0:is>
          <ns0:t>gpt-4o-mini</ns0:t>
        </ns0:is>
      </ns0:c>
      <ns0:c r="F732" t="inlineStr">
        <ns0:is>
          <ns0:t>E0433</ns0:t>
        </ns0:is>
      </ns0:c>
      <ns0:c r="G732" t="n">
        <ns0:v>1</ns0:v>
      </ns0:c>
      <ns0:c r="H732" t="n">
        <ns0:v>0</ns0:v>
      </ns0:c>
      <ns0:c r="I732" t="n">
        <ns0:v>0</ns0:v>
      </ns0:c>
      <ns0:c r="J732" t="n">
        <ns0:v>0</ns0:v>
      </ns0:c>
      <ns0:c r="K732" t="n">
        <ns0:v>0</ns0:v>
      </ns0:c>
      <ns0:c r="L732" t="n">
        <ns0:v>1</ns0:v>
      </ns0:c>
      <ns0:c r="M732" t="n">
        <ns0:v>27499</ns0:v>
      </ns0:c>
      <ns0:c r="N732" t="n">
        <ns0:v>500</ns0:v>
      </ns0:c>
      <ns0:c r="O732" t="n">
        <ns0:v>27999</ns0:v>
      </ns0:c>
      <ns0:c r="P732" t="n">
        <ns0:v>4</ns0:v>
      </ns0:c>
      <ns0:c r="Q732">
        <ns0:f>IF(AND(L732=1,O732*Calculations!$B$2&lt;=Calculations!$B$10*Calculations!$B$4),1,0)</ns0:f>
        <ns0:v>0</ns0:v>
      </ns0:c>
      <ns0:c r="R732">
        <ns0:f>IF(AND(L732=1,O732*Calculations!$B$2&lt;=Calculations!$B$11*Calculations!$B$4),1,0)</ns0:f>
        <ns0:v>1</ns0:v>
      </ns0:c>
    </ns0:row>
    <ns0:row r="733">
      <ns0:c r="A733" t="inlineStr">
        <ns0:is>
          <ns0:t>case_0732</ns0:t>
        </ns0:is>
      </ns0:c>
      <ns0:c r="B733" t="inlineStr">
        <ns0:is>
          <ns0:t>function_0128</ns0:t>
        </ns0:is>
      </ns0:c>
      <ns0:c r="C733" t="inlineStr">
        <ns0:is>
          <ns0:t>run_008</ns0:t>
        </ns0:is>
      </ns0:c>
      <ns0:c r="D733" t="inlineStr">
        <ns0:is>
          <ns0:t>humantime</ns0:t>
        </ns0:is>
      </ns0:c>
      <ns0:c r="E733" t="inlineStr">
        <ns0:is>
          <ns0:t>gpt-4o-mini</ns0:t>
        </ns0:is>
      </ns0:c>
      <ns0:c r="F733" t="inlineStr">
        <ns0:is>
          <ns0:t>E0433</ns0:t>
        </ns0:is>
      </ns0:c>
      <ns0:c r="G733" t="n">
        <ns0:v>1</ns0:v>
      </ns0:c>
      <ns0:c r="H733" t="n">
        <ns0:v>0</ns0:v>
      </ns0:c>
      <ns0:c r="I733" t="n">
        <ns0:v>0</ns0:v>
      </ns0:c>
      <ns0:c r="J733" t="n">
        <ns0:v>0</ns0:v>
      </ns0:c>
      <ns0:c r="K733" t="n">
        <ns0:v>0</ns0:v>
      </ns0:c>
      <ns0:c r="L733" t="n">
        <ns0:v>1</ns0:v>
      </ns0:c>
      <ns0:c r="M733" t="n">
        <ns0:v>27605</ns0:v>
      </ns0:c>
      <ns0:c r="N733" t="n">
        <ns0:v>427</ns0:v>
      </ns0:c>
      <ns0:c r="O733" t="n">
        <ns0:v>28032</ns0:v>
      </ns0:c>
      <ns0:c r="P733" t="n">
        <ns0:v>4</ns0:v>
      </ns0:c>
      <ns0:c r="Q733">
        <ns0:f>IF(AND(L733=1,O733*Calculations!$B$2&lt;=Calculations!$B$10*Calculations!$B$4),1,0)</ns0:f>
        <ns0:v>0</ns0:v>
      </ns0:c>
      <ns0:c r="R733">
        <ns0:f>IF(AND(L733=1,O733*Calculations!$B$2&lt;=Calculations!$B$11*Calculations!$B$4),1,0)</ns0:f>
        <ns0:v>1</ns0:v>
      </ns0:c>
    </ns0:row>
    <ns0:row r="734">
      <ns0:c r="A734" t="inlineStr">
        <ns0:is>
          <ns0:t>case_0733</ns0:t>
        </ns0:is>
      </ns0:c>
      <ns0:c r="B734" t="inlineStr">
        <ns0:is>
          <ns0:t>function_0129</ns0:t>
        </ns0:is>
      </ns0:c>
      <ns0:c r="C734" t="inlineStr">
        <ns0:is>
          <ns0:t>run_008</ns0:t>
        </ns0:is>
      </ns0:c>
      <ns0:c r="D734" t="inlineStr">
        <ns0:is>
          <ns0:t>humantime</ns0:t>
        </ns0:is>
      </ns0:c>
      <ns0:c r="E734" t="inlineStr">
        <ns0:is>
          <ns0:t>gpt-4o-mini</ns0:t>
        </ns0:is>
      </ns0:c>
      <ns0:c r="F734" t="inlineStr">
        <ns0:is>
          <ns0:t>E0433</ns0:t>
        </ns0:is>
      </ns0:c>
      <ns0:c r="G734" t="n">
        <ns0:v>1</ns0:v>
      </ns0:c>
      <ns0:c r="H734" t="n">
        <ns0:v>0</ns0:v>
      </ns0:c>
      <ns0:c r="I734" t="n">
        <ns0:v>0</ns0:v>
      </ns0:c>
      <ns0:c r="J734" t="n">
        <ns0:v>0</ns0:v>
      </ns0:c>
      <ns0:c r="K734" t="n">
        <ns0:v>0</ns0:v>
      </ns0:c>
      <ns0:c r="L734" t="n">
        <ns0:v>1</ns0:v>
      </ns0:c>
      <ns0:c r="M734" t="n">
        <ns0:v>21329</ns0:v>
      </ns0:c>
      <ns0:c r="N734" t="n">
        <ns0:v>223</ns0:v>
      </ns0:c>
      <ns0:c r="O734" t="n">
        <ns0:v>21552</ns0:v>
      </ns0:c>
      <ns0:c r="P734" t="n">
        <ns0:v>3</ns0:v>
      </ns0:c>
      <ns0:c r="Q734">
        <ns0:f>IF(AND(L734=1,O734*Calculations!$B$2&lt;=Calculations!$B$10*Calculations!$B$4),1,0)</ns0:f>
        <ns0:v>1</ns0:v>
      </ns0:c>
      <ns0:c r="R734">
        <ns0:f>IF(AND(L734=1,O734*Calculations!$B$2&lt;=Calculations!$B$11*Calculations!$B$4),1,0)</ns0:f>
        <ns0:v>1</ns0:v>
      </ns0:c>
    </ns0:row>
    <ns0:row r="735">
      <ns0:c r="A735" t="inlineStr">
        <ns0:is>
          <ns0:t>case_0734</ns0:t>
        </ns0:is>
      </ns0:c>
      <ns0:c r="B735" t="inlineStr">
        <ns0:is>
          <ns0:t>function_0129</ns0:t>
        </ns0:is>
      </ns0:c>
      <ns0:c r="C735" t="inlineStr">
        <ns0:is>
          <ns0:t>run_008</ns0:t>
        </ns0:is>
      </ns0:c>
      <ns0:c r="D735" t="inlineStr">
        <ns0:is>
          <ns0:t>humantime</ns0:t>
        </ns0:is>
      </ns0:c>
      <ns0:c r="E735" t="inlineStr">
        <ns0:is>
          <ns0:t>gpt-4o-mini</ns0:t>
        </ns0:is>
      </ns0:c>
      <ns0:c r="F735" t="inlineStr">
        <ns0:is>
          <ns0:t>E0433</ns0:t>
        </ns0:is>
      </ns0:c>
      <ns0:c r="G735" t="n">
        <ns0:v>1</ns0:v>
      </ns0:c>
      <ns0:c r="H735" t="n">
        <ns0:v>0</ns0:v>
      </ns0:c>
      <ns0:c r="I735" t="n">
        <ns0:v>0</ns0:v>
      </ns0:c>
      <ns0:c r="J735" t="n">
        <ns0:v>0</ns0:v>
      </ns0:c>
      <ns0:c r="K735" t="n">
        <ns0:v>0</ns0:v>
      </ns0:c>
      <ns0:c r="L735" t="n">
        <ns0:v>1</ns0:v>
      </ns0:c>
      <ns0:c r="M735" t="n">
        <ns0:v>20177</ns0:v>
      </ns0:c>
      <ns0:c r="N735" t="n">
        <ns0:v>255</ns0:v>
      </ns0:c>
      <ns0:c r="O735" t="n">
        <ns0:v>20432</ns0:v>
      </ns0:c>
      <ns0:c r="P735" t="n">
        <ns0:v>3</ns0:v>
      </ns0:c>
      <ns0:c r="Q735">
        <ns0:f>IF(AND(L735=1,O735*Calculations!$B$2&lt;=Calculations!$B$10*Calculations!$B$4),1,0)</ns0:f>
        <ns0:v>1</ns0:v>
      </ns0:c>
      <ns0:c r="R735">
        <ns0:f>IF(AND(L735=1,O735*Calculations!$B$2&lt;=Calculations!$B$11*Calculations!$B$4),1,0)</ns0:f>
        <ns0:v>1</ns0:v>
      </ns0:c>
    </ns0:row>
    <ns0:row r="736">
      <ns0:c r="A736" t="inlineStr">
        <ns0:is>
          <ns0:t>case_0735</ns0:t>
        </ns0:is>
      </ns0:c>
      <ns0:c r="B736" t="inlineStr">
        <ns0:is>
          <ns0:t>function_0129</ns0:t>
        </ns0:is>
      </ns0:c>
      <ns0:c r="C736" t="inlineStr">
        <ns0:is>
          <ns0:t>run_008</ns0:t>
        </ns0:is>
      </ns0:c>
      <ns0:c r="D736" t="inlineStr">
        <ns0:is>
          <ns0:t>humantime</ns0:t>
        </ns0:is>
      </ns0:c>
      <ns0:c r="E736" t="inlineStr">
        <ns0:is>
          <ns0:t>gpt-4o-mini</ns0:t>
        </ns0:is>
      </ns0:c>
      <ns0:c r="F736" t="inlineStr">
        <ns0:is>
          <ns0:t>E0433</ns0:t>
        </ns0:is>
      </ns0:c>
      <ns0:c r="G736" t="n">
        <ns0:v>1</ns0:v>
      </ns0:c>
      <ns0:c r="H736" t="n">
        <ns0:v>0</ns0:v>
      </ns0:c>
      <ns0:c r="I736" t="n">
        <ns0:v>0</ns0:v>
      </ns0:c>
      <ns0:c r="J736" t="n">
        <ns0:v>0</ns0:v>
      </ns0:c>
      <ns0:c r="K736" t="n">
        <ns0:v>0</ns0:v>
      </ns0:c>
      <ns0:c r="L736" t="n">
        <ns0:v>1</ns0:v>
      </ns0:c>
      <ns0:c r="M736" t="n">
        <ns0:v>20110</ns0:v>
      </ns0:c>
      <ns0:c r="N736" t="n">
        <ns0:v>251</ns0:v>
      </ns0:c>
      <ns0:c r="O736" t="n">
        <ns0:v>20361</ns0:v>
      </ns0:c>
      <ns0:c r="P736" t="n">
        <ns0:v>3</ns0:v>
      </ns0:c>
      <ns0:c r="Q736">
        <ns0:f>IF(AND(L736=1,O736*Calculations!$B$2&lt;=Calculations!$B$10*Calculations!$B$4),1,0)</ns0:f>
        <ns0:v>1</ns0:v>
      </ns0:c>
      <ns0:c r="R736">
        <ns0:f>IF(AND(L736=1,O736*Calculations!$B$2&lt;=Calculations!$B$11*Calculations!$B$4),1,0)</ns0:f>
        <ns0:v>1</ns0:v>
      </ns0:c>
    </ns0:row>
    <ns0:row r="737">
      <ns0:c r="A737" t="inlineStr">
        <ns0:is>
          <ns0:t>case_0736</ns0:t>
        </ns0:is>
      </ns0:c>
      <ns0:c r="B737" t="inlineStr">
        <ns0:is>
          <ns0:t>function_0129</ns0:t>
        </ns0:is>
      </ns0:c>
      <ns0:c r="C737" t="inlineStr">
        <ns0:is>
          <ns0:t>run_008</ns0:t>
        </ns0:is>
      </ns0:c>
      <ns0:c r="D737" t="inlineStr">
        <ns0:is>
          <ns0:t>humantime</ns0:t>
        </ns0:is>
      </ns0:c>
      <ns0:c r="E737" t="inlineStr">
        <ns0:is>
          <ns0:t>gpt-4o-mini</ns0:t>
        </ns0:is>
      </ns0:c>
      <ns0:c r="F737" t="inlineStr">
        <ns0:is>
          <ns0:t>E0433</ns0:t>
        </ns0:is>
      </ns0:c>
      <ns0:c r="G737" t="n">
        <ns0:v>1</ns0:v>
      </ns0:c>
      <ns0:c r="H737" t="n">
        <ns0:v>0</ns0:v>
      </ns0:c>
      <ns0:c r="I737" t="n">
        <ns0:v>0</ns0:v>
      </ns0:c>
      <ns0:c r="J737" t="n">
        <ns0:v>0</ns0:v>
      </ns0:c>
      <ns0:c r="K737" t="n">
        <ns0:v>0</ns0:v>
      </ns0:c>
      <ns0:c r="L737" t="n">
        <ns0:v>0</ns0:v>
      </ns0:c>
      <ns0:c r="M737" t="n">
        <ns0:v>13510</ns0:v>
      </ns0:c>
      <ns0:c r="N737" t="n">
        <ns0:v>332</ns0:v>
      </ns0:c>
      <ns0:c r="O737" t="n">
        <ns0:v>13842</ns0:v>
      </ns0:c>
      <ns0:c r="P737" t="n">
        <ns0:v>2</ns0:v>
      </ns0:c>
      <ns0:c r="Q737">
        <ns0:f>IF(AND(L737=1,O737*Calculations!$B$2&lt;=Calculations!$B$10*Calculations!$B$4),1,0)</ns0:f>
        <ns0:v>0</ns0:v>
      </ns0:c>
      <ns0:c r="R737">
        <ns0:f>IF(AND(L737=1,O737*Calculations!$B$2&lt;=Calculations!$B$11*Calculations!$B$4),1,0)</ns0:f>
        <ns0:v>0</ns0:v>
      </ns0:c>
    </ns0:row>
    <ns0:row r="738">
      <ns0:c r="A738" t="inlineStr">
        <ns0:is>
          <ns0:t>case_0737</ns0:t>
        </ns0:is>
      </ns0:c>
      <ns0:c r="B738" t="inlineStr">
        <ns0:is>
          <ns0:t>function_0129</ns0:t>
        </ns0:is>
      </ns0:c>
      <ns0:c r="C738" t="inlineStr">
        <ns0:is>
          <ns0:t>run_008</ns0:t>
        </ns0:is>
      </ns0:c>
      <ns0:c r="D738" t="inlineStr">
        <ns0:is>
          <ns0:t>humantime</ns0:t>
        </ns0:is>
      </ns0:c>
      <ns0:c r="E738" t="inlineStr">
        <ns0:is>
          <ns0:t>gpt-4o-mini</ns0:t>
        </ns0:is>
      </ns0:c>
      <ns0:c r="F738" t="inlineStr">
        <ns0:is>
          <ns0:t>E0433</ns0:t>
        </ns0:is>
      </ns0:c>
      <ns0:c r="G738" t="n">
        <ns0:v>1</ns0:v>
      </ns0:c>
      <ns0:c r="H738" t="n">
        <ns0:v>0</ns0:v>
      </ns0:c>
      <ns0:c r="I738" t="n">
        <ns0:v>0</ns0:v>
      </ns0:c>
      <ns0:c r="J738" t="n">
        <ns0:v>0</ns0:v>
      </ns0:c>
      <ns0:c r="K738" t="n">
        <ns0:v>0</ns0:v>
      </ns0:c>
      <ns0:c r="L738" t="n">
        <ns0:v>1</ns0:v>
      </ns0:c>
      <ns0:c r="M738" t="n">
        <ns0:v>21273</ns0:v>
      </ns0:c>
      <ns0:c r="N738" t="n">
        <ns0:v>312</ns0:v>
      </ns0:c>
      <ns0:c r="O738" t="n">
        <ns0:v>21585</ns0:v>
      </ns0:c>
      <ns0:c r="P738" t="n">
        <ns0:v>3</ns0:v>
      </ns0:c>
      <ns0:c r="Q738">
        <ns0:f>IF(AND(L738=1,O738*Calculations!$B$2&lt;=Calculations!$B$10*Calculations!$B$4),1,0)</ns0:f>
        <ns0:v>1</ns0:v>
      </ns0:c>
      <ns0:c r="R738">
        <ns0:f>IF(AND(L738=1,O738*Calculations!$B$2&lt;=Calculations!$B$11*Calculations!$B$4),1,0)</ns0:f>
        <ns0:v>1</ns0:v>
      </ns0:c>
    </ns0:row>
    <ns0:row r="739">
      <ns0:c r="A739" t="inlineStr">
        <ns0:is>
          <ns0:t>case_0738</ns0:t>
        </ns0:is>
      </ns0:c>
      <ns0:c r="B739" t="inlineStr">
        <ns0:is>
          <ns0:t>function_0129</ns0:t>
        </ns0:is>
      </ns0:c>
      <ns0:c r="C739" t="inlineStr">
        <ns0:is>
          <ns0:t>run_008</ns0:t>
        </ns0:is>
      </ns0:c>
      <ns0:c r="D739" t="inlineStr">
        <ns0:is>
          <ns0:t>humantime</ns0:t>
        </ns0:is>
      </ns0:c>
      <ns0:c r="E739" t="inlineStr">
        <ns0:is>
          <ns0:t>gpt-4o-mini</ns0:t>
        </ns0:is>
      </ns0:c>
      <ns0:c r="F739" t="inlineStr">
        <ns0:is>
          <ns0:t>E0277,E0433</ns0:t>
        </ns0:is>
      </ns0:c>
      <ns0:c r="G739" t="n">
        <ns0:v>0</ns0:v>
      </ns0:c>
      <ns0:c r="H739" t="n">
        <ns0:v>3678</ns0:v>
      </ns0:c>
      <ns0:c r="I739" t="n">
        <ns0:v>187</ns0:v>
      </ns0:c>
      <ns0:c r="J739" t="n">
        <ns0:v>3865</ns0:v>
      </ns0:c>
      <ns0:c r="K739" t="n">
        <ns0:v>3</ns0:v>
      </ns0:c>
      <ns0:c r="L739" t="n">
        <ns0:v>1</ns0:v>
      </ns0:c>
      <ns0:c r="M739" t="n">
        <ns0:v>59632</ns0:v>
      </ns0:c>
      <ns0:c r="N739" t="n">
        <ns0:v>1976</ns0:v>
      </ns0:c>
      <ns0:c r="O739" t="n">
        <ns0:v>61608</ns0:v>
      </ns0:c>
      <ns0:c r="P739" t="n">
        <ns0:v>8</ns0:v>
      </ns0:c>
      <ns0:c r="Q739">
        <ns0:f>IF(AND(L739=1,O739*Calculations!$B$2&lt;=Calculations!$B$10*Calculations!$B$4),1,0)</ns0:f>
        <ns0:v>0</ns0:v>
      </ns0:c>
      <ns0:c r="R739">
        <ns0:f>IF(AND(L739=1,O739*Calculations!$B$2&lt;=Calculations!$B$11*Calculations!$B$4),1,0)</ns0:f>
        <ns0:v>0</ns0:v>
      </ns0:c>
    </ns0:row>
    <ns0:row r="740">
      <ns0:c r="A740" t="inlineStr">
        <ns0:is>
          <ns0:t>case_0739</ns0:t>
        </ns0:is>
      </ns0:c>
      <ns0:c r="B740" t="inlineStr">
        <ns0:is>
          <ns0:t>function_0130</ns0:t>
        </ns0:is>
      </ns0:c>
      <ns0:c r="C740" t="inlineStr">
        <ns0:is>
          <ns0:t>run_008</ns0:t>
        </ns0:is>
      </ns0:c>
      <ns0:c r="D740" t="inlineStr">
        <ns0:is>
          <ns0:t>humantime</ns0:t>
        </ns0:is>
      </ns0:c>
      <ns0:c r="E740" t="inlineStr">
        <ns0:is>
          <ns0:t>gpt-4o-mini</ns0:t>
        </ns0:is>
      </ns0:c>
      <ns0:c r="F740" t="inlineStr">
        <ns0:is>
          <ns0:t>E0433</ns0:t>
        </ns0:is>
      </ns0:c>
      <ns0:c r="G740" t="n">
        <ns0:v>1</ns0:v>
      </ns0:c>
      <ns0:c r="H740" t="n">
        <ns0:v>0</ns0:v>
      </ns0:c>
      <ns0:c r="I740" t="n">
        <ns0:v>0</ns0:v>
      </ns0:c>
      <ns0:c r="J740" t="n">
        <ns0:v>0</ns0:v>
      </ns0:c>
      <ns0:c r="K740" t="n">
        <ns0:v>0</ns0:v>
      </ns0:c>
      <ns0:c r="L740" t="n">
        <ns0:v>1</ns0:v>
      </ns0:c>
      <ns0:c r="M740" t="n">
        <ns0:v>20082</ns0:v>
      </ns0:c>
      <ns0:c r="N740" t="n">
        <ns0:v>157</ns0:v>
      </ns0:c>
      <ns0:c r="O740" t="n">
        <ns0:v>20239</ns0:v>
      </ns0:c>
      <ns0:c r="P740" t="n">
        <ns0:v>3</ns0:v>
      </ns0:c>
      <ns0:c r="Q740">
        <ns0:f>IF(AND(L740=1,O740*Calculations!$B$2&lt;=Calculations!$B$10*Calculations!$B$4),1,0)</ns0:f>
        <ns0:v>1</ns0:v>
      </ns0:c>
      <ns0:c r="R740">
        <ns0:f>IF(AND(L740=1,O740*Calculations!$B$2&lt;=Calculations!$B$11*Calculations!$B$4),1,0)</ns0:f>
        <ns0:v>1</ns0:v>
      </ns0:c>
    </ns0:row>
    <ns0:row r="741">
      <ns0:c r="A741" t="inlineStr">
        <ns0:is>
          <ns0:t>case_0740</ns0:t>
        </ns0:is>
      </ns0:c>
      <ns0:c r="B741" t="inlineStr">
        <ns0:is>
          <ns0:t>function_0130</ns0:t>
        </ns0:is>
      </ns0:c>
      <ns0:c r="C741" t="inlineStr">
        <ns0:is>
          <ns0:t>run_008</ns0:t>
        </ns0:is>
      </ns0:c>
      <ns0:c r="D741" t="inlineStr">
        <ns0:is>
          <ns0:t>humantime</ns0:t>
        </ns0:is>
      </ns0:c>
      <ns0:c r="E741" t="inlineStr">
        <ns0:is>
          <ns0:t>gpt-4o-mini</ns0:t>
        </ns0:is>
      </ns0:c>
      <ns0:c r="F741" t="inlineStr">
        <ns0:is>
          <ns0:t>E0369,E0433</ns0:t>
        </ns0:is>
      </ns0:c>
      <ns0:c r="G741" t="n">
        <ns0:v>0</ns0:v>
      </ns0:c>
      <ns0:c r="H741" t="n">
        <ns0:v>5168</ns0:v>
      </ns0:c>
      <ns0:c r="I741" t="n">
        <ns0:v>291</ns0:v>
      </ns0:c>
      <ns0:c r="J741" t="n">
        <ns0:v>5459</ns0:v>
      </ns0:c>
      <ns0:c r="K741" t="n">
        <ns0:v>3</ns0:v>
      </ns0:c>
      <ns0:c r="L741" t="n">
        <ns0:v>1</ns0:v>
      </ns0:c>
      <ns0:c r="M741" t="n">
        <ns0:v>43203</ns0:v>
      </ns0:c>
      <ns0:c r="N741" t="n">
        <ns0:v>1035</ns0:v>
      </ns0:c>
      <ns0:c r="O741" t="n">
        <ns0:v>44238</ns0:v>
      </ns0:c>
      <ns0:c r="P741" t="n">
        <ns0:v>6</ns0:v>
      </ns0:c>
      <ns0:c r="Q741">
        <ns0:f>IF(AND(L741=1,O741*Calculations!$B$2&lt;=Calculations!$B$10*Calculations!$B$4),1,0)</ns0:f>
        <ns0:v>0</ns0:v>
      </ns0:c>
      <ns0:c r="R741">
        <ns0:f>IF(AND(L741=1,O741*Calculations!$B$2&lt;=Calculations!$B$11*Calculations!$B$4),1,0)</ns0:f>
        <ns0:v>1</ns0:v>
      </ns0:c>
    </ns0:row>
    <ns0:row r="742">
      <ns0:c r="A742" t="inlineStr">
        <ns0:is>
          <ns0:t>case_0741</ns0:t>
        </ns0:is>
      </ns0:c>
      <ns0:c r="B742" t="inlineStr">
        <ns0:is>
          <ns0:t>function_0130</ns0:t>
        </ns0:is>
      </ns0:c>
      <ns0:c r="C742" t="inlineStr">
        <ns0:is>
          <ns0:t>run_008</ns0:t>
        </ns0:is>
      </ns0:c>
      <ns0:c r="D742" t="inlineStr">
        <ns0:is>
          <ns0:t>humantime</ns0:t>
        </ns0:is>
      </ns0:c>
      <ns0:c r="E742" t="inlineStr">
        <ns0:is>
          <ns0:t>gpt-4o-mini</ns0:t>
        </ns0:is>
      </ns0:c>
      <ns0:c r="F742" t="inlineStr">
        <ns0:is>
          <ns0:t>E0433</ns0:t>
        </ns0:is>
      </ns0:c>
      <ns0:c r="G742" t="n">
        <ns0:v>1</ns0:v>
      </ns0:c>
      <ns0:c r="H742" t="n">
        <ns0:v>0</ns0:v>
      </ns0:c>
      <ns0:c r="I742" t="n">
        <ns0:v>0</ns0:v>
      </ns0:c>
      <ns0:c r="J742" t="n">
        <ns0:v>0</ns0:v>
      </ns0:c>
      <ns0:c r="K742" t="n">
        <ns0:v>0</ns0:v>
      </ns0:c>
      <ns0:c r="L742" t="n">
        <ns0:v>1</ns0:v>
      </ns0:c>
      <ns0:c r="M742" t="n">
        <ns0:v>20106</ns0:v>
      </ns0:c>
      <ns0:c r="N742" t="n">
        <ns0:v>174</ns0:v>
      </ns0:c>
      <ns0:c r="O742" t="n">
        <ns0:v>20280</ns0:v>
      </ns0:c>
      <ns0:c r="P742" t="n">
        <ns0:v>3</ns0:v>
      </ns0:c>
      <ns0:c r="Q742">
        <ns0:f>IF(AND(L742=1,O742*Calculations!$B$2&lt;=Calculations!$B$10*Calculations!$B$4),1,0)</ns0:f>
        <ns0:v>1</ns0:v>
      </ns0:c>
      <ns0:c r="R742">
        <ns0:f>IF(AND(L742=1,O742*Calculations!$B$2&lt;=Calculations!$B$11*Calculations!$B$4),1,0)</ns0:f>
        <ns0:v>1</ns0:v>
      </ns0:c>
    </ns0:row>
    <ns0:row r="743">
      <ns0:c r="A743" t="inlineStr">
        <ns0:is>
          <ns0:t>case_0742</ns0:t>
        </ns0:is>
      </ns0:c>
      <ns0:c r="B743" t="inlineStr">
        <ns0:is>
          <ns0:t>function_0130</ns0:t>
        </ns0:is>
      </ns0:c>
      <ns0:c r="C743" t="inlineStr">
        <ns0:is>
          <ns0:t>run_008</ns0:t>
        </ns0:is>
      </ns0:c>
      <ns0:c r="D743" t="inlineStr">
        <ns0:is>
          <ns0:t>humantime</ns0:t>
        </ns0:is>
      </ns0:c>
      <ns0:c r="E743" t="inlineStr">
        <ns0:is>
          <ns0:t>gpt-4o-mini</ns0:t>
        </ns0:is>
      </ns0:c>
      <ns0:c r="F743" t="inlineStr">
        <ns0:is>
          <ns0:t>E0433</ns0:t>
        </ns0:is>
      </ns0:c>
      <ns0:c r="G743" t="n">
        <ns0:v>1</ns0:v>
      </ns0:c>
      <ns0:c r="H743" t="n">
        <ns0:v>0</ns0:v>
      </ns0:c>
      <ns0:c r="I743" t="n">
        <ns0:v>0</ns0:v>
      </ns0:c>
      <ns0:c r="J743" t="n">
        <ns0:v>0</ns0:v>
      </ns0:c>
      <ns0:c r="K743" t="n">
        <ns0:v>0</ns0:v>
      </ns0:c>
      <ns0:c r="L743" t="n">
        <ns0:v>1</ns0:v>
      </ns0:c>
      <ns0:c r="M743" t="n">
        <ns0:v>27360</ns0:v>
      </ns0:c>
      <ns0:c r="N743" t="n">
        <ns0:v>247</ns0:v>
      </ns0:c>
      <ns0:c r="O743" t="n">
        <ns0:v>27607</ns0:v>
      </ns0:c>
      <ns0:c r="P743" t="n">
        <ns0:v>4</ns0:v>
      </ns0:c>
      <ns0:c r="Q743">
        <ns0:f>IF(AND(L743=1,O743*Calculations!$B$2&lt;=Calculations!$B$10*Calculations!$B$4),1,0)</ns0:f>
        <ns0:v>0</ns0:v>
      </ns0:c>
      <ns0:c r="R743">
        <ns0:f>IF(AND(L743=1,O743*Calculations!$B$2&lt;=Calculations!$B$11*Calculations!$B$4),1,0)</ns0:f>
        <ns0:v>1</ns0:v>
      </ns0:c>
    </ns0:row>
    <ns0:row r="744">
      <ns0:c r="A744" t="inlineStr">
        <ns0:is>
          <ns0:t>case_0743</ns0:t>
        </ns0:is>
      </ns0:c>
      <ns0:c r="B744" t="inlineStr">
        <ns0:is>
          <ns0:t>function_0130</ns0:t>
        </ns0:is>
      </ns0:c>
      <ns0:c r="C744" t="inlineStr">
        <ns0:is>
          <ns0:t>run_008</ns0:t>
        </ns0:is>
      </ns0:c>
      <ns0:c r="D744" t="inlineStr">
        <ns0:is>
          <ns0:t>humantime</ns0:t>
        </ns0:is>
      </ns0:c>
      <ns0:c r="E744" t="inlineStr">
        <ns0:is>
          <ns0:t>gpt-4o-mini</ns0:t>
        </ns0:is>
      </ns0:c>
      <ns0:c r="F744" t="inlineStr">
        <ns0:is>
          <ns0:t>E0432</ns0:t>
        </ns0:is>
      </ns0:c>
      <ns0:c r="G744" t="n">
        <ns0:v>0</ns0:v>
      </ns0:c>
      <ns0:c r="H744" t="n">
        <ns0:v>0</ns0:v>
      </ns0:c>
      <ns0:c r="I744" t="n">
        <ns0:v>0</ns0:v>
      </ns0:c>
      <ns0:c r="J744" t="n">
        <ns0:v>0</ns0:v>
      </ns0:c>
      <ns0:c r="K744" t="n">
        <ns0:v>0</ns0:v>
      </ns0:c>
      <ns0:c r="L744" t="n">
        <ns0:v>1</ns0:v>
      </ns0:c>
      <ns0:c r="M744" t="n">
        <ns0:v>35379</ns0:v>
      </ns0:c>
      <ns0:c r="N744" t="n">
        <ns0:v>657</ns0:v>
      </ns0:c>
      <ns0:c r="O744" t="n">
        <ns0:v>36036</ns0:v>
      </ns0:c>
      <ns0:c r="P744" t="n">
        <ns0:v>5</ns0:v>
      </ns0:c>
      <ns0:c r="Q744">
        <ns0:f>IF(AND(L744=1,O744*Calculations!$B$2&lt;=Calculations!$B$10*Calculations!$B$4),1,0)</ns0:f>
        <ns0:v>0</ns0:v>
      </ns0:c>
      <ns0:c r="R744">
        <ns0:f>IF(AND(L744=1,O744*Calculations!$B$2&lt;=Calculations!$B$11*Calculations!$B$4),1,0)</ns0:f>
        <ns0:v>1</ns0:v>
      </ns0:c>
    </ns0:row>
    <ns0:row r="745">
      <ns0:c r="A745" t="inlineStr">
        <ns0:is>
          <ns0:t>case_0744</ns0:t>
        </ns0:is>
      </ns0:c>
      <ns0:c r="B745" t="inlineStr">
        <ns0:is>
          <ns0:t>function_0130</ns0:t>
        </ns0:is>
      </ns0:c>
      <ns0:c r="C745" t="inlineStr">
        <ns0:is>
          <ns0:t>run_008</ns0:t>
        </ns0:is>
      </ns0:c>
      <ns0:c r="D745" t="inlineStr">
        <ns0:is>
          <ns0:t>humantime</ns0:t>
        </ns0:is>
      </ns0:c>
      <ns0:c r="E745" t="inlineStr">
        <ns0:is>
          <ns0:t>gpt-4o-mini</ns0:t>
        </ns0:is>
      </ns0:c>
      <ns0:c r="F745" t="inlineStr">
        <ns0:is>
          <ns0:t>E0432,E0433</ns0:t>
        </ns0:is>
      </ns0:c>
      <ns0:c r="G745" t="n">
        <ns0:v>1</ns0:v>
      </ns0:c>
      <ns0:c r="H745" t="n">
        <ns0:v>0</ns0:v>
      </ns0:c>
      <ns0:c r="I745" t="n">
        <ns0:v>0</ns0:v>
      </ns0:c>
      <ns0:c r="J745" t="n">
        <ns0:v>0</ns0:v>
      </ns0:c>
      <ns0:c r="K745" t="n">
        <ns0:v>0</ns0:v>
      </ns0:c>
      <ns0:c r="L745" t="n">
        <ns0:v>1</ns0:v>
      </ns0:c>
      <ns0:c r="M745" t="n">
        <ns0:v>27339</ns0:v>
      </ns0:c>
      <ns0:c r="N745" t="n">
        <ns0:v>345</ns0:v>
      </ns0:c>
      <ns0:c r="O745" t="n">
        <ns0:v>27684</ns0:v>
      </ns0:c>
      <ns0:c r="P745" t="n">
        <ns0:v>4</ns0:v>
      </ns0:c>
      <ns0:c r="Q745">
        <ns0:f>IF(AND(L745=1,O745*Calculations!$B$2&lt;=Calculations!$B$10*Calculations!$B$4),1,0)</ns0:f>
        <ns0:v>0</ns0:v>
      </ns0:c>
      <ns0:c r="R745">
        <ns0:f>IF(AND(L745=1,O745*Calculations!$B$2&lt;=Calculations!$B$11*Calculations!$B$4),1,0)</ns0:f>
        <ns0:v>1</ns0:v>
      </ns0:c>
    </ns0:row>
    <ns0:row r="746">
      <ns0:c r="A746" t="inlineStr">
        <ns0:is>
          <ns0:t>case_0745</ns0:t>
        </ns0:is>
      </ns0:c>
      <ns0:c r="B746" t="inlineStr">
        <ns0:is>
          <ns0:t>function_0131</ns0:t>
        </ns0:is>
      </ns0:c>
      <ns0:c r="C746" t="inlineStr">
        <ns0:is>
          <ns0:t>run_008</ns0:t>
        </ns0:is>
      </ns0:c>
      <ns0:c r="D746" t="inlineStr">
        <ns0:is>
          <ns0:t>humantime</ns0:t>
        </ns0:is>
      </ns0:c>
      <ns0:c r="E746" t="inlineStr">
        <ns0:is>
          <ns0:t>gpt-4o-mini</ns0:t>
        </ns0:is>
      </ns0:c>
      <ns0:c r="F746" t="inlineStr">
        <ns0:is>
          <ns0:t>E0433</ns0:t>
        </ns0:is>
      </ns0:c>
      <ns0:c r="G746" t="n">
        <ns0:v>1</ns0:v>
      </ns0:c>
      <ns0:c r="H746" t="n">
        <ns0:v>0</ns0:v>
      </ns0:c>
      <ns0:c r="I746" t="n">
        <ns0:v>0</ns0:v>
      </ns0:c>
      <ns0:c r="J746" t="n">
        <ns0:v>0</ns0:v>
      </ns0:c>
      <ns0:c r="K746" t="n">
        <ns0:v>0</ns0:v>
      </ns0:c>
      <ns0:c r="L746" t="n">
        <ns0:v>1</ns0:v>
      </ns0:c>
      <ns0:c r="M746" t="n">
        <ns0:v>40708</ns0:v>
      </ns0:c>
      <ns0:c r="N746" t="n">
        <ns0:v>550</ns0:v>
      </ns0:c>
      <ns0:c r="O746" t="n">
        <ns0:v>41258</ns0:v>
      </ns0:c>
      <ns0:c r="P746" t="n">
        <ns0:v>5</ns0:v>
      </ns0:c>
      <ns0:c r="Q746">
        <ns0:f>IF(AND(L746=1,O746*Calculations!$B$2&lt;=Calculations!$B$10*Calculations!$B$4),1,0)</ns0:f>
        <ns0:v>0</ns0:v>
      </ns0:c>
      <ns0:c r="R746">
        <ns0:f>IF(AND(L746=1,O746*Calculations!$B$2&lt;=Calculations!$B$11*Calculations!$B$4),1,0)</ns0:f>
        <ns0:v>1</ns0:v>
      </ns0:c>
    </ns0:row>
    <ns0:row r="747">
      <ns0:c r="A747" t="inlineStr">
        <ns0:is>
          <ns0:t>case_0746</ns0:t>
        </ns0:is>
      </ns0:c>
      <ns0:c r="B747" t="inlineStr">
        <ns0:is>
          <ns0:t>function_0131</ns0:t>
        </ns0:is>
      </ns0:c>
      <ns0:c r="C747" t="inlineStr">
        <ns0:is>
          <ns0:t>run_008</ns0:t>
        </ns0:is>
      </ns0:c>
      <ns0:c r="D747" t="inlineStr">
        <ns0:is>
          <ns0:t>humantime</ns0:t>
        </ns0:is>
      </ns0:c>
      <ns0:c r="E747" t="inlineStr">
        <ns0:is>
          <ns0:t>gpt-4o-mini</ns0:t>
        </ns0:is>
      </ns0:c>
      <ns0:c r="F747" t="inlineStr">
        <ns0:is>
          <ns0:t>E0433</ns0:t>
        </ns0:is>
      </ns0:c>
      <ns0:c r="G747" t="n">
        <ns0:v>1</ns0:v>
      </ns0:c>
      <ns0:c r="H747" t="n">
        <ns0:v>0</ns0:v>
      </ns0:c>
      <ns0:c r="I747" t="n">
        <ns0:v>0</ns0:v>
      </ns0:c>
      <ns0:c r="J747" t="n">
        <ns0:v>0</ns0:v>
      </ns0:c>
      <ns0:c r="K747" t="n">
        <ns0:v>0</ns0:v>
      </ns0:c>
      <ns0:c r="L747" t="n">
        <ns0:v>1</ns0:v>
      </ns0:c>
      <ns0:c r="M747" t="n">
        <ns0:v>20156</ns0:v>
      </ns0:c>
      <ns0:c r="N747" t="n">
        <ns0:v>366</ns0:v>
      </ns0:c>
      <ns0:c r="O747" t="n">
        <ns0:v>20522</ns0:v>
      </ns0:c>
      <ns0:c r="P747" t="n">
        <ns0:v>3</ns0:v>
      </ns0:c>
      <ns0:c r="Q747">
        <ns0:f>IF(AND(L747=1,O747*Calculations!$B$2&lt;=Calculations!$B$10*Calculations!$B$4),1,0)</ns0:f>
        <ns0:v>1</ns0:v>
      </ns0:c>
      <ns0:c r="R747">
        <ns0:f>IF(AND(L747=1,O747*Calculations!$B$2&lt;=Calculations!$B$11*Calculations!$B$4),1,0)</ns0:f>
        <ns0:v>1</ns0:v>
      </ns0:c>
    </ns0:row>
    <ns0:row r="748">
      <ns0:c r="A748" t="inlineStr">
        <ns0:is>
          <ns0:t>case_0747</ns0:t>
        </ns0:is>
      </ns0:c>
      <ns0:c r="B748" t="inlineStr">
        <ns0:is>
          <ns0:t>function_0132</ns0:t>
        </ns0:is>
      </ns0:c>
      <ns0:c r="C748" t="inlineStr">
        <ns0:is>
          <ns0:t>run_008</ns0:t>
        </ns0:is>
      </ns0:c>
      <ns0:c r="D748" t="inlineStr">
        <ns0:is>
          <ns0:t>humantime</ns0:t>
        </ns0:is>
      </ns0:c>
      <ns0:c r="E748" t="inlineStr">
        <ns0:is>
          <ns0:t>gpt-4o-mini</ns0:t>
        </ns0:is>
      </ns0:c>
      <ns0:c r="F748" t="inlineStr">
        <ns0:is>
          <ns0:t>E0432</ns0:t>
        </ns0:is>
      </ns0:c>
      <ns0:c r="G748" t="n">
        <ns0:v>1</ns0:v>
      </ns0:c>
      <ns0:c r="H748" t="n">
        <ns0:v>0</ns0:v>
      </ns0:c>
      <ns0:c r="I748" t="n">
        <ns0:v>0</ns0:v>
      </ns0:c>
      <ns0:c r="J748" t="n">
        <ns0:v>0</ns0:v>
      </ns0:c>
      <ns0:c r="K748" t="n">
        <ns0:v>0</ns0:v>
      </ns0:c>
      <ns0:c r="L748" t="n">
        <ns0:v>1</ns0:v>
      </ns0:c>
      <ns0:c r="M748" t="n">
        <ns0:v>62014</ns0:v>
      </ns0:c>
      <ns0:c r="N748" t="n">
        <ns0:v>412</ns0:v>
      </ns0:c>
      <ns0:c r="O748" t="n">
        <ns0:v>62426</ns0:v>
      </ns0:c>
      <ns0:c r="P748" t="n">
        <ns0:v>4</ns0:v>
      </ns0:c>
      <ns0:c r="Q748">
        <ns0:f>IF(AND(L748=1,O748*Calculations!$B$2&lt;=Calculations!$B$10*Calculations!$B$4),1,0)</ns0:f>
        <ns0:v>0</ns0:v>
      </ns0:c>
      <ns0:c r="R748">
        <ns0:f>IF(AND(L748=1,O748*Calculations!$B$2&lt;=Calculations!$B$11*Calculations!$B$4),1,0)</ns0:f>
        <ns0:v>0</ns0:v>
      </ns0:c>
    </ns0:row>
    <ns0:row r="749">
      <ns0:c r="A749" t="inlineStr">
        <ns0:is>
          <ns0:t>case_0748</ns0:t>
        </ns0:is>
      </ns0:c>
      <ns0:c r="B749" t="inlineStr">
        <ns0:is>
          <ns0:t>function_0132</ns0:t>
        </ns0:is>
      </ns0:c>
      <ns0:c r="C749" t="inlineStr">
        <ns0:is>
          <ns0:t>run_008</ns0:t>
        </ns0:is>
      </ns0:c>
      <ns0:c r="D749" t="inlineStr">
        <ns0:is>
          <ns0:t>humantime</ns0:t>
        </ns0:is>
      </ns0:c>
      <ns0:c r="E749" t="inlineStr">
        <ns0:is>
          <ns0:t>gpt-4o-mini</ns0:t>
        </ns0:is>
      </ns0:c>
      <ns0:c r="F749" t="inlineStr">
        <ns0:is>
          <ns0:t>E0432</ns0:t>
        </ns0:is>
      </ns0:c>
      <ns0:c r="G749" t="n">
        <ns0:v>1</ns0:v>
      </ns0:c>
      <ns0:c r="H749" t="n">
        <ns0:v>0</ns0:v>
      </ns0:c>
      <ns0:c r="I749" t="n">
        <ns0:v>0</ns0:v>
      </ns0:c>
      <ns0:c r="J749" t="n">
        <ns0:v>0</ns0:v>
      </ns0:c>
      <ns0:c r="K749" t="n">
        <ns0:v>0</ns0:v>
      </ns0:c>
      <ns0:c r="L749" t="n">
        <ns0:v>1</ns0:v>
      </ns0:c>
      <ns0:c r="M749" t="n">
        <ns0:v>20577</ns0:v>
      </ns0:c>
      <ns0:c r="N749" t="n">
        <ns0:v>249</ns0:v>
      </ns0:c>
      <ns0:c r="O749" t="n">
        <ns0:v>20826</ns0:v>
      </ns0:c>
      <ns0:c r="P749" t="n">
        <ns0:v>3</ns0:v>
      </ns0:c>
      <ns0:c r="Q749">
        <ns0:f>IF(AND(L749=1,O749*Calculations!$B$2&lt;=Calculations!$B$10*Calculations!$B$4),1,0)</ns0:f>
        <ns0:v>1</ns0:v>
      </ns0:c>
      <ns0:c r="R749">
        <ns0:f>IF(AND(L749=1,O749*Calculations!$B$2&lt;=Calculations!$B$11*Calculations!$B$4),1,0)</ns0:f>
        <ns0:v>1</ns0:v>
      </ns0:c>
    </ns0:row>
    <ns0:row r="750">
      <ns0:c r="A750" t="inlineStr">
        <ns0:is>
          <ns0:t>case_0749</ns0:t>
        </ns0:is>
      </ns0:c>
      <ns0:c r="B750" t="inlineStr">
        <ns0:is>
          <ns0:t>function_0132</ns0:t>
        </ns0:is>
      </ns0:c>
      <ns0:c r="C750" t="inlineStr">
        <ns0:is>
          <ns0:t>run_008</ns0:t>
        </ns0:is>
      </ns0:c>
      <ns0:c r="D750" t="inlineStr">
        <ns0:is>
          <ns0:t>humantime</ns0:t>
        </ns0:is>
      </ns0:c>
      <ns0:c r="E750" t="inlineStr">
        <ns0:is>
          <ns0:t>gpt-4o-mini</ns0:t>
        </ns0:is>
      </ns0:c>
      <ns0:c r="F750" t="inlineStr">
        <ns0:is>
          <ns0:t>E0432</ns0:t>
        </ns0:is>
      </ns0:c>
      <ns0:c r="G750" t="n">
        <ns0:v>1</ns0:v>
      </ns0:c>
      <ns0:c r="H750" t="n">
        <ns0:v>0</ns0:v>
      </ns0:c>
      <ns0:c r="I750" t="n">
        <ns0:v>0</ns0:v>
      </ns0:c>
      <ns0:c r="J750" t="n">
        <ns0:v>0</ns0:v>
      </ns0:c>
      <ns0:c r="K750" t="n">
        <ns0:v>0</ns0:v>
      </ns0:c>
      <ns0:c r="L750" t="n">
        <ns0:v>1</ns0:v>
      </ns0:c>
      <ns0:c r="M750" t="n">
        <ns0:v>21029</ns0:v>
      </ns0:c>
      <ns0:c r="N750" t="n">
        <ns0:v>660</ns0:v>
      </ns0:c>
      <ns0:c r="O750" t="n">
        <ns0:v>21689</ns0:v>
      </ns0:c>
      <ns0:c r="P750" t="n">
        <ns0:v>3</ns0:v>
      </ns0:c>
      <ns0:c r="Q750">
        <ns0:f>IF(AND(L750=1,O750*Calculations!$B$2&lt;=Calculations!$B$10*Calculations!$B$4),1,0)</ns0:f>
        <ns0:v>1</ns0:v>
      </ns0:c>
      <ns0:c r="R750">
        <ns0:f>IF(AND(L750=1,O750*Calculations!$B$2&lt;=Calculations!$B$11*Calculations!$B$4),1,0)</ns0:f>
        <ns0:v>1</ns0:v>
      </ns0:c>
    </ns0:row>
    <ns0:row r="751">
      <ns0:c r="A751" t="inlineStr">
        <ns0:is>
          <ns0:t>case_0750</ns0:t>
        </ns0:is>
      </ns0:c>
      <ns0:c r="B751" t="inlineStr">
        <ns0:is>
          <ns0:t>function_0132</ns0:t>
        </ns0:is>
      </ns0:c>
      <ns0:c r="C751" t="inlineStr">
        <ns0:is>
          <ns0:t>run_008</ns0:t>
        </ns0:is>
      </ns0:c>
      <ns0:c r="D751" t="inlineStr">
        <ns0:is>
          <ns0:t>humantime</ns0:t>
        </ns0:is>
      </ns0:c>
      <ns0:c r="E751" t="inlineStr">
        <ns0:is>
          <ns0:t>gpt-4o-mini</ns0:t>
        </ns0:is>
      </ns0:c>
      <ns0:c r="F751" t="inlineStr">
        <ns0:is>
          <ns0:t>E0432</ns0:t>
        </ns0:is>
      </ns0:c>
      <ns0:c r="G751" t="n">
        <ns0:v>1</ns0:v>
      </ns0:c>
      <ns0:c r="H751" t="n">
        <ns0:v>0</ns0:v>
      </ns0:c>
      <ns0:c r="I751" t="n">
        <ns0:v>0</ns0:v>
      </ns0:c>
      <ns0:c r="J751" t="n">
        <ns0:v>0</ns0:v>
      </ns0:c>
      <ns0:c r="K751" t="n">
        <ns0:v>0</ns0:v>
      </ns0:c>
      <ns0:c r="L751" t="n">
        <ns0:v>1</ns0:v>
      </ns0:c>
      <ns0:c r="M751" t="n">
        <ns0:v>27619</ns0:v>
      </ns0:c>
      <ns0:c r="N751" t="n">
        <ns0:v>344</ns0:v>
      </ns0:c>
      <ns0:c r="O751" t="n">
        <ns0:v>27963</ns0:v>
      </ns0:c>
      <ns0:c r="P751" t="n">
        <ns0:v>4</ns0:v>
      </ns0:c>
      <ns0:c r="Q751">
        <ns0:f>IF(AND(L751=1,O751*Calculations!$B$2&lt;=Calculations!$B$10*Calculations!$B$4),1,0)</ns0:f>
        <ns0:v>0</ns0:v>
      </ns0:c>
      <ns0:c r="R751">
        <ns0:f>IF(AND(L751=1,O751*Calculations!$B$2&lt;=Calculations!$B$11*Calculations!$B$4),1,0)</ns0:f>
        <ns0:v>1</ns0:v>
      </ns0:c>
    </ns0:row>
    <ns0:row r="752">
      <ns0:c r="A752" t="inlineStr">
        <ns0:is>
          <ns0:t>case_0751</ns0:t>
        </ns0:is>
      </ns0:c>
      <ns0:c r="B752" t="inlineStr">
        <ns0:is>
          <ns0:t>function_0133</ns0:t>
        </ns0:is>
      </ns0:c>
      <ns0:c r="C752" t="inlineStr">
        <ns0:is>
          <ns0:t>run_008</ns0:t>
        </ns0:is>
      </ns0:c>
      <ns0:c r="D752" t="inlineStr">
        <ns0:is>
          <ns0:t>humantime</ns0:t>
        </ns0:is>
      </ns0:c>
      <ns0:c r="E752" t="inlineStr">
        <ns0:is>
          <ns0:t>gpt-4o-mini</ns0:t>
        </ns0:is>
      </ns0:c>
      <ns0:c r="F752" t="inlineStr">
        <ns0:is>
          <ns0:t>E0433</ns0:t>
        </ns0:is>
      </ns0:c>
      <ns0:c r="G752" t="n">
        <ns0:v>1</ns0:v>
      </ns0:c>
      <ns0:c r="H752" t="n">
        <ns0:v>689</ns0:v>
      </ns0:c>
      <ns0:c r="I752" t="n">
        <ns0:v>140</ns0:v>
      </ns0:c>
      <ns0:c r="J752" t="n">
        <ns0:v>829</ns0:v>
      </ns0:c>
      <ns0:c r="K752" t="n">
        <ns0:v>1</ns0:v>
      </ns0:c>
      <ns0:c r="L752" t="n">
        <ns0:v>1</ns0:v>
      </ns0:c>
      <ns0:c r="M752" t="n">
        <ns0:v>167155</ns0:v>
      </ns0:c>
      <ns0:c r="N752" t="n">
        <ns0:v>2479</ns0:v>
      </ns0:c>
      <ns0:c r="O752" t="n">
        <ns0:v>169634</ns0:v>
      </ns0:c>
      <ns0:c r="P752" t="n">
        <ns0:v>11</ns0:v>
      </ns0:c>
      <ns0:c r="Q752">
        <ns0:f>IF(AND(L752=1,O752*Calculations!$B$2&lt;=Calculations!$B$10*Calculations!$B$4),1,0)</ns0:f>
        <ns0:v>0</ns0:v>
      </ns0:c>
      <ns0:c r="R752">
        <ns0:f>IF(AND(L752=1,O752*Calculations!$B$2&lt;=Calculations!$B$11*Calculations!$B$4),1,0)</ns0:f>
        <ns0:v>0</ns0:v>
      </ns0:c>
    </ns0:row>
    <ns0:row r="753">
      <ns0:c r="A753" t="inlineStr">
        <ns0:is>
          <ns0:t>case_0752</ns0:t>
        </ns0:is>
      </ns0:c>
      <ns0:c r="B753" t="inlineStr">
        <ns0:is>
          <ns0:t>function_0133</ns0:t>
        </ns0:is>
      </ns0:c>
      <ns0:c r="C753" t="inlineStr">
        <ns0:is>
          <ns0:t>run_008</ns0:t>
        </ns0:is>
      </ns0:c>
      <ns0:c r="D753" t="inlineStr">
        <ns0:is>
          <ns0:t>humantime</ns0:t>
        </ns0:is>
      </ns0:c>
      <ns0:c r="E753" t="inlineStr">
        <ns0:is>
          <ns0:t>gpt-4o-mini</ns0:t>
        </ns0:is>
      </ns0:c>
      <ns0:c r="F753" t="inlineStr">
        <ns0:is>
          <ns0:t>E0433</ns0:t>
        </ns0:is>
      </ns0:c>
      <ns0:c r="G753" t="n">
        <ns0:v>1</ns0:v>
      </ns0:c>
      <ns0:c r="H753" t="n">
        <ns0:v>709</ns0:v>
      </ns0:c>
      <ns0:c r="I753" t="n">
        <ns0:v>85</ns0:v>
      </ns0:c>
      <ns0:c r="J753" t="n">
        <ns0:v>794</ns0:v>
      </ns0:c>
      <ns0:c r="K753" t="n">
        <ns0:v>1</ns0:v>
      </ns0:c>
      <ns0:c r="L753" t="n">
        <ns0:v>1</ns0:v>
      </ns0:c>
      <ns0:c r="M753" t="n">
        <ns0:v>98398</ns0:v>
      </ns0:c>
      <ns0:c r="N753" t="n">
        <ns0:v>678</ns0:v>
      </ns0:c>
      <ns0:c r="O753" t="n">
        <ns0:v>99076</ns0:v>
      </ns0:c>
      <ns0:c r="P753" t="n">
        <ns0:v>6</ns0:v>
      </ns0:c>
      <ns0:c r="Q753">
        <ns0:f>IF(AND(L753=1,O753*Calculations!$B$2&lt;=Calculations!$B$10*Calculations!$B$4),1,0)</ns0:f>
        <ns0:v>0</ns0:v>
      </ns0:c>
      <ns0:c r="R753">
        <ns0:f>IF(AND(L753=1,O753*Calculations!$B$2&lt;=Calculations!$B$11*Calculations!$B$4),1,0)</ns0:f>
        <ns0:v>0</ns0:v>
      </ns0:c>
    </ns0:row>
    <ns0:row r="754">
      <ns0:c r="A754" t="inlineStr">
        <ns0:is>
          <ns0:t>case_0753</ns0:t>
        </ns0:is>
      </ns0:c>
      <ns0:c r="B754" t="inlineStr">
        <ns0:is>
          <ns0:t>function_0133</ns0:t>
        </ns0:is>
      </ns0:c>
      <ns0:c r="C754" t="inlineStr">
        <ns0:is>
          <ns0:t>run_008</ns0:t>
        </ns0:is>
      </ns0:c>
      <ns0:c r="D754" t="inlineStr">
        <ns0:is>
          <ns0:t>humantime</ns0:t>
        </ns0:is>
      </ns0:c>
      <ns0:c r="E754" t="inlineStr">
        <ns0:is>
          <ns0:t>gpt-4o-mini</ns0:t>
        </ns0:is>
      </ns0:c>
      <ns0:c r="F754" t="inlineStr">
        <ns0:is>
          <ns0:t>E0433</ns0:t>
        </ns0:is>
      </ns0:c>
      <ns0:c r="G754" t="n">
        <ns0:v>1</ns0:v>
      </ns0:c>
      <ns0:c r="H754" t="n">
        <ns0:v>694</ns0:v>
      </ns0:c>
      <ns0:c r="I754" t="n">
        <ns0:v>76</ns0:v>
      </ns0:c>
      <ns0:c r="J754" t="n">
        <ns0:v>770</ns0:v>
      </ns0:c>
      <ns0:c r="K754" t="n">
        <ns0:v>1</ns0:v>
      </ns0:c>
      <ns0:c r="L754" t="n">
        <ns0:v>1</ns0:v>
      </ns0:c>
      <ns0:c r="M754" t="n">
        <ns0:v>86061</ns0:v>
      </ns0:c>
      <ns0:c r="N754" t="n">
        <ns0:v>1279</ns0:v>
      </ns0:c>
      <ns0:c r="O754" t="n">
        <ns0:v>87340</ns0:v>
      </ns0:c>
      <ns0:c r="P754" t="n">
        <ns0:v>10</ns0:v>
      </ns0:c>
      <ns0:c r="Q754">
        <ns0:f>IF(AND(L754=1,O754*Calculations!$B$2&lt;=Calculations!$B$10*Calculations!$B$4),1,0)</ns0:f>
        <ns0:v>0</ns0:v>
      </ns0:c>
      <ns0:c r="R754">
        <ns0:f>IF(AND(L754=1,O754*Calculations!$B$2&lt;=Calculations!$B$11*Calculations!$B$4),1,0)</ns0:f>
        <ns0:v>0</ns0:v>
      </ns0:c>
    </ns0:row>
    <ns0:row r="755">
      <ns0:c r="A755" t="inlineStr">
        <ns0:is>
          <ns0:t>case_0754</ns0:t>
        </ns0:is>
      </ns0:c>
      <ns0:c r="B755" t="inlineStr">
        <ns0:is>
          <ns0:t>function_0133</ns0:t>
        </ns0:is>
      </ns0:c>
      <ns0:c r="C755" t="inlineStr">
        <ns0:is>
          <ns0:t>run_008</ns0:t>
        </ns0:is>
      </ns0:c>
      <ns0:c r="D755" t="inlineStr">
        <ns0:is>
          <ns0:t>humantime</ns0:t>
        </ns0:is>
      </ns0:c>
      <ns0:c r="E755" t="inlineStr">
        <ns0:is>
          <ns0:t>gpt-4o-mini</ns0:t>
        </ns0:is>
      </ns0:c>
      <ns0:c r="F755" t="inlineStr">
        <ns0:is>
          <ns0:t>E0433</ns0:t>
        </ns0:is>
      </ns0:c>
      <ns0:c r="G755" t="n">
        <ns0:v>0</ns0:v>
      </ns0:c>
      <ns0:c r="H755" t="n">
        <ns0:v>2635</ns0:v>
      </ns0:c>
      <ns0:c r="I755" t="n">
        <ns0:v>232</ns0:v>
      </ns0:c>
      <ns0:c r="J755" t="n">
        <ns0:v>2867</ns0:v>
      </ns0:c>
      <ns0:c r="K755" t="n">
        <ns0:v>3</ns0:v>
      </ns0:c>
      <ns0:c r="L755" t="n">
        <ns0:v>1</ns0:v>
      </ns0:c>
      <ns0:c r="M755" t="n">
        <ns0:v>219882</ns0:v>
      </ns0:c>
      <ns0:c r="N755" t="n">
        <ns0:v>2732</ns0:v>
      </ns0:c>
      <ns0:c r="O755" t="n">
        <ns0:v>222614</ns0:v>
      </ns0:c>
      <ns0:c r="P755" t="n">
        <ns0:v>16</ns0:v>
      </ns0:c>
      <ns0:c r="Q755">
        <ns0:f>IF(AND(L755=1,O755*Calculations!$B$2&lt;=Calculations!$B$10*Calculations!$B$4),1,0)</ns0:f>
        <ns0:v>0</ns0:v>
      </ns0:c>
      <ns0:c r="R755">
        <ns0:f>IF(AND(L755=1,O755*Calculations!$B$2&lt;=Calculations!$B$11*Calculations!$B$4),1,0)</ns0:f>
        <ns0:v>0</ns0:v>
      </ns0:c>
    </ns0:row>
    <ns0:row r="756">
      <ns0:c r="A756" t="inlineStr">
        <ns0:is>
          <ns0:t>case_0755</ns0:t>
        </ns0:is>
      </ns0:c>
      <ns0:c r="B756" t="inlineStr">
        <ns0:is>
          <ns0:t>function_0133</ns0:t>
        </ns0:is>
      </ns0:c>
      <ns0:c r="C756" t="inlineStr">
        <ns0:is>
          <ns0:t>run_008</ns0:t>
        </ns0:is>
      </ns0:c>
      <ns0:c r="D756" t="inlineStr">
        <ns0:is>
          <ns0:t>humantime</ns0:t>
        </ns0:is>
      </ns0:c>
      <ns0:c r="E756" t="inlineStr">
        <ns0:is>
          <ns0:t>gpt-4o-mini</ns0:t>
        </ns0:is>
      </ns0:c>
      <ns0:c r="F756" t="inlineStr">
        <ns0:is>
          <ns0:t>E0433</ns0:t>
        </ns0:is>
      </ns0:c>
      <ns0:c r="G756" t="n">
        <ns0:v>1</ns0:v>
      </ns0:c>
      <ns0:c r="H756" t="n">
        <ns0:v>711</ns0:v>
      </ns0:c>
      <ns0:c r="I756" t="n">
        <ns0:v>85</ns0:v>
      </ns0:c>
      <ns0:c r="J756" t="n">
        <ns0:v>796</ns0:v>
      </ns0:c>
      <ns0:c r="K756" t="n">
        <ns0:v>1</ns0:v>
      </ns0:c>
      <ns0:c r="L756" t="n">
        <ns0:v>0</ns0:v>
      </ns0:c>
      <ns0:c r="M756" t="n">
        <ns0:v>58267</ns0:v>
      </ns0:c>
      <ns0:c r="N756" t="n">
        <ns0:v>809</ns0:v>
      </ns0:c>
      <ns0:c r="O756" t="n">
        <ns0:v>59076</ns0:v>
      </ns0:c>
      <ns0:c r="P756" t="n">
        <ns0:v>8</ns0:v>
      </ns0:c>
      <ns0:c r="Q756">
        <ns0:f>IF(AND(L756=1,O756*Calculations!$B$2&lt;=Calculations!$B$10*Calculations!$B$4),1,0)</ns0:f>
        <ns0:v>0</ns0:v>
      </ns0:c>
      <ns0:c r="R756">
        <ns0:f>IF(AND(L756=1,O756*Calculations!$B$2&lt;=Calculations!$B$11*Calculations!$B$4),1,0)</ns0:f>
        <ns0:v>0</ns0:v>
      </ns0:c>
    </ns0:row>
    <ns0:row r="757">
      <ns0:c r="A757" t="inlineStr">
        <ns0:is>
          <ns0:t>case_0756</ns0:t>
        </ns0:is>
      </ns0:c>
      <ns0:c r="B757" t="inlineStr">
        <ns0:is>
          <ns0:t>function_0133</ns0:t>
        </ns0:is>
      </ns0:c>
      <ns0:c r="C757" t="inlineStr">
        <ns0:is>
          <ns0:t>run_008</ns0:t>
        </ns0:is>
      </ns0:c>
      <ns0:c r="D757" t="inlineStr">
        <ns0:is>
          <ns0:t>humantime</ns0:t>
        </ns0:is>
      </ns0:c>
      <ns0:c r="E757" t="inlineStr">
        <ns0:is>
          <ns0:t>gpt-4o-mini</ns0:t>
        </ns0:is>
      </ns0:c>
      <ns0:c r="F757" t="inlineStr">
        <ns0:is>
          <ns0:t>E0433</ns0:t>
        </ns0:is>
      </ns0:c>
      <ns0:c r="G757" t="n">
        <ns0:v>1</ns0:v>
      </ns0:c>
      <ns0:c r="H757" t="n">
        <ns0:v>1665</ns0:v>
      </ns0:c>
      <ns0:c r="I757" t="n">
        <ns0:v>162</ns0:v>
      </ns0:c>
      <ns0:c r="J757" t="n">
        <ns0:v>1827</ns0:v>
      </ns0:c>
      <ns0:c r="K757" t="n">
        <ns0:v>2</ns0:v>
      </ns0:c>
      <ns0:c r="L757" t="n">
        <ns0:v>0</ns0:v>
      </ns0:c>
      <ns0:c r="M757" t="n">
        <ns0:v>228183</ns0:v>
      </ns0:c>
      <ns0:c r="N757" t="n">
        <ns0:v>2862</ns0:v>
      </ns0:c>
      <ns0:c r="O757" t="n">
        <ns0:v>231045</ns0:v>
      </ns0:c>
      <ns0:c r="P757" t="n">
        <ns0:v>20</ns0:v>
      </ns0:c>
      <ns0:c r="Q757">
        <ns0:f>IF(AND(L757=1,O757*Calculations!$B$2&lt;=Calculations!$B$10*Calculations!$B$4),1,0)</ns0:f>
        <ns0:v>0</ns0:v>
      </ns0:c>
      <ns0:c r="R757">
        <ns0:f>IF(AND(L757=1,O757*Calculations!$B$2&lt;=Calculations!$B$11*Calculations!$B$4),1,0)</ns0:f>
        <ns0:v>0</ns0:v>
      </ns0:c>
    </ns0:row>
    <ns0:row r="758">
      <ns0:c r="A758" t="inlineStr">
        <ns0:is>
          <ns0:t>case_0757</ns0:t>
        </ns0:is>
      </ns0:c>
      <ns0:c r="B758" t="inlineStr">
        <ns0:is>
          <ns0:t>function_0134</ns0:t>
        </ns0:is>
      </ns0:c>
      <ns0:c r="C758" t="inlineStr">
        <ns0:is>
          <ns0:t>run_008</ns0:t>
        </ns0:is>
      </ns0:c>
      <ns0:c r="D758" t="inlineStr">
        <ns0:is>
          <ns0:t>humantime</ns0:t>
        </ns0:is>
      </ns0:c>
      <ns0:c r="E758" t="inlineStr">
        <ns0:is>
          <ns0:t>gpt-4o-mini</ns0:t>
        </ns0:is>
      </ns0:c>
      <ns0:c r="F758" t="inlineStr">
        <ns0:is>
          <ns0:t>E0063,E0308</ns0:t>
        </ns0:is>
      </ns0:c>
      <ns0:c r="G758" t="n">
        <ns0:v>0</ns0:v>
      </ns0:c>
      <ns0:c r="H758" t="n">
        <ns0:v>6832</ns0:v>
      </ns0:c>
      <ns0:c r="I758" t="n">
        <ns0:v>298</ns0:v>
      </ns0:c>
      <ns0:c r="J758" t="n">
        <ns0:v>7130</ns0:v>
      </ns0:c>
      <ns0:c r="K758" t="n">
        <ns0:v>3</ns0:v>
      </ns0:c>
      <ns0:c r="L758" t="n">
        <ns0:v>1</ns0:v>
      </ns0:c>
      <ns0:c r="M758" t="n">
        <ns0:v>50305</ns0:v>
      </ns0:c>
      <ns0:c r="N758" t="n">
        <ns0:v>1031</ns0:v>
      </ns0:c>
      <ns0:c r="O758" t="n">
        <ns0:v>51336</ns0:v>
      </ns0:c>
      <ns0:c r="P758" t="n">
        <ns0:v>4</ns0:v>
      </ns0:c>
      <ns0:c r="Q758">
        <ns0:f>IF(AND(L758=1,O758*Calculations!$B$2&lt;=Calculations!$B$10*Calculations!$B$4),1,0)</ns0:f>
        <ns0:v>0</ns0:v>
      </ns0:c>
      <ns0:c r="R758">
        <ns0:f>IF(AND(L758=1,O758*Calculations!$B$2&lt;=Calculations!$B$11*Calculations!$B$4),1,0)</ns0:f>
        <ns0:v>0</ns0:v>
      </ns0:c>
    </ns0:row>
    <ns0:row r="759">
      <ns0:c r="A759" t="inlineStr">
        <ns0:is>
          <ns0:t>case_0758</ns0:t>
        </ns0:is>
      </ns0:c>
      <ns0:c r="B759" t="inlineStr">
        <ns0:is>
          <ns0:t>function_0134</ns0:t>
        </ns0:is>
      </ns0:c>
      <ns0:c r="C759" t="inlineStr">
        <ns0:is>
          <ns0:t>run_008</ns0:t>
        </ns0:is>
      </ns0:c>
      <ns0:c r="D759" t="inlineStr">
        <ns0:is>
          <ns0:t>humantime</ns0:t>
        </ns0:is>
      </ns0:c>
      <ns0:c r="E759" t="inlineStr">
        <ns0:is>
          <ns0:t>gpt-4o-mini</ns0:t>
        </ns0:is>
      </ns0:c>
      <ns0:c r="F759" t="inlineStr">
        <ns0:is>
          <ns0:t>E0063,E0308</ns0:t>
        </ns0:is>
      </ns0:c>
      <ns0:c r="G759" t="n">
        <ns0:v>0</ns0:v>
      </ns0:c>
      <ns0:c r="H759" t="n">
        <ns0:v>6998</ns0:v>
      </ns0:c>
      <ns0:c r="I759" t="n">
        <ns0:v>323</ns0:v>
      </ns0:c>
      <ns0:c r="J759" t="n">
        <ns0:v>7321</ns0:v>
      </ns0:c>
      <ns0:c r="K759" t="n">
        <ns0:v>3</ns0:v>
      </ns0:c>
      <ns0:c r="L759" t="n">
        <ns0:v>1</ns0:v>
      </ns0:c>
      <ns0:c r="M759" t="n">
        <ns0:v>48281</ns0:v>
      </ns0:c>
      <ns0:c r="N759" t="n">
        <ns0:v>664</ns0:v>
      </ns0:c>
      <ns0:c r="O759" t="n">
        <ns0:v>48945</ns0:v>
      </ns0:c>
      <ns0:c r="P759" t="n">
        <ns0:v>6</ns0:v>
      </ns0:c>
      <ns0:c r="Q759">
        <ns0:f>IF(AND(L759=1,O759*Calculations!$B$2&lt;=Calculations!$B$10*Calculations!$B$4),1,0)</ns0:f>
        <ns0:v>0</ns0:v>
      </ns0:c>
      <ns0:c r="R759">
        <ns0:f>IF(AND(L759=1,O759*Calculations!$B$2&lt;=Calculations!$B$11*Calculations!$B$4),1,0)</ns0:f>
        <ns0:v>0</ns0:v>
      </ns0:c>
    </ns0:row>
    <ns0:row r="760">
      <ns0:c r="A760" t="inlineStr">
        <ns0:is>
          <ns0:t>case_0759</ns0:t>
        </ns0:is>
      </ns0:c>
      <ns0:c r="B760" t="inlineStr">
        <ns0:is>
          <ns0:t>function_0134</ns0:t>
        </ns0:is>
      </ns0:c>
      <ns0:c r="C760" t="inlineStr">
        <ns0:is>
          <ns0:t>run_008</ns0:t>
        </ns0:is>
      </ns0:c>
      <ns0:c r="D760" t="inlineStr">
        <ns0:is>
          <ns0:t>humantime</ns0:t>
        </ns0:is>
      </ns0:c>
      <ns0:c r="E760" t="inlineStr">
        <ns0:is>
          <ns0:t>gpt-4o-mini</ns0:t>
        </ns0:is>
      </ns0:c>
      <ns0:c r="F760" t="inlineStr">
        <ns0:is>
          <ns0:t>E0063,E0308,E0599</ns0:t>
        </ns0:is>
      </ns0:c>
      <ns0:c r="G760" t="n">
        <ns0:v>0</ns0:v>
      </ns0:c>
      <ns0:c r="H760" t="n">
        <ns0:v>6916</ns0:v>
      </ns0:c>
      <ns0:c r="I760" t="n">
        <ns0:v>260</ns0:v>
      </ns0:c>
      <ns0:c r="J760" t="n">
        <ns0:v>7176</ns0:v>
      </ns0:c>
      <ns0:c r="K760" t="n">
        <ns0:v>3</ns0:v>
      </ns0:c>
      <ns0:c r="L760" t="n">
        <ns0:v>1</ns0:v>
      </ns0:c>
      <ns0:c r="M760" t="n">
        <ns0:v>119134</ns0:v>
      </ns0:c>
      <ns0:c r="N760" t="n">
        <ns0:v>1533</ns0:v>
      </ns0:c>
      <ns0:c r="O760" t="n">
        <ns0:v>120667</ns0:v>
      </ns0:c>
      <ns0:c r="P760" t="n">
        <ns0:v>10</ns0:v>
      </ns0:c>
      <ns0:c r="Q760">
        <ns0:f>IF(AND(L760=1,O760*Calculations!$B$2&lt;=Calculations!$B$10*Calculations!$B$4),1,0)</ns0:f>
        <ns0:v>0</ns0:v>
      </ns0:c>
      <ns0:c r="R760">
        <ns0:f>IF(AND(L760=1,O760*Calculations!$B$2&lt;=Calculations!$B$11*Calculations!$B$4),1,0)</ns0:f>
        <ns0:v>0</ns0:v>
      </ns0:c>
    </ns0:row>
    <ns0:row r="761">
      <ns0:c r="A761" t="inlineStr">
        <ns0:is>
          <ns0:t>case_0760</ns0:t>
        </ns0:is>
      </ns0:c>
      <ns0:c r="B761" t="inlineStr">
        <ns0:is>
          <ns0:t>function_0134</ns0:t>
        </ns0:is>
      </ns0:c>
      <ns0:c r="C761" t="inlineStr">
        <ns0:is>
          <ns0:t>run_008</ns0:t>
        </ns0:is>
      </ns0:c>
      <ns0:c r="D761" t="inlineStr">
        <ns0:is>
          <ns0:t>humantime</ns0:t>
        </ns0:is>
      </ns0:c>
      <ns0:c r="E761" t="inlineStr">
        <ns0:is>
          <ns0:t>gpt-4o-mini</ns0:t>
        </ns0:is>
      </ns0:c>
      <ns0:c r="F761" t="inlineStr">
        <ns0:is>
          <ns0:t>E0063,E0308</ns0:t>
        </ns0:is>
      </ns0:c>
      <ns0:c r="G761" t="n">
        <ns0:v>1</ns0:v>
      </ns0:c>
      <ns0:c r="H761" t="n">
        <ns0:v>1753</ns0:v>
      </ns0:c>
      <ns0:c r="I761" t="n">
        <ns0:v>85</ns0:v>
      </ns0:c>
      <ns0:c r="J761" t="n">
        <ns0:v>1838</ns0:v>
      </ns0:c>
      <ns0:c r="K761" t="n">
        <ns0:v>1</ns0:v>
      </ns0:c>
      <ns0:c r="L761" t="n">
        <ns0:v>1</ns0:v>
      </ns0:c>
      <ns0:c r="M761" t="n">
        <ns0:v>164198</ns0:v>
      </ns0:c>
      <ns0:c r="N761" t="n">
        <ns0:v>1879</ns0:v>
      </ns0:c>
      <ns0:c r="O761" t="n">
        <ns0:v>166077</ns0:v>
      </ns0:c>
      <ns0:c r="P761" t="n">
        <ns0:v>20</ns0:v>
      </ns0:c>
      <ns0:c r="Q761">
        <ns0:f>IF(AND(L761=1,O761*Calculations!$B$2&lt;=Calculations!$B$10*Calculations!$B$4),1,0)</ns0:f>
        <ns0:v>0</ns0:v>
      </ns0:c>
      <ns0:c r="R761">
        <ns0:f>IF(AND(L761=1,O761*Calculations!$B$2&lt;=Calculations!$B$11*Calculations!$B$4),1,0)</ns0:f>
        <ns0:v>0</ns0:v>
      </ns0:c>
    </ns0:row>
    <ns0:row r="762">
      <ns0:c r="A762" t="inlineStr">
        <ns0:is>
          <ns0:t>case_0761</ns0:t>
        </ns0:is>
      </ns0:c>
      <ns0:c r="B762" t="inlineStr">
        <ns0:is>
          <ns0:t>function_0134</ns0:t>
        </ns0:is>
      </ns0:c>
      <ns0:c r="C762" t="inlineStr">
        <ns0:is>
          <ns0:t>run_008</ns0:t>
        </ns0:is>
      </ns0:c>
      <ns0:c r="D762" t="inlineStr">
        <ns0:is>
          <ns0:t>humantime</ns0:t>
        </ns0:is>
      </ns0:c>
      <ns0:c r="E762" t="inlineStr">
        <ns0:is>
          <ns0:t>gpt-4o-mini</ns0:t>
        </ns0:is>
      </ns0:c>
      <ns0:c r="F762" t="inlineStr">
        <ns0:is>
          <ns0:t>E0063,E0308</ns0:t>
        </ns0:is>
      </ns0:c>
      <ns0:c r="G762" t="n">
        <ns0:v>1</ns0:v>
      </ns0:c>
      <ns0:c r="H762" t="n">
        <ns0:v>1895</ns0:v>
      </ns0:c>
      <ns0:c r="I762" t="n">
        <ns0:v>126</ns0:v>
      </ns0:c>
      <ns0:c r="J762" t="n">
        <ns0:v>2021</ns0:v>
      </ns0:c>
      <ns0:c r="K762" t="n">
        <ns0:v>1</ns0:v>
      </ns0:c>
      <ns0:c r="L762" t="n">
        <ns0:v>1</ns0:v>
      </ns0:c>
      <ns0:c r="M762" t="n">
        <ns0:v>51250</ns0:v>
      </ns0:c>
      <ns0:c r="N762" t="n">
        <ns0:v>708</ns0:v>
      </ns0:c>
      <ns0:c r="O762" t="n">
        <ns0:v>51958</ns0:v>
      </ns0:c>
      <ns0:c r="P762" t="n">
        <ns0:v>7</ns0:v>
      </ns0:c>
      <ns0:c r="Q762">
        <ns0:f>IF(AND(L762=1,O762*Calculations!$B$2&lt;=Calculations!$B$10*Calculations!$B$4),1,0)</ns0:f>
        <ns0:v>0</ns0:v>
      </ns0:c>
      <ns0:c r="R762">
        <ns0:f>IF(AND(L762=1,O762*Calculations!$B$2&lt;=Calculations!$B$11*Calculations!$B$4),1,0)</ns0:f>
        <ns0:v>0</ns0:v>
      </ns0:c>
    </ns0:row>
    <ns0:row r="763">
      <ns0:c r="A763" t="inlineStr">
        <ns0:is>
          <ns0:t>case_0762</ns0:t>
        </ns0:is>
      </ns0:c>
      <ns0:c r="B763" t="inlineStr">
        <ns0:is>
          <ns0:t>function_0134</ns0:t>
        </ns0:is>
      </ns0:c>
      <ns0:c r="C763" t="inlineStr">
        <ns0:is>
          <ns0:t>run_008</ns0:t>
        </ns0:is>
      </ns0:c>
      <ns0:c r="D763" t="inlineStr">
        <ns0:is>
          <ns0:t>humantime</ns0:t>
        </ns0:is>
      </ns0:c>
      <ns0:c r="E763" t="inlineStr">
        <ns0:is>
          <ns0:t>gpt-4o-mini</ns0:t>
        </ns0:is>
      </ns0:c>
      <ns0:c r="F763" t="inlineStr">
        <ns0:is>
          <ns0:t>E0063,E0308</ns0:t>
        </ns0:is>
      </ns0:c>
      <ns0:c r="G763" t="n">
        <ns0:v>1</ns0:v>
      </ns0:c>
      <ns0:c r="H763" t="n">
        <ns0:v>1853</ns0:v>
      </ns0:c>
      <ns0:c r="I763" t="n">
        <ns0:v>106</ns0:v>
      </ns0:c>
      <ns0:c r="J763" t="n">
        <ns0:v>1959</ns0:v>
      </ns0:c>
      <ns0:c r="K763" t="n">
        <ns0:v>1</ns0:v>
      </ns0:c>
      <ns0:c r="L763" t="n">
        <ns0:v>1</ns0:v>
      </ns0:c>
      <ns0:c r="M763" t="n">
        <ns0:v>79793</ns0:v>
      </ns0:c>
      <ns0:c r="N763" t="n">
        <ns0:v>876</ns0:v>
      </ns0:c>
      <ns0:c r="O763" t="n">
        <ns0:v>80669</ns0:v>
      </ns0:c>
      <ns0:c r="P763" t="n">
        <ns0:v>8</ns0:v>
      </ns0:c>
      <ns0:c r="Q763">
        <ns0:f>IF(AND(L763=1,O763*Calculations!$B$2&lt;=Calculations!$B$10*Calculations!$B$4),1,0)</ns0:f>
        <ns0:v>0</ns0:v>
      </ns0:c>
      <ns0:c r="R763">
        <ns0:f>IF(AND(L763=1,O763*Calculations!$B$2&lt;=Calculations!$B$11*Calculations!$B$4),1,0)</ns0:f>
        <ns0:v>0</ns0:v>
      </ns0:c>
    </ns0:row>
    <ns0:row r="764">
      <ns0:c r="A764" t="inlineStr">
        <ns0:is>
          <ns0:t>case_0763</ns0:t>
        </ns0:is>
      </ns0:c>
      <ns0:c r="B764" t="inlineStr">
        <ns0:is>
          <ns0:t>function_0134</ns0:t>
        </ns0:is>
      </ns0:c>
      <ns0:c r="C764" t="inlineStr">
        <ns0:is>
          <ns0:t>run_008</ns0:t>
        </ns0:is>
      </ns0:c>
      <ns0:c r="D764" t="inlineStr">
        <ns0:is>
          <ns0:t>humantime</ns0:t>
        </ns0:is>
      </ns0:c>
      <ns0:c r="E764" t="inlineStr">
        <ns0:is>
          <ns0:t>gpt-4o-mini</ns0:t>
        </ns0:is>
      </ns0:c>
      <ns0:c r="F764" t="inlineStr">
        <ns0:is>
          <ns0:t>E0063,E0277,E0308</ns0:t>
        </ns0:is>
      </ns0:c>
      <ns0:c r="G764" t="n">
        <ns0:v>0</ns0:v>
      </ns0:c>
      <ns0:c r="H764" t="n">
        <ns0:v>7318</ns0:v>
      </ns0:c>
      <ns0:c r="I764" t="n">
        <ns0:v>341</ns0:v>
      </ns0:c>
      <ns0:c r="J764" t="n">
        <ns0:v>7659</ns0:v>
      </ns0:c>
      <ns0:c r="K764" t="n">
        <ns0:v>3</ns0:v>
      </ns0:c>
      <ns0:c r="L764" t="n">
        <ns0:v>1</ns0:v>
      </ns0:c>
      <ns0:c r="M764" t="n">
        <ns0:v>66442</ns0:v>
      </ns0:c>
      <ns0:c r="N764" t="n">
        <ns0:v>1014</ns0:v>
      </ns0:c>
      <ns0:c r="O764" t="n">
        <ns0:v>67456</ns0:v>
      </ns0:c>
      <ns0:c r="P764" t="n">
        <ns0:v>6</ns0:v>
      </ns0:c>
      <ns0:c r="Q764">
        <ns0:f>IF(AND(L764=1,O764*Calculations!$B$2&lt;=Calculations!$B$10*Calculations!$B$4),1,0)</ns0:f>
        <ns0:v>0</ns0:v>
      </ns0:c>
      <ns0:c r="R764">
        <ns0:f>IF(AND(L764=1,O764*Calculations!$B$2&lt;=Calculations!$B$11*Calculations!$B$4),1,0)</ns0:f>
        <ns0:v>0</ns0:v>
      </ns0:c>
    </ns0:row>
    <ns0:row r="765">
      <ns0:c r="A765" t="inlineStr">
        <ns0:is>
          <ns0:t>case_0764</ns0:t>
        </ns0:is>
      </ns0:c>
      <ns0:c r="B765" t="inlineStr">
        <ns0:is>
          <ns0:t>function_0134</ns0:t>
        </ns0:is>
      </ns0:c>
      <ns0:c r="C765" t="inlineStr">
        <ns0:is>
          <ns0:t>run_008</ns0:t>
        </ns0:is>
      </ns0:c>
      <ns0:c r="D765" t="inlineStr">
        <ns0:is>
          <ns0:t>humantime</ns0:t>
        </ns0:is>
      </ns0:c>
      <ns0:c r="E765" t="inlineStr">
        <ns0:is>
          <ns0:t>gpt-4o-mini</ns0:t>
        </ns0:is>
      </ns0:c>
      <ns0:c r="F765" t="inlineStr">
        <ns0:is>
          <ns0:t>E0063,E0308</ns0:t>
        </ns0:is>
      </ns0:c>
      <ns0:c r="G765" t="n">
        <ns0:v>0</ns0:v>
      </ns0:c>
      <ns0:c r="H765" t="n">
        <ns0:v>7399</ns0:v>
      </ns0:c>
      <ns0:c r="I765" t="n">
        <ns0:v>347</ns0:v>
      </ns0:c>
      <ns0:c r="J765" t="n">
        <ns0:v>7746</ns0:v>
      </ns0:c>
      <ns0:c r="K765" t="n">
        <ns0:v>3</ns0:v>
      </ns0:c>
      <ns0:c r="L765" t="n">
        <ns0:v>1</ns0:v>
      </ns0:c>
      <ns0:c r="M765" t="n">
        <ns0:v>112110</ns0:v>
      </ns0:c>
      <ns0:c r="N765" t="n">
        <ns0:v>1112</ns0:v>
      </ns0:c>
      <ns0:c r="O765" t="n">
        <ns0:v>113222</ns0:v>
      </ns0:c>
      <ns0:c r="P765" t="n">
        <ns0:v>8</ns0:v>
      </ns0:c>
      <ns0:c r="Q765">
        <ns0:f>IF(AND(L765=1,O765*Calculations!$B$2&lt;=Calculations!$B$10*Calculations!$B$4),1,0)</ns0:f>
        <ns0:v>0</ns0:v>
      </ns0:c>
      <ns0:c r="R765">
        <ns0:f>IF(AND(L765=1,O765*Calculations!$B$2&lt;=Calculations!$B$11*Calculations!$B$4),1,0)</ns0:f>
        <ns0:v>0</ns0:v>
      </ns0:c>
    </ns0:row>
    <ns0:row r="766">
      <ns0:c r="A766" t="inlineStr">
        <ns0:is>
          <ns0:t>case_0765</ns0:t>
        </ns0:is>
      </ns0:c>
      <ns0:c r="B766" t="inlineStr">
        <ns0:is>
          <ns0:t>function_0134</ns0:t>
        </ns0:is>
      </ns0:c>
      <ns0:c r="C766" t="inlineStr">
        <ns0:is>
          <ns0:t>run_008</ns0:t>
        </ns0:is>
      </ns0:c>
      <ns0:c r="D766" t="inlineStr">
        <ns0:is>
          <ns0:t>humantime</ns0:t>
        </ns0:is>
      </ns0:c>
      <ns0:c r="E766" t="inlineStr">
        <ns0:is>
          <ns0:t>gpt-4o-mini</ns0:t>
        </ns0:is>
      </ns0:c>
      <ns0:c r="F766" t="inlineStr">
        <ns0:is>
          <ns0:t>E0599</ns0:t>
        </ns0:is>
      </ns0:c>
      <ns0:c r="G766" t="n">
        <ns0:v>0</ns0:v>
      </ns0:c>
      <ns0:c r="H766" t="n">
        <ns0:v>3648</ns0:v>
      </ns0:c>
      <ns0:c r="I766" t="n">
        <ns0:v>261</ns0:v>
      </ns0:c>
      <ns0:c r="J766" t="n">
        <ns0:v>3909</ns0:v>
      </ns0:c>
      <ns0:c r="K766" t="n">
        <ns0:v>3</ns0:v>
      </ns0:c>
      <ns0:c r="L766" t="n">
        <ns0:v>1</ns0:v>
      </ns0:c>
      <ns0:c r="M766" t="n">
        <ns0:v>158200</ns0:v>
      </ns0:c>
      <ns0:c r="N766" t="n">
        <ns0:v>1769</ns0:v>
      </ns0:c>
      <ns0:c r="O766" t="n">
        <ns0:v>159969</ns0:v>
      </ns0:c>
      <ns0:c r="P766" t="n">
        <ns0:v>12</ns0:v>
      </ns0:c>
      <ns0:c r="Q766">
        <ns0:f>IF(AND(L766=1,O766*Calculations!$B$2&lt;=Calculations!$B$10*Calculations!$B$4),1,0)</ns0:f>
        <ns0:v>0</ns0:v>
      </ns0:c>
      <ns0:c r="R766">
        <ns0:f>IF(AND(L766=1,O766*Calculations!$B$2&lt;=Calculations!$B$11*Calculations!$B$4),1,0)</ns0:f>
        <ns0:v>0</ns0:v>
      </ns0:c>
    </ns0:row>
    <ns0:row r="767">
      <ns0:c r="A767" t="inlineStr">
        <ns0:is>
          <ns0:t>case_0766</ns0:t>
        </ns0:is>
      </ns0:c>
      <ns0:c r="B767" t="inlineStr">
        <ns0:is>
          <ns0:t>function_0134</ns0:t>
        </ns0:is>
      </ns0:c>
      <ns0:c r="C767" t="inlineStr">
        <ns0:is>
          <ns0:t>run_008</ns0:t>
        </ns0:is>
      </ns0:c>
      <ns0:c r="D767" t="inlineStr">
        <ns0:is>
          <ns0:t>humantime</ns0:t>
        </ns0:is>
      </ns0:c>
      <ns0:c r="E767" t="inlineStr">
        <ns0:is>
          <ns0:t>gpt-4o-mini</ns0:t>
        </ns0:is>
      </ns0:c>
      <ns0:c r="F767" t="inlineStr">
        <ns0:is>
          <ns0:t>E0412,E0432</ns0:t>
        </ns0:is>
      </ns0:c>
      <ns0:c r="G767" t="n">
        <ns0:v>0</ns0:v>
      </ns0:c>
      <ns0:c r="H767" t="n">
        <ns0:v>0</ns0:v>
      </ns0:c>
      <ns0:c r="I767" t="n">
        <ns0:v>0</ns0:v>
      </ns0:c>
      <ns0:c r="J767" t="n">
        <ns0:v>0</ns0:v>
      </ns0:c>
      <ns0:c r="K767" t="n">
        <ns0:v>0</ns0:v>
      </ns0:c>
      <ns0:c r="L767" t="n">
        <ns0:v>0</ns0:v>
      </ns0:c>
      <ns0:c r="M767" t="n">
        <ns0:v>275538</ns0:v>
      </ns0:c>
      <ns0:c r="N767" t="n">
        <ns0:v>3255</ns0:v>
      </ns0:c>
      <ns0:c r="O767" t="n">
        <ns0:v>278793</ns0:v>
      </ns0:c>
      <ns0:c r="P767" t="n">
        <ns0:v>20</ns0:v>
      </ns0:c>
      <ns0:c r="Q767">
        <ns0:f>IF(AND(L767=1,O767*Calculations!$B$2&lt;=Calculations!$B$10*Calculations!$B$4),1,0)</ns0:f>
        <ns0:v>0</ns0:v>
      </ns0:c>
      <ns0:c r="R767">
        <ns0:f>IF(AND(L767=1,O767*Calculations!$B$2&lt;=Calculations!$B$11*Calculations!$B$4),1,0)</ns0:f>
        <ns0:v>0</ns0:v>
      </ns0:c>
    </ns0:row>
    <ns0:row r="768">
      <ns0:c r="A768" t="inlineStr">
        <ns0:is>
          <ns0:t>case_0767</ns0:t>
        </ns0:is>
      </ns0:c>
      <ns0:c r="B768" t="inlineStr">
        <ns0:is>
          <ns0:t>function_0134</ns0:t>
        </ns0:is>
      </ns0:c>
      <ns0:c r="C768" t="inlineStr">
        <ns0:is>
          <ns0:t>run_008</ns0:t>
        </ns0:is>
      </ns0:c>
      <ns0:c r="D768" t="inlineStr">
        <ns0:is>
          <ns0:t>humantime</ns0:t>
        </ns0:is>
      </ns0:c>
      <ns0:c r="E768" t="inlineStr">
        <ns0:is>
          <ns0:t>gpt-4o-mini</ns0:t>
        </ns0:is>
      </ns0:c>
      <ns0:c r="F768" t="inlineStr">
        <ns0:is>
          <ns0:t>E0063,E0277,E0432</ns0:t>
        </ns0:is>
      </ns0:c>
      <ns0:c r="G768" t="n">
        <ns0:v>0</ns0:v>
      </ns0:c>
      <ns0:c r="H768" t="n">
        <ns0:v>5604</ns0:v>
      </ns0:c>
      <ns0:c r="I768" t="n">
        <ns0:v>278</ns0:v>
      </ns0:c>
      <ns0:c r="J768" t="n">
        <ns0:v>5882</ns0:v>
      </ns0:c>
      <ns0:c r="K768" t="n">
        <ns0:v>3</ns0:v>
      </ns0:c>
      <ns0:c r="L768" t="n">
        <ns0:v>1</ns0:v>
      </ns0:c>
      <ns0:c r="M768" t="n">
        <ns0:v>50648</ns0:v>
      </ns0:c>
      <ns0:c r="N768" t="n">
        <ns0:v>1173</ns0:v>
      </ns0:c>
      <ns0:c r="O768" t="n">
        <ns0:v>51821</ns0:v>
      </ns0:c>
      <ns0:c r="P768" t="n">
        <ns0:v>7</ns0:v>
      </ns0:c>
      <ns0:c r="Q768">
        <ns0:f>IF(AND(L768=1,O768*Calculations!$B$2&lt;=Calculations!$B$10*Calculations!$B$4),1,0)</ns0:f>
        <ns0:v>0</ns0:v>
      </ns0:c>
      <ns0:c r="R768">
        <ns0:f>IF(AND(L768=1,O768*Calculations!$B$2&lt;=Calculations!$B$11*Calculations!$B$4),1,0)</ns0:f>
        <ns0:v>0</ns0:v>
      </ns0:c>
    </ns0:row>
    <ns0:row r="769">
      <ns0:c r="A769" t="inlineStr">
        <ns0:is>
          <ns0:t>case_0768</ns0:t>
        </ns0:is>
      </ns0:c>
      <ns0:c r="B769" t="inlineStr">
        <ns0:is>
          <ns0:t>function_0134</ns0:t>
        </ns0:is>
      </ns0:c>
      <ns0:c r="C769" t="inlineStr">
        <ns0:is>
          <ns0:t>run_008</ns0:t>
        </ns0:is>
      </ns0:c>
      <ns0:c r="D769" t="inlineStr">
        <ns0:is>
          <ns0:t>humantime</ns0:t>
        </ns0:is>
      </ns0:c>
      <ns0:c r="E769" t="inlineStr">
        <ns0:is>
          <ns0:t>gpt-4o-mini</ns0:t>
        </ns0:is>
      </ns0:c>
      <ns0:c r="F769" t="inlineStr">
        <ns0:is>
          <ns0:t>E0063,E0308</ns0:t>
        </ns0:is>
      </ns0:c>
      <ns0:c r="G769" t="n">
        <ns0:v>0</ns0:v>
      </ns0:c>
      <ns0:c r="H769" t="n">
        <ns0:v>7076</ns0:v>
      </ns0:c>
      <ns0:c r="I769" t="n">
        <ns0:v>321</ns0:v>
      </ns0:c>
      <ns0:c r="J769" t="n">
        <ns0:v>7397</ns0:v>
      </ns0:c>
      <ns0:c r="K769" t="n">
        <ns0:v>3</ns0:v>
      </ns0:c>
      <ns0:c r="L769" t="n">
        <ns0:v>1</ns0:v>
      </ns0:c>
      <ns0:c r="M769" t="n">
        <ns0:v>65914</ns0:v>
      </ns0:c>
      <ns0:c r="N769" t="n">
        <ns0:v>1300</ns0:v>
      </ns0:c>
      <ns0:c r="O769" t="n">
        <ns0:v>67214</ns0:v>
      </ns0:c>
      <ns0:c r="P769" t="n">
        <ns0:v>6</ns0:v>
      </ns0:c>
      <ns0:c r="Q769">
        <ns0:f>IF(AND(L769=1,O769*Calculations!$B$2&lt;=Calculations!$B$10*Calculations!$B$4),1,0)</ns0:f>
        <ns0:v>0</ns0:v>
      </ns0:c>
      <ns0:c r="R769">
        <ns0:f>IF(AND(L769=1,O769*Calculations!$B$2&lt;=Calculations!$B$11*Calculations!$B$4),1,0)</ns0:f>
        <ns0:v>0</ns0:v>
      </ns0:c>
    </ns0:row>
    <ns0:row r="770">
      <ns0:c r="A770" t="inlineStr">
        <ns0:is>
          <ns0:t>case_0769</ns0:t>
        </ns0:is>
      </ns0:c>
      <ns0:c r="B770" t="inlineStr">
        <ns0:is>
          <ns0:t>function_0135</ns0:t>
        </ns0:is>
      </ns0:c>
      <ns0:c r="C770" t="inlineStr">
        <ns0:is>
          <ns0:t>run_008</ns0:t>
        </ns0:is>
      </ns0:c>
      <ns0:c r="D770" t="inlineStr">
        <ns0:is>
          <ns0:t>humantime</ns0:t>
        </ns0:is>
      </ns0:c>
      <ns0:c r="E770" t="inlineStr">
        <ns0:is>
          <ns0:t>gpt-4o-mini</ns0:t>
        </ns0:is>
      </ns0:c>
      <ns0:c r="F770" t="inlineStr">
        <ns0:is>
          <ns0:t>E0432,E0599</ns0:t>
        </ns0:is>
      </ns0:c>
      <ns0:c r="G770" t="n">
        <ns0:v>0</ns0:v>
      </ns0:c>
      <ns0:c r="H770" t="n">
        <ns0:v>5928</ns0:v>
      </ns0:c>
      <ns0:c r="I770" t="n">
        <ns0:v>321</ns0:v>
      </ns0:c>
      <ns0:c r="J770" t="n">
        <ns0:v>6249</ns0:v>
      </ns0:c>
      <ns0:c r="K770" t="n">
        <ns0:v>3</ns0:v>
      </ns0:c>
      <ns0:c r="L770" t="n">
        <ns0:v>0</ns0:v>
      </ns0:c>
      <ns0:c r="M770" t="n">
        <ns0:v>92241</ns0:v>
      </ns0:c>
      <ns0:c r="N770" t="n">
        <ns0:v>1325</ns0:v>
      </ns0:c>
      <ns0:c r="O770" t="n">
        <ns0:v>93566</ns0:v>
      </ns0:c>
      <ns0:c r="P770" t="n">
        <ns0:v>12</ns0:v>
      </ns0:c>
      <ns0:c r="Q770">
        <ns0:f>IF(AND(L770=1,O770*Calculations!$B$2&lt;=Calculations!$B$10*Calculations!$B$4),1,0)</ns0:f>
        <ns0:v>0</ns0:v>
      </ns0:c>
      <ns0:c r="R770">
        <ns0:f>IF(AND(L770=1,O770*Calculations!$B$2&lt;=Calculations!$B$11*Calculations!$B$4),1,0)</ns0:f>
        <ns0:v>0</ns0:v>
      </ns0:c>
    </ns0:row>
    <ns0:row r="771">
      <ns0:c r="A771" t="inlineStr">
        <ns0:is>
          <ns0:t>case_0770</ns0:t>
        </ns0:is>
      </ns0:c>
      <ns0:c r="B771" t="inlineStr">
        <ns0:is>
          <ns0:t>function_0135</ns0:t>
        </ns0:is>
      </ns0:c>
      <ns0:c r="C771" t="inlineStr">
        <ns0:is>
          <ns0:t>run_008</ns0:t>
        </ns0:is>
      </ns0:c>
      <ns0:c r="D771" t="inlineStr">
        <ns0:is>
          <ns0:t>humantime</ns0:t>
        </ns0:is>
      </ns0:c>
      <ns0:c r="E771" t="inlineStr">
        <ns0:is>
          <ns0:t>gpt-4o-mini</ns0:t>
        </ns0:is>
      </ns0:c>
      <ns0:c r="F771" t="inlineStr">
        <ns0:is>
          <ns0:t>E0599</ns0:t>
        </ns0:is>
      </ns0:c>
      <ns0:c r="G771" t="n">
        <ns0:v>0</ns0:v>
      </ns0:c>
      <ns0:c r="H771" t="n">
        <ns0:v>6058</ns0:v>
      </ns0:c>
      <ns0:c r="I771" t="n">
        <ns0:v>363</ns0:v>
      </ns0:c>
      <ns0:c r="J771" t="n">
        <ns0:v>6421</ns0:v>
      </ns0:c>
      <ns0:c r="K771" t="n">
        <ns0:v>3</ns0:v>
      </ns0:c>
      <ns0:c r="L771" t="n">
        <ns0:v>1</ns0:v>
      </ns0:c>
      <ns0:c r="M771" t="n">
        <ns0:v>86500</ns0:v>
      </ns0:c>
      <ns0:c r="N771" t="n">
        <ns0:v>1123</ns0:v>
      </ns0:c>
      <ns0:c r="O771" t="n">
        <ns0:v>87623</ns0:v>
      </ns0:c>
      <ns0:c r="P771" t="n">
        <ns0:v>11</ns0:v>
      </ns0:c>
      <ns0:c r="Q771">
        <ns0:f>IF(AND(L771=1,O771*Calculations!$B$2&lt;=Calculations!$B$10*Calculations!$B$4),1,0)</ns0:f>
        <ns0:v>0</ns0:v>
      </ns0:c>
      <ns0:c r="R771">
        <ns0:f>IF(AND(L771=1,O771*Calculations!$B$2&lt;=Calculations!$B$11*Calculations!$B$4),1,0)</ns0:f>
        <ns0:v>0</ns0:v>
      </ns0:c>
    </ns0:row>
    <ns0:row r="772">
      <ns0:c r="A772" t="inlineStr">
        <ns0:is>
          <ns0:t>case_0771</ns0:t>
        </ns0:is>
      </ns0:c>
      <ns0:c r="B772" t="inlineStr">
        <ns0:is>
          <ns0:t>function_0135</ns0:t>
        </ns0:is>
      </ns0:c>
      <ns0:c r="C772" t="inlineStr">
        <ns0:is>
          <ns0:t>run_008</ns0:t>
        </ns0:is>
      </ns0:c>
      <ns0:c r="D772" t="inlineStr">
        <ns0:is>
          <ns0:t>humantime</ns0:t>
        </ns0:is>
      </ns0:c>
      <ns0:c r="E772" t="inlineStr">
        <ns0:is>
          <ns0:t>gpt-4o-mini</ns0:t>
        </ns0:is>
      </ns0:c>
      <ns0:c r="F772" t="inlineStr">
        <ns0:is>
          <ns0:t>E0432,E0599</ns0:t>
        </ns0:is>
      </ns0:c>
      <ns0:c r="G772" t="n">
        <ns0:v>0</ns0:v>
      </ns0:c>
      <ns0:c r="H772" t="n">
        <ns0:v>5926</ns0:v>
      </ns0:c>
      <ns0:c r="I772" t="n">
        <ns0:v>268</ns0:v>
      </ns0:c>
      <ns0:c r="J772" t="n">
        <ns0:v>6194</ns0:v>
      </ns0:c>
      <ns0:c r="K772" t="n">
        <ns0:v>3</ns0:v>
      </ns0:c>
      <ns0:c r="L772" t="n">
        <ns0:v>0</ns0:v>
      </ns0:c>
      <ns0:c r="M772" t="n">
        <ns0:v>82062</ns0:v>
      </ns0:c>
      <ns0:c r="N772" t="n">
        <ns0:v>1605</ns0:v>
      </ns0:c>
      <ns0:c r="O772" t="n">
        <ns0:v>83667</ns0:v>
      </ns0:c>
      <ns0:c r="P772" t="n">
        <ns0:v>10</ns0:v>
      </ns0:c>
      <ns0:c r="Q772">
        <ns0:f>IF(AND(L772=1,O772*Calculations!$B$2&lt;=Calculations!$B$10*Calculations!$B$4),1,0)</ns0:f>
        <ns0:v>0</ns0:v>
      </ns0:c>
      <ns0:c r="R772">
        <ns0:f>IF(AND(L772=1,O772*Calculations!$B$2&lt;=Calculations!$B$11*Calculations!$B$4),1,0)</ns0:f>
        <ns0:v>0</ns0:v>
      </ns0:c>
    </ns0:row>
    <ns0:row r="773">
      <ns0:c r="A773" t="inlineStr">
        <ns0:is>
          <ns0:t>case_0772</ns0:t>
        </ns0:is>
      </ns0:c>
      <ns0:c r="B773" t="inlineStr">
        <ns0:is>
          <ns0:t>function_0135</ns0:t>
        </ns0:is>
      </ns0:c>
      <ns0:c r="C773" t="inlineStr">
        <ns0:is>
          <ns0:t>run_008</ns0:t>
        </ns0:is>
      </ns0:c>
      <ns0:c r="D773" t="inlineStr">
        <ns0:is>
          <ns0:t>humantime</ns0:t>
        </ns0:is>
      </ns0:c>
      <ns0:c r="E773" t="inlineStr">
        <ns0:is>
          <ns0:t>gpt-4o-mini</ns0:t>
        </ns0:is>
      </ns0:c>
      <ns0:c r="F773" t="inlineStr">
        <ns0:is>
          <ns0:t>E0599</ns0:t>
        </ns0:is>
      </ns0:c>
      <ns0:c r="G773" t="n">
        <ns0:v>0</ns0:v>
      </ns0:c>
      <ns0:c r="H773" t="n">
        <ns0:v>5810</ns0:v>
      </ns0:c>
      <ns0:c r="I773" t="n">
        <ns0:v>243</ns0:v>
      </ns0:c>
      <ns0:c r="J773" t="n">
        <ns0:v>6053</ns0:v>
      </ns0:c>
      <ns0:c r="K773" t="n">
        <ns0:v>3</ns0:v>
      </ns0:c>
      <ns0:c r="L773" t="n">
        <ns0:v>0</ns0:v>
      </ns0:c>
      <ns0:c r="M773" t="n">
        <ns0:v>37711</ns0:v>
      </ns0:c>
      <ns0:c r="N773" t="n">
        <ns0:v>860</ns0:v>
      </ns0:c>
      <ns0:c r="O773" t="n">
        <ns0:v>38571</ns0:v>
      </ns0:c>
      <ns0:c r="P773" t="n">
        <ns0:v>5</ns0:v>
      </ns0:c>
      <ns0:c r="Q773">
        <ns0:f>IF(AND(L773=1,O773*Calculations!$B$2&lt;=Calculations!$B$10*Calculations!$B$4),1,0)</ns0:f>
        <ns0:v>0</ns0:v>
      </ns0:c>
      <ns0:c r="R773">
        <ns0:f>IF(AND(L773=1,O773*Calculations!$B$2&lt;=Calculations!$B$11*Calculations!$B$4),1,0)</ns0:f>
        <ns0:v>0</ns0:v>
      </ns0:c>
    </ns0:row>
    <ns0:row r="774">
      <ns0:c r="A774" t="inlineStr">
        <ns0:is>
          <ns0:t>case_0773</ns0:t>
        </ns0:is>
      </ns0:c>
      <ns0:c r="B774" t="inlineStr">
        <ns0:is>
          <ns0:t>function_0135</ns0:t>
        </ns0:is>
      </ns0:c>
      <ns0:c r="C774" t="inlineStr">
        <ns0:is>
          <ns0:t>run_008</ns0:t>
        </ns0:is>
      </ns0:c>
      <ns0:c r="D774" t="inlineStr">
        <ns0:is>
          <ns0:t>humantime</ns0:t>
        </ns0:is>
      </ns0:c>
      <ns0:c r="E774" t="inlineStr">
        <ns0:is>
          <ns0:t>gpt-4o-mini</ns0:t>
        </ns0:is>
      </ns0:c>
      <ns0:c r="F774" t="inlineStr">
        <ns0:is>
          <ns0:t>E0599</ns0:t>
        </ns0:is>
      </ns0:c>
      <ns0:c r="G774" t="n">
        <ns0:v>1</ns0:v>
      </ns0:c>
      <ns0:c r="H774" t="n">
        <ns0:v>1804</ns0:v>
      </ns0:c>
      <ns0:c r="I774" t="n">
        <ns0:v>104</ns0:v>
      </ns0:c>
      <ns0:c r="J774" t="n">
        <ns0:v>1908</ns0:v>
      </ns0:c>
      <ns0:c r="K774" t="n">
        <ns0:v>1</ns0:v>
      </ns0:c>
      <ns0:c r="L774" t="n">
        <ns0:v>0</ns0:v>
      </ns0:c>
      <ns0:c r="M774" t="n">
        <ns0:v>43411</ns0:v>
      </ns0:c>
      <ns0:c r="N774" t="n">
        <ns0:v>550</ns0:v>
      </ns0:c>
      <ns0:c r="O774" t="n">
        <ns0:v>43961</ns0:v>
      </ns0:c>
      <ns0:c r="P774" t="n">
        <ns0:v>6</ns0:v>
      </ns0:c>
      <ns0:c r="Q774">
        <ns0:f>IF(AND(L774=1,O774*Calculations!$B$2&lt;=Calculations!$B$10*Calculations!$B$4),1,0)</ns0:f>
        <ns0:v>0</ns0:v>
      </ns0:c>
      <ns0:c r="R774">
        <ns0:f>IF(AND(L774=1,O774*Calculations!$B$2&lt;=Calculations!$B$11*Calculations!$B$4),1,0)</ns0:f>
        <ns0:v>0</ns0:v>
      </ns0:c>
    </ns0:row>
    <ns0:row r="775">
      <ns0:c r="A775" t="inlineStr">
        <ns0:is>
          <ns0:t>case_0774</ns0:t>
        </ns0:is>
      </ns0:c>
      <ns0:c r="B775" t="inlineStr">
        <ns0:is>
          <ns0:t>function_0135</ns0:t>
        </ns0:is>
      </ns0:c>
      <ns0:c r="C775" t="inlineStr">
        <ns0:is>
          <ns0:t>run_008</ns0:t>
        </ns0:is>
      </ns0:c>
      <ns0:c r="D775" t="inlineStr">
        <ns0:is>
          <ns0:t>humantime</ns0:t>
        </ns0:is>
      </ns0:c>
      <ns0:c r="E775" t="inlineStr">
        <ns0:is>
          <ns0:t>gpt-4o-mini</ns0:t>
        </ns0:is>
      </ns0:c>
      <ns0:c r="F775" t="inlineStr">
        <ns0:is>
          <ns0:t>E0107,E0599</ns0:t>
        </ns0:is>
      </ns0:c>
      <ns0:c r="G775" t="n">
        <ns0:v>0</ns0:v>
      </ns0:c>
      <ns0:c r="H775" t="n">
        <ns0:v>6371</ns0:v>
      </ns0:c>
      <ns0:c r="I775" t="n">
        <ns0:v>423</ns0:v>
      </ns0:c>
      <ns0:c r="J775" t="n">
        <ns0:v>6794</ns0:v>
      </ns0:c>
      <ns0:c r="K775" t="n">
        <ns0:v>3</ns0:v>
      </ns0:c>
      <ns0:c r="L775" t="n">
        <ns0:v>0</ns0:v>
      </ns0:c>
      <ns0:c r="M775" t="n">
        <ns0:v>125656</ns0:v>
      </ns0:c>
      <ns0:c r="N775" t="n">
        <ns0:v>2770</ns0:v>
      </ns0:c>
      <ns0:c r="O775" t="n">
        <ns0:v>128426</ns0:v>
      </ns0:c>
      <ns0:c r="P775" t="n">
        <ns0:v>15</ns0:v>
      </ns0:c>
      <ns0:c r="Q775">
        <ns0:f>IF(AND(L775=1,O775*Calculations!$B$2&lt;=Calculations!$B$10*Calculations!$B$4),1,0)</ns0:f>
        <ns0:v>0</ns0:v>
      </ns0:c>
      <ns0:c r="R775">
        <ns0:f>IF(AND(L775=1,O775*Calculations!$B$2&lt;=Calculations!$B$11*Calculations!$B$4),1,0)</ns0:f>
        <ns0:v>0</ns0:v>
      </ns0:c>
    </ns0:row>
    <ns0:row r="776">
      <ns0:c r="A776" t="inlineStr">
        <ns0:is>
          <ns0:t>case_0775</ns0:t>
        </ns0:is>
      </ns0:c>
      <ns0:c r="B776" t="inlineStr">
        <ns0:is>
          <ns0:t>function_0135</ns0:t>
        </ns0:is>
      </ns0:c>
      <ns0:c r="C776" t="inlineStr">
        <ns0:is>
          <ns0:t>run_008</ns0:t>
        </ns0:is>
      </ns0:c>
      <ns0:c r="D776" t="inlineStr">
        <ns0:is>
          <ns0:t>humantime</ns0:t>
        </ns0:is>
      </ns0:c>
      <ns0:c r="E776" t="inlineStr">
        <ns0:is>
          <ns0:t>gpt-4o-mini</ns0:t>
        </ns0:is>
      </ns0:c>
      <ns0:c r="F776" t="inlineStr">
        <ns0:is>
          <ns0:t>E0432,E0599</ns0:t>
        </ns0:is>
      </ns0:c>
      <ns0:c r="G776" t="n">
        <ns0:v>0</ns0:v>
      </ns0:c>
      <ns0:c r="H776" t="n">
        <ns0:v>6116</ns0:v>
      </ns0:c>
      <ns0:c r="I776" t="n">
        <ns0:v>370</ns0:v>
      </ns0:c>
      <ns0:c r="J776" t="n">
        <ns0:v>6486</ns0:v>
      </ns0:c>
      <ns0:c r="K776" t="n">
        <ns0:v>3</ns0:v>
      </ns0:c>
      <ns0:c r="L776" t="n">
        <ns0:v>0</ns0:v>
      </ns0:c>
      <ns0:c r="M776" t="n">
        <ns0:v>83854</ns0:v>
      </ns0:c>
      <ns0:c r="N776" t="n">
        <ns0:v>1591</ns0:v>
      </ns0:c>
      <ns0:c r="O776" t="n">
        <ns0:v>85445</ns0:v>
      </ns0:c>
      <ns0:c r="P776" t="n">
        <ns0:v>8</ns0:v>
      </ns0:c>
      <ns0:c r="Q776">
        <ns0:f>IF(AND(L776=1,O776*Calculations!$B$2&lt;=Calculations!$B$10*Calculations!$B$4),1,0)</ns0:f>
        <ns0:v>0</ns0:v>
      </ns0:c>
      <ns0:c r="R776">
        <ns0:f>IF(AND(L776=1,O776*Calculations!$B$2&lt;=Calculations!$B$11*Calculations!$B$4),1,0)</ns0:f>
        <ns0:v>0</ns0:v>
      </ns0:c>
    </ns0:row>
    <ns0:row r="777">
      <ns0:c r="A777" t="inlineStr">
        <ns0:is>
          <ns0:t>case_0776</ns0:t>
        </ns0:is>
      </ns0:c>
      <ns0:c r="B777" t="inlineStr">
        <ns0:is>
          <ns0:t>function_0135</ns0:t>
        </ns0:is>
      </ns0:c>
      <ns0:c r="C777" t="inlineStr">
        <ns0:is>
          <ns0:t>run_008</ns0:t>
        </ns0:is>
      </ns0:c>
      <ns0:c r="D777" t="inlineStr">
        <ns0:is>
          <ns0:t>humantime</ns0:t>
        </ns0:is>
      </ns0:c>
      <ns0:c r="E777" t="inlineStr">
        <ns0:is>
          <ns0:t>gpt-4o-mini</ns0:t>
        </ns0:is>
      </ns0:c>
      <ns0:c r="F777" t="inlineStr">
        <ns0:is>
          <ns0:t>E0432,E0599</ns0:t>
        </ns0:is>
      </ns0:c>
      <ns0:c r="G777" t="n">
        <ns0:v>0</ns0:v>
      </ns0:c>
      <ns0:c r="H777" t="n">
        <ns0:v>6190</ns0:v>
      </ns0:c>
      <ns0:c r="I777" t="n">
        <ns0:v>480</ns0:v>
      </ns0:c>
      <ns0:c r="J777" t="n">
        <ns0:v>6670</ns0:v>
      </ns0:c>
      <ns0:c r="K777" t="n">
        <ns0:v>3</ns0:v>
      </ns0:c>
      <ns0:c r="L777" t="n">
        <ns0:v>1</ns0:v>
      </ns0:c>
      <ns0:c r="M777" t="n">
        <ns0:v>101110</ns0:v>
      </ns0:c>
      <ns0:c r="N777" t="n">
        <ns0:v>1421</ns0:v>
      </ns0:c>
      <ns0:c r="O777" t="n">
        <ns0:v>102531</ns0:v>
      </ns0:c>
      <ns0:c r="P777" t="n">
        <ns0:v>12</ns0:v>
      </ns0:c>
      <ns0:c r="Q777">
        <ns0:f>IF(AND(L777=1,O777*Calculations!$B$2&lt;=Calculations!$B$10*Calculations!$B$4),1,0)</ns0:f>
        <ns0:v>0</ns0:v>
      </ns0:c>
      <ns0:c r="R777">
        <ns0:f>IF(AND(L777=1,O777*Calculations!$B$2&lt;=Calculations!$B$11*Calculations!$B$4),1,0)</ns0:f>
        <ns0:v>0</ns0:v>
      </ns0:c>
    </ns0:row>
    <ns0:row r="778">
      <ns0:c r="A778" t="inlineStr">
        <ns0:is>
          <ns0:t>case_0777</ns0:t>
        </ns0:is>
      </ns0:c>
      <ns0:c r="B778" t="inlineStr">
        <ns0:is>
          <ns0:t>function_0135</ns0:t>
        </ns0:is>
      </ns0:c>
      <ns0:c r="C778" t="inlineStr">
        <ns0:is>
          <ns0:t>run_008</ns0:t>
        </ns0:is>
      </ns0:c>
      <ns0:c r="D778" t="inlineStr">
        <ns0:is>
          <ns0:t>humantime</ns0:t>
        </ns0:is>
      </ns0:c>
      <ns0:c r="E778" t="inlineStr">
        <ns0:is>
          <ns0:t>gpt-4o-mini</ns0:t>
        </ns0:is>
      </ns0:c>
      <ns0:c r="F778" t="inlineStr">
        <ns0:is>
          <ns0:t>E0432,E0560</ns0:t>
        </ns0:is>
      </ns0:c>
      <ns0:c r="G778" t="n">
        <ns0:v>0</ns0:v>
      </ns0:c>
      <ns0:c r="H778" t="n">
        <ns0:v>5893</ns0:v>
      </ns0:c>
      <ns0:c r="I778" t="n">
        <ns0:v>412</ns0:v>
      </ns0:c>
      <ns0:c r="J778" t="n">
        <ns0:v>6305</ns0:v>
      </ns0:c>
      <ns0:c r="K778" t="n">
        <ns0:v>3</ns0:v>
      </ns0:c>
      <ns0:c r="L778" t="n">
        <ns0:v>1</ns0:v>
      </ns0:c>
      <ns0:c r="M778" t="n">
        <ns0:v>106425</ns0:v>
      </ns0:c>
      <ns0:c r="N778" t="n">
        <ns0:v>887</ns0:v>
      </ns0:c>
      <ns0:c r="O778" t="n">
        <ns0:v>107312</ns0:v>
      </ns0:c>
      <ns0:c r="P778" t="n">
        <ns0:v>10</ns0:v>
      </ns0:c>
      <ns0:c r="Q778">
        <ns0:f>IF(AND(L778=1,O778*Calculations!$B$2&lt;=Calculations!$B$10*Calculations!$B$4),1,0)</ns0:f>
        <ns0:v>0</ns0:v>
      </ns0:c>
      <ns0:c r="R778">
        <ns0:f>IF(AND(L778=1,O778*Calculations!$B$2&lt;=Calculations!$B$11*Calculations!$B$4),1,0)</ns0:f>
        <ns0:v>0</ns0:v>
      </ns0:c>
    </ns0:row>
    <ns0:row r="779">
      <ns0:c r="A779" t="inlineStr">
        <ns0:is>
          <ns0:t>case_0778</ns0:t>
        </ns0:is>
      </ns0:c>
      <ns0:c r="B779" t="inlineStr">
        <ns0:is>
          <ns0:t>function_0135</ns0:t>
        </ns0:is>
      </ns0:c>
      <ns0:c r="C779" t="inlineStr">
        <ns0:is>
          <ns0:t>run_008</ns0:t>
        </ns0:is>
      </ns0:c>
      <ns0:c r="D779" t="inlineStr">
        <ns0:is>
          <ns0:t>humantime</ns0:t>
        </ns0:is>
      </ns0:c>
      <ns0:c r="E779" t="inlineStr">
        <ns0:is>
          <ns0:t>gpt-4o-mini</ns0:t>
        </ns0:is>
      </ns0:c>
      <ns0:c r="F779" t="inlineStr">
        <ns0:is>
          <ns0:t>E0599</ns0:t>
        </ns0:is>
      </ns0:c>
      <ns0:c r="G779" t="n">
        <ns0:v>0</ns0:v>
      </ns0:c>
      <ns0:c r="H779" t="n">
        <ns0:v>6111</ns0:v>
      </ns0:c>
      <ns0:c r="I779" t="n">
        <ns0:v>411</ns0:v>
      </ns0:c>
      <ns0:c r="J779" t="n">
        <ns0:v>6522</ns0:v>
      </ns0:c>
      <ns0:c r="K779" t="n">
        <ns0:v>3</ns0:v>
      </ns0:c>
      <ns0:c r="L779" t="n">
        <ns0:v>0</ns0:v>
      </ns0:c>
      <ns0:c r="M779" t="n">
        <ns0:v>62479</ns0:v>
      </ns0:c>
      <ns0:c r="N779" t="n">
        <ns0:v>1063</ns0:v>
      </ns0:c>
      <ns0:c r="O779" t="n">
        <ns0:v>63542</ns0:v>
      </ns0:c>
      <ns0:c r="P779" t="n">
        <ns0:v>8</ns0:v>
      </ns0:c>
      <ns0:c r="Q779">
        <ns0:f>IF(AND(L779=1,O779*Calculations!$B$2&lt;=Calculations!$B$10*Calculations!$B$4),1,0)</ns0:f>
        <ns0:v>0</ns0:v>
      </ns0:c>
      <ns0:c r="R779">
        <ns0:f>IF(AND(L779=1,O779*Calculations!$B$2&lt;=Calculations!$B$11*Calculations!$B$4),1,0)</ns0:f>
        <ns0:v>0</ns0:v>
      </ns0:c>
    </ns0:row>
    <ns0:row r="780">
      <ns0:c r="A780" t="inlineStr">
        <ns0:is>
          <ns0:t>case_0779</ns0:t>
        </ns0:is>
      </ns0:c>
      <ns0:c r="B780" t="inlineStr">
        <ns0:is>
          <ns0:t>function_0135</ns0:t>
        </ns0:is>
      </ns0:c>
      <ns0:c r="C780" t="inlineStr">
        <ns0:is>
          <ns0:t>run_008</ns0:t>
        </ns0:is>
      </ns0:c>
      <ns0:c r="D780" t="inlineStr">
        <ns0:is>
          <ns0:t>humantime</ns0:t>
        </ns0:is>
      </ns0:c>
      <ns0:c r="E780" t="inlineStr">
        <ns0:is>
          <ns0:t>gpt-4o-mini</ns0:t>
        </ns0:is>
      </ns0:c>
      <ns0:c r="F780" t="inlineStr">
        <ns0:is>
          <ns0:t>E0599</ns0:t>
        </ns0:is>
      </ns0:c>
      <ns0:c r="G780" t="n">
        <ns0:v>0</ns0:v>
      </ns0:c>
      <ns0:c r="H780" t="n">
        <ns0:v>3430</ns0:v>
      </ns0:c>
      <ns0:c r="I780" t="n">
        <ns0:v>177</ns0:v>
      </ns0:c>
      <ns0:c r="J780" t="n">
        <ns0:v>3607</ns0:v>
      </ns0:c>
      <ns0:c r="K780" t="n">
        <ns0:v>3</ns0:v>
      </ns0:c>
      <ns0:c r="L780" t="n">
        <ns0:v>1</ns0:v>
      </ns0:c>
      <ns0:c r="M780" t="n">
        <ns0:v>195866</ns0:v>
      </ns0:c>
      <ns0:c r="N780" t="n">
        <ns0:v>2470</ns0:v>
      </ns0:c>
      <ns0:c r="O780" t="n">
        <ns0:v>198336</ns0:v>
      </ns0:c>
      <ns0:c r="P780" t="n">
        <ns0:v>20</ns0:v>
      </ns0:c>
      <ns0:c r="Q780">
        <ns0:f>IF(AND(L780=1,O780*Calculations!$B$2&lt;=Calculations!$B$10*Calculations!$B$4),1,0)</ns0:f>
        <ns0:v>0</ns0:v>
      </ns0:c>
      <ns0:c r="R780">
        <ns0:f>IF(AND(L780=1,O780*Calculations!$B$2&lt;=Calculations!$B$11*Calculations!$B$4),1,0)</ns0:f>
        <ns0:v>0</ns0:v>
      </ns0:c>
    </ns0:row>
    <ns0:row r="781">
      <ns0:c r="A781" t="inlineStr">
        <ns0:is>
          <ns0:t>case_0780</ns0:t>
        </ns0:is>
      </ns0:c>
      <ns0:c r="B781" t="inlineStr">
        <ns0:is>
          <ns0:t>function_0135</ns0:t>
        </ns0:is>
      </ns0:c>
      <ns0:c r="C781" t="inlineStr">
        <ns0:is>
          <ns0:t>run_008</ns0:t>
        </ns0:is>
      </ns0:c>
      <ns0:c r="D781" t="inlineStr">
        <ns0:is>
          <ns0:t>humantime</ns0:t>
        </ns0:is>
      </ns0:c>
      <ns0:c r="E781" t="inlineStr">
        <ns0:is>
          <ns0:t>gpt-4o-mini</ns0:t>
        </ns0:is>
      </ns0:c>
      <ns0:c r="F781" t="inlineStr">
        <ns0:is>
          <ns0:t>E0432,E0599</ns0:t>
        </ns0:is>
      </ns0:c>
      <ns0:c r="G781" t="n">
        <ns0:v>0</ns0:v>
      </ns0:c>
      <ns0:c r="H781" t="n">
        <ns0:v>5998</ns0:v>
      </ns0:c>
      <ns0:c r="I781" t="n">
        <ns0:v>357</ns0:v>
      </ns0:c>
      <ns0:c r="J781" t="n">
        <ns0:v>6355</ns0:v>
      </ns0:c>
      <ns0:c r="K781" t="n">
        <ns0:v>3</ns0:v>
      </ns0:c>
      <ns0:c r="L781" t="n">
        <ns0:v>1</ns0:v>
      </ns0:c>
      <ns0:c r="M781" t="n">
        <ns0:v>57268</ns0:v>
      </ns0:c>
      <ns0:c r="N781" t="n">
        <ns0:v>1385</ns0:v>
      </ns0:c>
      <ns0:c r="O781" t="n">
        <ns0:v>58653</ns0:v>
      </ns0:c>
      <ns0:c r="P781" t="n">
        <ns0:v>7</ns0:v>
      </ns0:c>
      <ns0:c r="Q781">
        <ns0:f>IF(AND(L781=1,O781*Calculations!$B$2&lt;=Calculations!$B$10*Calculations!$B$4),1,0)</ns0:f>
        <ns0:v>0</ns0:v>
      </ns0:c>
      <ns0:c r="R781">
        <ns0:f>IF(AND(L781=1,O781*Calculations!$B$2&lt;=Calculations!$B$11*Calculations!$B$4),1,0)</ns0:f>
        <ns0:v>0</ns0:v>
      </ns0:c>
    </ns0:row>
    <ns0:row r="782">
      <ns0:c r="A782" t="inlineStr">
        <ns0:is>
          <ns0:t>case_0781</ns0:t>
        </ns0:is>
      </ns0:c>
      <ns0:c r="B782" t="inlineStr">
        <ns0:is>
          <ns0:t>function_0136</ns0:t>
        </ns0:is>
      </ns0:c>
      <ns0:c r="C782" t="inlineStr">
        <ns0:is>
          <ns0:t>run_008</ns0:t>
        </ns0:is>
      </ns0:c>
      <ns0:c r="D782" t="inlineStr">
        <ns0:is>
          <ns0:t>humantime</ns0:t>
        </ns0:is>
      </ns0:c>
      <ns0:c r="E782" t="inlineStr">
        <ns0:is>
          <ns0:t>gpt-4o-mini</ns0:t>
        </ns0:is>
      </ns0:c>
      <ns0:c r="F782" t="inlineStr">
        <ns0:is>
          <ns0:t>E0432,E0599</ns0:t>
        </ns0:is>
      </ns0:c>
      <ns0:c r="G782" t="n">
        <ns0:v>0</ns0:v>
      </ns0:c>
      <ns0:c r="H782" t="n">
        <ns0:v>5822</ns0:v>
      </ns0:c>
      <ns0:c r="I782" t="n">
        <ns0:v>276</ns0:v>
      </ns0:c>
      <ns0:c r="J782" t="n">
        <ns0:v>6098</ns0:v>
      </ns0:c>
      <ns0:c r="K782" t="n">
        <ns0:v>3</ns0:v>
      </ns0:c>
      <ns0:c r="L782" t="n">
        <ns0:v>1</ns0:v>
      </ns0:c>
      <ns0:c r="M782" t="n">
        <ns0:v>71077</ns0:v>
      </ns0:c>
      <ns0:c r="N782" t="n">
        <ns0:v>996</ns0:v>
      </ns0:c>
      <ns0:c r="O782" t="n">
        <ns0:v>72073</ns0:v>
      </ns0:c>
      <ns0:c r="P782" t="n">
        <ns0:v>9</ns0:v>
      </ns0:c>
      <ns0:c r="Q782">
        <ns0:f>IF(AND(L782=1,O782*Calculations!$B$2&lt;=Calculations!$B$10*Calculations!$B$4),1,0)</ns0:f>
        <ns0:v>0</ns0:v>
      </ns0:c>
      <ns0:c r="R782">
        <ns0:f>IF(AND(L782=1,O782*Calculations!$B$2&lt;=Calculations!$B$11*Calculations!$B$4),1,0)</ns0:f>
        <ns0:v>0</ns0:v>
      </ns0:c>
    </ns0:row>
    <ns0:row r="783">
      <ns0:c r="A783" t="inlineStr">
        <ns0:is>
          <ns0:t>case_0782</ns0:t>
        </ns0:is>
      </ns0:c>
      <ns0:c r="B783" t="inlineStr">
        <ns0:is>
          <ns0:t>function_0136</ns0:t>
        </ns0:is>
      </ns0:c>
      <ns0:c r="C783" t="inlineStr">
        <ns0:is>
          <ns0:t>run_008</ns0:t>
        </ns0:is>
      </ns0:c>
      <ns0:c r="D783" t="inlineStr">
        <ns0:is>
          <ns0:t>humantime</ns0:t>
        </ns0:is>
      </ns0:c>
      <ns0:c r="E783" t="inlineStr">
        <ns0:is>
          <ns0:t>gpt-4o-mini</ns0:t>
        </ns0:is>
      </ns0:c>
      <ns0:c r="F783" t="inlineStr">
        <ns0:is>
          <ns0:t>E0432,E0433,E0599</ns0:t>
        </ns0:is>
      </ns0:c>
      <ns0:c r="G783" t="n">
        <ns0:v>0</ns0:v>
      </ns0:c>
      <ns0:c r="H783" t="n">
        <ns0:v>5943</ns0:v>
      </ns0:c>
      <ns0:c r="I783" t="n">
        <ns0:v>303</ns0:v>
      </ns0:c>
      <ns0:c r="J783" t="n">
        <ns0:v>6246</ns0:v>
      </ns0:c>
      <ns0:c r="K783" t="n">
        <ns0:v>3</ns0:v>
      </ns0:c>
      <ns0:c r="L783" t="n">
        <ns0:v>1</ns0:v>
      </ns0:c>
      <ns0:c r="M783" t="n">
        <ns0:v>74764</ns0:v>
      </ns0:c>
      <ns0:c r="N783" t="n">
        <ns0:v>1328</ns0:v>
      </ns0:c>
      <ns0:c r="O783" t="n">
        <ns0:v>76092</ns0:v>
      </ns0:c>
      <ns0:c r="P783" t="n">
        <ns0:v>6</ns0:v>
      </ns0:c>
      <ns0:c r="Q783">
        <ns0:f>IF(AND(L783=1,O783*Calculations!$B$2&lt;=Calculations!$B$10*Calculations!$B$4),1,0)</ns0:f>
        <ns0:v>0</ns0:v>
      </ns0:c>
      <ns0:c r="R783">
        <ns0:f>IF(AND(L783=1,O783*Calculations!$B$2&lt;=Calculations!$B$11*Calculations!$B$4),1,0)</ns0:f>
        <ns0:v>0</ns0:v>
      </ns0:c>
    </ns0:row>
    <ns0:row r="784">
      <ns0:c r="A784" t="inlineStr">
        <ns0:is>
          <ns0:t>case_0783</ns0:t>
        </ns0:is>
      </ns0:c>
      <ns0:c r="B784" t="inlineStr">
        <ns0:is>
          <ns0:t>function_0136</ns0:t>
        </ns0:is>
      </ns0:c>
      <ns0:c r="C784" t="inlineStr">
        <ns0:is>
          <ns0:t>run_008</ns0:t>
        </ns0:is>
      </ns0:c>
      <ns0:c r="D784" t="inlineStr">
        <ns0:is>
          <ns0:t>humantime</ns0:t>
        </ns0:is>
      </ns0:c>
      <ns0:c r="E784" t="inlineStr">
        <ns0:is>
          <ns0:t>gpt-4o-mini</ns0:t>
        </ns0:is>
      </ns0:c>
      <ns0:c r="F784" t="inlineStr">
        <ns0:is>
          <ns0:t>E0432,E0599</ns0:t>
        </ns0:is>
      </ns0:c>
      <ns0:c r="G784" t="n">
        <ns0:v>0</ns0:v>
      </ns0:c>
      <ns0:c r="H784" t="n">
        <ns0:v>11360</ns0:v>
      </ns0:c>
      <ns0:c r="I784" t="n">
        <ns0:v>609</ns0:v>
      </ns0:c>
      <ns0:c r="J784" t="n">
        <ns0:v>11969</ns0:v>
      </ns0:c>
      <ns0:c r="K784" t="n">
        <ns0:v>6</ns0:v>
      </ns0:c>
      <ns0:c r="L784" t="n">
        <ns0:v>0</ns0:v>
      </ns0:c>
      <ns0:c r="M784" t="n">
        <ns0:v>222060</ns0:v>
      </ns0:c>
      <ns0:c r="N784" t="n">
        <ns0:v>3178</ns0:v>
      </ns0:c>
      <ns0:c r="O784" t="n">
        <ns0:v>225238</ns0:v>
      </ns0:c>
      <ns0:c r="P784" t="n">
        <ns0:v>20</ns0:v>
      </ns0:c>
      <ns0:c r="Q784">
        <ns0:f>IF(AND(L784=1,O784*Calculations!$B$2&lt;=Calculations!$B$10*Calculations!$B$4),1,0)</ns0:f>
        <ns0:v>0</ns0:v>
      </ns0:c>
      <ns0:c r="R784">
        <ns0:f>IF(AND(L784=1,O784*Calculations!$B$2&lt;=Calculations!$B$11*Calculations!$B$4),1,0)</ns0:f>
        <ns0:v>0</ns0:v>
      </ns0:c>
    </ns0:row>
    <ns0:row r="785">
      <ns0:c r="A785" t="inlineStr">
        <ns0:is>
          <ns0:t>case_0784</ns0:t>
        </ns0:is>
      </ns0:c>
      <ns0:c r="B785" t="inlineStr">
        <ns0:is>
          <ns0:t>function_0136</ns0:t>
        </ns0:is>
      </ns0:c>
      <ns0:c r="C785" t="inlineStr">
        <ns0:is>
          <ns0:t>run_008</ns0:t>
        </ns0:is>
      </ns0:c>
      <ns0:c r="D785" t="inlineStr">
        <ns0:is>
          <ns0:t>humantime</ns0:t>
        </ns0:is>
      </ns0:c>
      <ns0:c r="E785" t="inlineStr">
        <ns0:is>
          <ns0:t>gpt-4o-mini</ns0:t>
        </ns0:is>
      </ns0:c>
      <ns0:c r="F785" t="inlineStr">
        <ns0:is>
          <ns0:t>E0599</ns0:t>
        </ns0:is>
      </ns0:c>
      <ns0:c r="G785" t="n">
        <ns0:v>1</ns0:v>
      </ns0:c>
      <ns0:c r="H785" t="n">
        <ns0:v>7169</ns0:v>
      </ns0:c>
      <ns0:c r="I785" t="n">
        <ns0:v>395</ns0:v>
      </ns0:c>
      <ns0:c r="J785" t="n">
        <ns0:v>7564</ns0:v>
      </ns0:c>
      <ns0:c r="K785" t="n">
        <ns0:v>4</ns0:v>
      </ns0:c>
      <ns0:c r="L785" t="n">
        <ns0:v>0</ns0:v>
      </ns0:c>
      <ns0:c r="M785" t="n">
        <ns0:v>58991</ns0:v>
      </ns0:c>
      <ns0:c r="N785" t="n">
        <ns0:v>637</ns0:v>
      </ns0:c>
      <ns0:c r="O785" t="n">
        <ns0:v>59628</ns0:v>
      </ns0:c>
      <ns0:c r="P785" t="n">
        <ns0:v>6</ns0:v>
      </ns0:c>
      <ns0:c r="Q785">
        <ns0:f>IF(AND(L785=1,O785*Calculations!$B$2&lt;=Calculations!$B$10*Calculations!$B$4),1,0)</ns0:f>
        <ns0:v>0</ns0:v>
      </ns0:c>
      <ns0:c r="R785">
        <ns0:f>IF(AND(L785=1,O785*Calculations!$B$2&lt;=Calculations!$B$11*Calculations!$B$4),1,0)</ns0:f>
        <ns0:v>0</ns0:v>
      </ns0:c>
    </ns0:row>
    <ns0:row r="786">
      <ns0:c r="A786" t="inlineStr">
        <ns0:is>
          <ns0:t>case_0785</ns0:t>
        </ns0:is>
      </ns0:c>
      <ns0:c r="B786" t="inlineStr">
        <ns0:is>
          <ns0:t>function_0136</ns0:t>
        </ns0:is>
      </ns0:c>
      <ns0:c r="C786" t="inlineStr">
        <ns0:is>
          <ns0:t>run_008</ns0:t>
        </ns0:is>
      </ns0:c>
      <ns0:c r="D786" t="inlineStr">
        <ns0:is>
          <ns0:t>humantime</ns0:t>
        </ns0:is>
      </ns0:c>
      <ns0:c r="E786" t="inlineStr">
        <ns0:is>
          <ns0:t>gpt-4o-mini</ns0:t>
        </ns0:is>
      </ns0:c>
      <ns0:c r="F786" t="inlineStr">
        <ns0:is>
          <ns0:t>E0599</ns0:t>
        </ns0:is>
      </ns0:c>
      <ns0:c r="G786" t="n">
        <ns0:v>1</ns0:v>
      </ns0:c>
      <ns0:c r="H786" t="n">
        <ns0:v>1774</ns0:v>
      </ns0:c>
      <ns0:c r="I786" t="n">
        <ns0:v>93</ns0:v>
      </ns0:c>
      <ns0:c r="J786" t="n">
        <ns0:v>1867</ns0:v>
      </ns0:c>
      <ns0:c r="K786" t="n">
        <ns0:v>1</ns0:v>
      </ns0:c>
      <ns0:c r="L786" t="n">
        <ns0:v>0</ns0:v>
      </ns0:c>
      <ns0:c r="M786" t="n">
        <ns0:v>43459</ns0:v>
      </ns0:c>
      <ns0:c r="N786" t="n">
        <ns0:v>901</ns0:v>
      </ns0:c>
      <ns0:c r="O786" t="n">
        <ns0:v>44360</ns0:v>
      </ns0:c>
      <ns0:c r="P786" t="n">
        <ns0:v>6</ns0:v>
      </ns0:c>
      <ns0:c r="Q786">
        <ns0:f>IF(AND(L786=1,O786*Calculations!$B$2&lt;=Calculations!$B$10*Calculations!$B$4),1,0)</ns0:f>
        <ns0:v>0</ns0:v>
      </ns0:c>
      <ns0:c r="R786">
        <ns0:f>IF(AND(L786=1,O786*Calculations!$B$2&lt;=Calculations!$B$11*Calculations!$B$4),1,0)</ns0:f>
        <ns0:v>0</ns0:v>
      </ns0:c>
    </ns0:row>
    <ns0:row r="787">
      <ns0:c r="A787" t="inlineStr">
        <ns0:is>
          <ns0:t>case_0786</ns0:t>
        </ns0:is>
      </ns0:c>
      <ns0:c r="B787" t="inlineStr">
        <ns0:is>
          <ns0:t>function_0136</ns0:t>
        </ns0:is>
      </ns0:c>
      <ns0:c r="C787" t="inlineStr">
        <ns0:is>
          <ns0:t>run_008</ns0:t>
        </ns0:is>
      </ns0:c>
      <ns0:c r="D787" t="inlineStr">
        <ns0:is>
          <ns0:t>humantime</ns0:t>
        </ns0:is>
      </ns0:c>
      <ns0:c r="E787" t="inlineStr">
        <ns0:is>
          <ns0:t>gpt-4o-mini</ns0:t>
        </ns0:is>
      </ns0:c>
      <ns0:c r="F787" t="inlineStr">
        <ns0:is>
          <ns0:t>E0599</ns0:t>
        </ns0:is>
      </ns0:c>
      <ns0:c r="G787" t="n">
        <ns0:v>1</ns0:v>
      </ns0:c>
      <ns0:c r="H787" t="n">
        <ns0:v>1814</ns0:v>
      </ns0:c>
      <ns0:c r="I787" t="n">
        <ns0:v>122</ns0:v>
      </ns0:c>
      <ns0:c r="J787" t="n">
        <ns0:v>1936</ns0:v>
      </ns0:c>
      <ns0:c r="K787" t="n">
        <ns0:v>1</ns0:v>
      </ns0:c>
      <ns0:c r="L787" t="n">
        <ns0:v>1</ns0:v>
      </ns0:c>
      <ns0:c r="M787" t="n">
        <ns0:v>50017</ns0:v>
      </ns0:c>
      <ns0:c r="N787" t="n">
        <ns0:v>591</ns0:v>
      </ns0:c>
      <ns0:c r="O787" t="n">
        <ns0:v>50608</ns0:v>
      </ns0:c>
      <ns0:c r="P787" t="n">
        <ns0:v>4</ns0:v>
      </ns0:c>
      <ns0:c r="Q787">
        <ns0:f>IF(AND(L787=1,O787*Calculations!$B$2&lt;=Calculations!$B$10*Calculations!$B$4),1,0)</ns0:f>
        <ns0:v>0</ns0:v>
      </ns0:c>
      <ns0:c r="R787">
        <ns0:f>IF(AND(L787=1,O787*Calculations!$B$2&lt;=Calculations!$B$11*Calculations!$B$4),1,0)</ns0:f>
        <ns0:v>0</ns0:v>
      </ns0:c>
    </ns0:row>
    <ns0:row r="788">
      <ns0:c r="A788" t="inlineStr">
        <ns0:is>
          <ns0:t>case_0787</ns0:t>
        </ns0:is>
      </ns0:c>
      <ns0:c r="B788" t="inlineStr">
        <ns0:is>
          <ns0:t>function_0136</ns0:t>
        </ns0:is>
      </ns0:c>
      <ns0:c r="C788" t="inlineStr">
        <ns0:is>
          <ns0:t>run_008</ns0:t>
        </ns0:is>
      </ns0:c>
      <ns0:c r="D788" t="inlineStr">
        <ns0:is>
          <ns0:t>humantime</ns0:t>
        </ns0:is>
      </ns0:c>
      <ns0:c r="E788" t="inlineStr">
        <ns0:is>
          <ns0:t>gpt-4o-mini</ns0:t>
        </ns0:is>
      </ns0:c>
      <ns0:c r="F788" t="inlineStr">
        <ns0:is>
          <ns0:t>E0432,E0599</ns0:t>
        </ns0:is>
      </ns0:c>
      <ns0:c r="G788" t="n">
        <ns0:v>0</ns0:v>
      </ns0:c>
      <ns0:c r="H788" t="n">
        <ns0:v>7632</ns0:v>
      </ns0:c>
      <ns0:c r="I788" t="n">
        <ns0:v>639</ns0:v>
      </ns0:c>
      <ns0:c r="J788" t="n">
        <ns0:v>8271</ns0:v>
      </ns0:c>
      <ns0:c r="K788" t="n">
        <ns0:v>9</ns0:v>
      </ns0:c>
      <ns0:c r="L788" t="n">
        <ns0:v>0</ns0:v>
      </ns0:c>
      <ns0:c r="M788" t="n">
        <ns0:v>72672</ns0:v>
      </ns0:c>
      <ns0:c r="N788" t="n">
        <ns0:v>1043</ns0:v>
      </ns0:c>
      <ns0:c r="O788" t="n">
        <ns0:v>73715</ns0:v>
      </ns0:c>
      <ns0:c r="P788" t="n">
        <ns0:v>9</ns0:v>
      </ns0:c>
      <ns0:c r="Q788">
        <ns0:f>IF(AND(L788=1,O788*Calculations!$B$2&lt;=Calculations!$B$10*Calculations!$B$4),1,0)</ns0:f>
        <ns0:v>0</ns0:v>
      </ns0:c>
      <ns0:c r="R788">
        <ns0:f>IF(AND(L788=1,O788*Calculations!$B$2&lt;=Calculations!$B$11*Calculations!$B$4),1,0)</ns0:f>
        <ns0:v>0</ns0:v>
      </ns0:c>
    </ns0:row>
    <ns0:row r="789">
      <ns0:c r="A789" t="inlineStr">
        <ns0:is>
          <ns0:t>case_0788</ns0:t>
        </ns0:is>
      </ns0:c>
      <ns0:c r="B789" t="inlineStr">
        <ns0:is>
          <ns0:t>function_0136</ns0:t>
        </ns0:is>
      </ns0:c>
      <ns0:c r="C789" t="inlineStr">
        <ns0:is>
          <ns0:t>run_008</ns0:t>
        </ns0:is>
      </ns0:c>
      <ns0:c r="D789" t="inlineStr">
        <ns0:is>
          <ns0:t>humantime</ns0:t>
        </ns0:is>
      </ns0:c>
      <ns0:c r="E789" t="inlineStr">
        <ns0:is>
          <ns0:t>gpt-4o-mini</ns0:t>
        </ns0:is>
      </ns0:c>
      <ns0:c r="F789" t="inlineStr">
        <ns0:is>
          <ns0:t>E0432,E0599</ns0:t>
        </ns0:is>
      </ns0:c>
      <ns0:c r="G789" t="n">
        <ns0:v>0</ns0:v>
      </ns0:c>
      <ns0:c r="H789" t="n">
        <ns0:v>4374</ns0:v>
      </ns0:c>
      <ns0:c r="I789" t="n">
        <ns0:v>222</ns0:v>
      </ns0:c>
      <ns0:c r="J789" t="n">
        <ns0:v>4596</ns0:v>
      </ns0:c>
      <ns0:c r="K789" t="n">
        <ns0:v>3</ns0:v>
      </ns0:c>
      <ns0:c r="L789" t="n">
        <ns0:v>1</ns0:v>
      </ns0:c>
      <ns0:c r="M789" t="n">
        <ns0:v>128530</ns0:v>
      </ns0:c>
      <ns0:c r="N789" t="n">
        <ns0:v>1394</ns0:v>
      </ns0:c>
      <ns0:c r="O789" t="n">
        <ns0:v>129924</ns0:v>
      </ns0:c>
      <ns0:c r="P789" t="n">
        <ns0:v>15</ns0:v>
      </ns0:c>
      <ns0:c r="Q789">
        <ns0:f>IF(AND(L789=1,O789*Calculations!$B$2&lt;=Calculations!$B$10*Calculations!$B$4),1,0)</ns0:f>
        <ns0:v>0</ns0:v>
      </ns0:c>
      <ns0:c r="R789">
        <ns0:f>IF(AND(L789=1,O789*Calculations!$B$2&lt;=Calculations!$B$11*Calculations!$B$4),1,0)</ns0:f>
        <ns0:v>0</ns0:v>
      </ns0:c>
    </ns0:row>
    <ns0:row r="790">
      <ns0:c r="A790" t="inlineStr">
        <ns0:is>
          <ns0:t>case_0789</ns0:t>
        </ns0:is>
      </ns0:c>
      <ns0:c r="B790" t="inlineStr">
        <ns0:is>
          <ns0:t>function_0136</ns0:t>
        </ns0:is>
      </ns0:c>
      <ns0:c r="C790" t="inlineStr">
        <ns0:is>
          <ns0:t>run_008</ns0:t>
        </ns0:is>
      </ns0:c>
      <ns0:c r="D790" t="inlineStr">
        <ns0:is>
          <ns0:t>humantime</ns0:t>
        </ns0:is>
      </ns0:c>
      <ns0:c r="E790" t="inlineStr">
        <ns0:is>
          <ns0:t>gpt-4o-mini</ns0:t>
        </ns0:is>
      </ns0:c>
      <ns0:c r="F790" t="inlineStr">
        <ns0:is>
          <ns0:t>E0432</ns0:t>
        </ns0:is>
      </ns0:c>
      <ns0:c r="G790" t="n">
        <ns0:v>0</ns0:v>
      </ns0:c>
      <ns0:c r="H790" t="n">
        <ns0:v>4478</ns0:v>
      </ns0:c>
      <ns0:c r="I790" t="n">
        <ns0:v>265</ns0:v>
      </ns0:c>
      <ns0:c r="J790" t="n">
        <ns0:v>4743</ns0:v>
      </ns0:c>
      <ns0:c r="K790" t="n">
        <ns0:v>3</ns0:v>
      </ns0:c>
      <ns0:c r="L790" t="n">
        <ns0:v>1</ns0:v>
      </ns0:c>
      <ns0:c r="M790" t="n">
        <ns0:v>82222</ns0:v>
      </ns0:c>
      <ns0:c r="N790" t="n">
        <ns0:v>886</ns0:v>
      </ns0:c>
      <ns0:c r="O790" t="n">
        <ns0:v>83108</ns0:v>
      </ns0:c>
      <ns0:c r="P790" t="n">
        <ns0:v>8</ns0:v>
      </ns0:c>
      <ns0:c r="Q790">
        <ns0:f>IF(AND(L790=1,O790*Calculations!$B$2&lt;=Calculations!$B$10*Calculations!$B$4),1,0)</ns0:f>
        <ns0:v>0</ns0:v>
      </ns0:c>
      <ns0:c r="R790">
        <ns0:f>IF(AND(L790=1,O790*Calculations!$B$2&lt;=Calculations!$B$11*Calculations!$B$4),1,0)</ns0:f>
        <ns0:v>0</ns0:v>
      </ns0:c>
    </ns0:row>
    <ns0:row r="791">
      <ns0:c r="A791" t="inlineStr">
        <ns0:is>
          <ns0:t>case_0790</ns0:t>
        </ns0:is>
      </ns0:c>
      <ns0:c r="B791" t="inlineStr">
        <ns0:is>
          <ns0:t>function_0136</ns0:t>
        </ns0:is>
      </ns0:c>
      <ns0:c r="C791" t="inlineStr">
        <ns0:is>
          <ns0:t>run_008</ns0:t>
        </ns0:is>
      </ns0:c>
      <ns0:c r="D791" t="inlineStr">
        <ns0:is>
          <ns0:t>humantime</ns0:t>
        </ns0:is>
      </ns0:c>
      <ns0:c r="E791" t="inlineStr">
        <ns0:is>
          <ns0:t>gpt-4o-mini</ns0:t>
        </ns0:is>
      </ns0:c>
      <ns0:c r="F791" t="inlineStr">
        <ns0:is>
          <ns0:t>E0432,E0599</ns0:t>
        </ns0:is>
      </ns0:c>
      <ns0:c r="G791" t="n">
        <ns0:v>0</ns0:v>
      </ns0:c>
      <ns0:c r="H791" t="n">
        <ns0:v>2618</ns0:v>
      </ns0:c>
      <ns0:c r="I791" t="n">
        <ns0:v>237</ns0:v>
      </ns0:c>
      <ns0:c r="J791" t="n">
        <ns0:v>2855</ns0:v>
      </ns0:c>
      <ns0:c r="K791" t="n">
        <ns0:v>3</ns0:v>
      </ns0:c>
      <ns0:c r="L791" t="n">
        <ns0:v>0</ns0:v>
      </ns0:c>
      <ns0:c r="M791" t="n">
        <ns0:v>88620</ns0:v>
      </ns0:c>
      <ns0:c r="N791" t="n">
        <ns0:v>825</ns0:v>
      </ns0:c>
      <ns0:c r="O791" t="n">
        <ns0:v>89445</ns0:v>
      </ns0:c>
      <ns0:c r="P791" t="n">
        <ns0:v>8</ns0:v>
      </ns0:c>
      <ns0:c r="Q791">
        <ns0:f>IF(AND(L791=1,O791*Calculations!$B$2&lt;=Calculations!$B$10*Calculations!$B$4),1,0)</ns0:f>
        <ns0:v>0</ns0:v>
      </ns0:c>
      <ns0:c r="R791">
        <ns0:f>IF(AND(L791=1,O791*Calculations!$B$2&lt;=Calculations!$B$11*Calculations!$B$4),1,0)</ns0:f>
        <ns0:v>0</ns0:v>
      </ns0:c>
    </ns0:row>
    <ns0:row r="792">
      <ns0:c r="A792" t="inlineStr">
        <ns0:is>
          <ns0:t>case_0791</ns0:t>
        </ns0:is>
      </ns0:c>
      <ns0:c r="B792" t="inlineStr">
        <ns0:is>
          <ns0:t>function_0136</ns0:t>
        </ns0:is>
      </ns0:c>
      <ns0:c r="C792" t="inlineStr">
        <ns0:is>
          <ns0:t>run_008</ns0:t>
        </ns0:is>
      </ns0:c>
      <ns0:c r="D792" t="inlineStr">
        <ns0:is>
          <ns0:t>humantime</ns0:t>
        </ns0:is>
      </ns0:c>
      <ns0:c r="E792" t="inlineStr">
        <ns0:is>
          <ns0:t>gpt-4o-mini</ns0:t>
        </ns0:is>
      </ns0:c>
      <ns0:c r="F792" t="inlineStr">
        <ns0:is>
          <ns0:t>E0412,E0432</ns0:t>
        </ns0:is>
      </ns0:c>
      <ns0:c r="G792" t="n">
        <ns0:v>0</ns0:v>
      </ns0:c>
      <ns0:c r="H792" t="n">
        <ns0:v>0</ns0:v>
      </ns0:c>
      <ns0:c r="I792" t="n">
        <ns0:v>0</ns0:v>
      </ns0:c>
      <ns0:c r="J792" t="n">
        <ns0:v>0</ns0:v>
      </ns0:c>
      <ns0:c r="K792" t="n">
        <ns0:v>0</ns0:v>
      </ns0:c>
      <ns0:c r="L792" t="n">
        <ns0:v>1</ns0:v>
      </ns0:c>
      <ns0:c r="M792" t="n">
        <ns0:v>114373</ns0:v>
      </ns0:c>
      <ns0:c r="N792" t="n">
        <ns0:v>1974</ns0:v>
      </ns0:c>
      <ns0:c r="O792" t="n">
        <ns0:v>116347</ns0:v>
      </ns0:c>
      <ns0:c r="P792" t="n">
        <ns0:v>14</ns0:v>
      </ns0:c>
      <ns0:c r="Q792">
        <ns0:f>IF(AND(L792=1,O792*Calculations!$B$2&lt;=Calculations!$B$10*Calculations!$B$4),1,0)</ns0:f>
        <ns0:v>0</ns0:v>
      </ns0:c>
      <ns0:c r="R792">
        <ns0:f>IF(AND(L792=1,O792*Calculations!$B$2&lt;=Calculations!$B$11*Calculations!$B$4),1,0)</ns0:f>
        <ns0:v>0</ns0:v>
      </ns0:c>
    </ns0:row>
    <ns0:row r="793">
      <ns0:c r="A793" t="inlineStr">
        <ns0:is>
          <ns0:t>case_0792</ns0:t>
        </ns0:is>
      </ns0:c>
      <ns0:c r="B793" t="inlineStr">
        <ns0:is>
          <ns0:t>function_0136</ns0:t>
        </ns0:is>
      </ns0:c>
      <ns0:c r="C793" t="inlineStr">
        <ns0:is>
          <ns0:t>run_008</ns0:t>
        </ns0:is>
      </ns0:c>
      <ns0:c r="D793" t="inlineStr">
        <ns0:is>
          <ns0:t>humantime</ns0:t>
        </ns0:is>
      </ns0:c>
      <ns0:c r="E793" t="inlineStr">
        <ns0:is>
          <ns0:t>gpt-4o-mini</ns0:t>
        </ns0:is>
      </ns0:c>
      <ns0:c r="F793" t="inlineStr">
        <ns0:is>
          <ns0:t>E0432,E0599</ns0:t>
        </ns0:is>
      </ns0:c>
      <ns0:c r="G793" t="n">
        <ns0:v>0</ns0:v>
      </ns0:c>
      <ns0:c r="H793" t="n">
        <ns0:v>7857</ns0:v>
      </ns0:c>
      <ns0:c r="I793" t="n">
        <ns0:v>762</ns0:v>
      </ns0:c>
      <ns0:c r="J793" t="n">
        <ns0:v>8619</ns0:v>
      </ns0:c>
      <ns0:c r="K793" t="n">
        <ns0:v>9</ns0:v>
      </ns0:c>
      <ns0:c r="L793" t="n">
        <ns0:v>1</ns0:v>
      </ns0:c>
      <ns0:c r="M793" t="n">
        <ns0:v>79109</ns0:v>
      </ns0:c>
      <ns0:c r="N793" t="n">
        <ns0:v>742</ns0:v>
      </ns0:c>
      <ns0:c r="O793" t="n">
        <ns0:v>79851</ns0:v>
      </ns0:c>
      <ns0:c r="P793" t="n">
        <ns0:v>7</ns0:v>
      </ns0:c>
      <ns0:c r="Q793">
        <ns0:f>IF(AND(L793=1,O793*Calculations!$B$2&lt;=Calculations!$B$10*Calculations!$B$4),1,0)</ns0:f>
        <ns0:v>0</ns0:v>
      </ns0:c>
      <ns0:c r="R793">
        <ns0:f>IF(AND(L793=1,O793*Calculations!$B$2&lt;=Calculations!$B$11*Calculations!$B$4),1,0)</ns0:f>
        <ns0:v>0</ns0:v>
      </ns0:c>
    </ns0:row>
    <ns0:row r="794">
      <ns0:c r="A794" t="inlineStr">
        <ns0:is>
          <ns0:t>case_0793</ns0:t>
        </ns0:is>
      </ns0:c>
      <ns0:c r="B794" t="inlineStr">
        <ns0:is>
          <ns0:t>function_0137</ns0:t>
        </ns0:is>
      </ns0:c>
      <ns0:c r="C794" t="inlineStr">
        <ns0:is>
          <ns0:t>run_008</ns0:t>
        </ns0:is>
      </ns0:c>
      <ns0:c r="D794" t="inlineStr">
        <ns0:is>
          <ns0:t>humantime</ns0:t>
        </ns0:is>
      </ns0:c>
      <ns0:c r="E794" t="inlineStr">
        <ns0:is>
          <ns0:t>gpt-4o-mini</ns0:t>
        </ns0:is>
      </ns0:c>
      <ns0:c r="F794" t="inlineStr">
        <ns0:is>
          <ns0:t>E0063</ns0:t>
        </ns0:is>
      </ns0:c>
      <ns0:c r="G794" t="n">
        <ns0:v>0</ns0:v>
      </ns0:c>
      <ns0:c r="H794" t="n">
        <ns0:v>7530</ns0:v>
      </ns0:c>
      <ns0:c r="I794" t="n">
        <ns0:v>378</ns0:v>
      </ns0:c>
      <ns0:c r="J794" t="n">
        <ns0:v>7908</ns0:v>
      </ns0:c>
      <ns0:c r="K794" t="n">
        <ns0:v>3</ns0:v>
      </ns0:c>
      <ns0:c r="L794" t="n">
        <ns0:v>1</ns0:v>
      </ns0:c>
      <ns0:c r="M794" t="n">
        <ns0:v>35608</ns0:v>
      </ns0:c>
      <ns0:c r="N794" t="n">
        <ns0:v>508</ns0:v>
      </ns0:c>
      <ns0:c r="O794" t="n">
        <ns0:v>36116</ns0:v>
      </ns0:c>
      <ns0:c r="P794" t="n">
        <ns0:v>5</ns0:v>
      </ns0:c>
      <ns0:c r="Q794">
        <ns0:f>IF(AND(L794=1,O794*Calculations!$B$2&lt;=Calculations!$B$10*Calculations!$B$4),1,0)</ns0:f>
        <ns0:v>0</ns0:v>
      </ns0:c>
      <ns0:c r="R794">
        <ns0:f>IF(AND(L794=1,O794*Calculations!$B$2&lt;=Calculations!$B$11*Calculations!$B$4),1,0)</ns0:f>
        <ns0:v>1</ns0:v>
      </ns0:c>
    </ns0:row>
    <ns0:row r="795">
      <ns0:c r="A795" t="inlineStr">
        <ns0:is>
          <ns0:t>case_0794</ns0:t>
        </ns0:is>
      </ns0:c>
      <ns0:c r="B795" t="inlineStr">
        <ns0:is>
          <ns0:t>function_0137</ns0:t>
        </ns0:is>
      </ns0:c>
      <ns0:c r="C795" t="inlineStr">
        <ns0:is>
          <ns0:t>run_008</ns0:t>
        </ns0:is>
      </ns0:c>
      <ns0:c r="D795" t="inlineStr">
        <ns0:is>
          <ns0:t>humantime</ns0:t>
        </ns0:is>
      </ns0:c>
      <ns0:c r="E795" t="inlineStr">
        <ns0:is>
          <ns0:t>gpt-4o-mini</ns0:t>
        </ns0:is>
      </ns0:c>
      <ns0:c r="F795" t="inlineStr">
        <ns0:is>
          <ns0:t>E0107,E0599</ns0:t>
        </ns0:is>
      </ns0:c>
      <ns0:c r="G795" t="n">
        <ns0:v>0</ns0:v>
      </ns0:c>
      <ns0:c r="H795" t="n">
        <ns0:v>4173</ns0:v>
      </ns0:c>
      <ns0:c r="I795" t="n">
        <ns0:v>324</ns0:v>
      </ns0:c>
      <ns0:c r="J795" t="n">
        <ns0:v>4497</ns0:v>
      </ns0:c>
      <ns0:c r="K795" t="n">
        <ns0:v>3</ns0:v>
      </ns0:c>
      <ns0:c r="L795" t="n">
        <ns0:v>0</ns0:v>
      </ns0:c>
      <ns0:c r="M795" t="n">
        <ns0:v>190679</ns0:v>
      </ns0:c>
      <ns0:c r="N795" t="n">
        <ns0:v>3047</ns0:v>
      </ns0:c>
      <ns0:c r="O795" t="n">
        <ns0:v>193726</ns0:v>
      </ns0:c>
      <ns0:c r="P795" t="n">
        <ns0:v>13</ns0:v>
      </ns0:c>
      <ns0:c r="Q795">
        <ns0:f>IF(AND(L795=1,O795*Calculations!$B$2&lt;=Calculations!$B$10*Calculations!$B$4),1,0)</ns0:f>
        <ns0:v>0</ns0:v>
      </ns0:c>
      <ns0:c r="R795">
        <ns0:f>IF(AND(L795=1,O795*Calculations!$B$2&lt;=Calculations!$B$11*Calculations!$B$4),1,0)</ns0:f>
        <ns0:v>0</ns0:v>
      </ns0:c>
    </ns0:row>
    <ns0:row r="796">
      <ns0:c r="A796" t="inlineStr">
        <ns0:is>
          <ns0:t>case_0795</ns0:t>
        </ns0:is>
      </ns0:c>
      <ns0:c r="B796" t="inlineStr">
        <ns0:is>
          <ns0:t>function_0137</ns0:t>
        </ns0:is>
      </ns0:c>
      <ns0:c r="C796" t="inlineStr">
        <ns0:is>
          <ns0:t>run_008</ns0:t>
        </ns0:is>
      </ns0:c>
      <ns0:c r="D796" t="inlineStr">
        <ns0:is>
          <ns0:t>humantime</ns0:t>
        </ns0:is>
      </ns0:c>
      <ns0:c r="E796" t="inlineStr">
        <ns0:is>
          <ns0:t>gpt-4o-mini</ns0:t>
        </ns0:is>
      </ns0:c>
      <ns0:c r="F796" t="inlineStr">
        <ns0:is>
          <ns0:t>E0107,E0599</ns0:t>
        </ns0:is>
      </ns0:c>
      <ns0:c r="G796" t="n">
        <ns0:v>0</ns0:v>
      </ns0:c>
      <ns0:c r="H796" t="n">
        <ns0:v>4159</ns0:v>
      </ns0:c>
      <ns0:c r="I796" t="n">
        <ns0:v>317</ns0:v>
      </ns0:c>
      <ns0:c r="J796" t="n">
        <ns0:v>4476</ns0:v>
      </ns0:c>
      <ns0:c r="K796" t="n">
        <ns0:v>3</ns0:v>
      </ns0:c>
      <ns0:c r="L796" t="n">
        <ns0:v>1</ns0:v>
      </ns0:c>
      <ns0:c r="M796" t="n">
        <ns0:v>79785</ns0:v>
      </ns0:c>
      <ns0:c r="N796" t="n">
        <ns0:v>1615</ns0:v>
      </ns0:c>
      <ns0:c r="O796" t="n">
        <ns0:v>81400</ns0:v>
      </ns0:c>
      <ns0:c r="P796" t="n">
        <ns0:v>10</ns0:v>
      </ns0:c>
      <ns0:c r="Q796">
        <ns0:f>IF(AND(L796=1,O796*Calculations!$B$2&lt;=Calculations!$B$10*Calculations!$B$4),1,0)</ns0:f>
        <ns0:v>0</ns0:v>
      </ns0:c>
      <ns0:c r="R796">
        <ns0:f>IF(AND(L796=1,O796*Calculations!$B$2&lt;=Calculations!$B$11*Calculations!$B$4),1,0)</ns0:f>
        <ns0:v>0</ns0:v>
      </ns0:c>
    </ns0:row>
    <ns0:row r="797">
      <ns0:c r="A797" t="inlineStr">
        <ns0:is>
          <ns0:t>case_0796</ns0:t>
        </ns0:is>
      </ns0:c>
      <ns0:c r="B797" t="inlineStr">
        <ns0:is>
          <ns0:t>function_0137</ns0:t>
        </ns0:is>
      </ns0:c>
      <ns0:c r="C797" t="inlineStr">
        <ns0:is>
          <ns0:t>run_008</ns0:t>
        </ns0:is>
      </ns0:c>
      <ns0:c r="D797" t="inlineStr">
        <ns0:is>
          <ns0:t>humantime</ns0:t>
        </ns0:is>
      </ns0:c>
      <ns0:c r="E797" t="inlineStr">
        <ns0:is>
          <ns0:t>gpt-4o-mini</ns0:t>
        </ns0:is>
      </ns0:c>
      <ns0:c r="F797" t="inlineStr">
        <ns0:is>
          <ns0:t>E0063,E0308</ns0:t>
        </ns0:is>
      </ns0:c>
      <ns0:c r="G797" t="n">
        <ns0:v>1</ns0:v>
      </ns0:c>
      <ns0:c r="H797" t="n">
        <ns0:v>1881</ns0:v>
      </ns0:c>
      <ns0:c r="I797" t="n">
        <ns0:v>142</ns0:v>
      </ns0:c>
      <ns0:c r="J797" t="n">
        <ns0:v>2023</ns0:v>
      </ns0:c>
      <ns0:c r="K797" t="n">
        <ns0:v>1</ns0:v>
      </ns0:c>
      <ns0:c r="L797" t="n">
        <ns0:v>1</ns0:v>
      </ns0:c>
      <ns0:c r="M797" t="n">
        <ns0:v>27848</ns0:v>
      </ns0:c>
      <ns0:c r="N797" t="n">
        <ns0:v>375</ns0:v>
      </ns0:c>
      <ns0:c r="O797" t="n">
        <ns0:v>28223</ns0:v>
      </ns0:c>
      <ns0:c r="P797" t="n">
        <ns0:v>4</ns0:v>
      </ns0:c>
      <ns0:c r="Q797">
        <ns0:f>IF(AND(L797=1,O797*Calculations!$B$2&lt;=Calculations!$B$10*Calculations!$B$4),1,0)</ns0:f>
        <ns0:v>0</ns0:v>
      </ns0:c>
      <ns0:c r="R797">
        <ns0:f>IF(AND(L797=1,O797*Calculations!$B$2&lt;=Calculations!$B$11*Calculations!$B$4),1,0)</ns0:f>
        <ns0:v>1</ns0:v>
      </ns0:c>
    </ns0:row>
    <ns0:row r="798">
      <ns0:c r="A798" t="inlineStr">
        <ns0:is>
          <ns0:t>case_0797</ns0:t>
        </ns0:is>
      </ns0:c>
      <ns0:c r="B798" t="inlineStr">
        <ns0:is>
          <ns0:t>function_0137</ns0:t>
        </ns0:is>
      </ns0:c>
      <ns0:c r="C798" t="inlineStr">
        <ns0:is>
          <ns0:t>run_008</ns0:t>
        </ns0:is>
      </ns0:c>
      <ns0:c r="D798" t="inlineStr">
        <ns0:is>
          <ns0:t>humantime</ns0:t>
        </ns0:is>
      </ns0:c>
      <ns0:c r="E798" t="inlineStr">
        <ns0:is>
          <ns0:t>gpt-4o-mini</ns0:t>
        </ns0:is>
      </ns0:c>
      <ns0:c r="F798" t="inlineStr">
        <ns0:is>
          <ns0:t>E0599</ns0:t>
        </ns0:is>
      </ns0:c>
      <ns0:c r="G798" t="n">
        <ns0:v>0</ns0:v>
      </ns0:c>
      <ns0:c r="H798" t="n">
        <ns0:v>6087</ns0:v>
      </ns0:c>
      <ns0:c r="I798" t="n">
        <ns0:v>285</ns0:v>
      </ns0:c>
      <ns0:c r="J798" t="n">
        <ns0:v>6372</ns0:v>
      </ns0:c>
      <ns0:c r="K798" t="n">
        <ns0:v>3</ns0:v>
      </ns0:c>
      <ns0:c r="L798" t="n">
        <ns0:v>0</ns0:v>
      </ns0:c>
      <ns0:c r="M798" t="n">
        <ns0:v>49973</ns0:v>
      </ns0:c>
      <ns0:c r="N798" t="n">
        <ns0:v>399</ns0:v>
      </ns0:c>
      <ns0:c r="O798" t="n">
        <ns0:v>50372</ns0:v>
      </ns0:c>
      <ns0:c r="P798" t="n">
        <ns0:v>4</ns0:v>
      </ns0:c>
      <ns0:c r="Q798">
        <ns0:f>IF(AND(L798=1,O798*Calculations!$B$2&lt;=Calculations!$B$10*Calculations!$B$4),1,0)</ns0:f>
        <ns0:v>0</ns0:v>
      </ns0:c>
      <ns0:c r="R798">
        <ns0:f>IF(AND(L798=1,O798*Calculations!$B$2&lt;=Calculations!$B$11*Calculations!$B$4),1,0)</ns0:f>
        <ns0:v>0</ns0:v>
      </ns0:c>
    </ns0:row>
    <ns0:row r="799">
      <ns0:c r="A799" t="inlineStr">
        <ns0:is>
          <ns0:t>case_0798</ns0:t>
        </ns0:is>
      </ns0:c>
      <ns0:c r="B799" t="inlineStr">
        <ns0:is>
          <ns0:t>function_0137</ns0:t>
        </ns0:is>
      </ns0:c>
      <ns0:c r="C799" t="inlineStr">
        <ns0:is>
          <ns0:t>run_008</ns0:t>
        </ns0:is>
      </ns0:c>
      <ns0:c r="D799" t="inlineStr">
        <ns0:is>
          <ns0:t>humantime</ns0:t>
        </ns0:is>
      </ns0:c>
      <ns0:c r="E799" t="inlineStr">
        <ns0:is>
          <ns0:t>gpt-4o-mini</ns0:t>
        </ns0:is>
      </ns0:c>
      <ns0:c r="F799" t="inlineStr">
        <ns0:is>
          <ns0:t>E0063,E0308</ns0:t>
        </ns0:is>
      </ns0:c>
      <ns0:c r="G799" t="n">
        <ns0:v>1</ns0:v>
      </ns0:c>
      <ns0:c r="H799" t="n">
        <ns0:v>1889</ns0:v>
      </ns0:c>
      <ns0:c r="I799" t="n">
        <ns0:v>132</ns0:v>
      </ns0:c>
      <ns0:c r="J799" t="n">
        <ns0:v>2021</ns0:v>
      </ns0:c>
      <ns0:c r="K799" t="n">
        <ns0:v>1</ns0:v>
      </ns0:c>
      <ns0:c r="L799" t="n">
        <ns0:v>1</ns0:v>
      </ns0:c>
      <ns0:c r="M799" t="n">
        <ns0:v>27407</ns0:v>
      </ns0:c>
      <ns0:c r="N799" t="n">
        <ns0:v>364</ns0:v>
      </ns0:c>
      <ns0:c r="O799" t="n">
        <ns0:v>27771</ns0:v>
      </ns0:c>
      <ns0:c r="P799" t="n">
        <ns0:v>4</ns0:v>
      </ns0:c>
      <ns0:c r="Q799">
        <ns0:f>IF(AND(L799=1,O799*Calculations!$B$2&lt;=Calculations!$B$10*Calculations!$B$4),1,0)</ns0:f>
        <ns0:v>0</ns0:v>
      </ns0:c>
      <ns0:c r="R799">
        <ns0:f>IF(AND(L799=1,O799*Calculations!$B$2&lt;=Calculations!$B$11*Calculations!$B$4),1,0)</ns0:f>
        <ns0:v>1</ns0:v>
      </ns0:c>
    </ns0:row>
    <ns0:row r="800">
      <ns0:c r="A800" t="inlineStr">
        <ns0:is>
          <ns0:t>case_0799</ns0:t>
        </ns0:is>
      </ns0:c>
      <ns0:c r="B800" t="inlineStr">
        <ns0:is>
          <ns0:t>function_0137</ns0:t>
        </ns0:is>
      </ns0:c>
      <ns0:c r="C800" t="inlineStr">
        <ns0:is>
          <ns0:t>run_008</ns0:t>
        </ns0:is>
      </ns0:c>
      <ns0:c r="D800" t="inlineStr">
        <ns0:is>
          <ns0:t>humantime</ns0:t>
        </ns0:is>
      </ns0:c>
      <ns0:c r="E800" t="inlineStr">
        <ns0:is>
          <ns0:t>gpt-4o-mini</ns0:t>
        </ns0:is>
      </ns0:c>
      <ns0:c r="F800" t="inlineStr">
        <ns0:is>
          <ns0:t>E0599</ns0:t>
        </ns0:is>
      </ns0:c>
      <ns0:c r="G800" t="n">
        <ns0:v>0</ns0:v>
      </ns0:c>
      <ns0:c r="H800" t="n">
        <ns0:v>4049</ns0:v>
      </ns0:c>
      <ns0:c r="I800" t="n">
        <ns0:v>345</ns0:v>
      </ns0:c>
      <ns0:c r="J800" t="n">
        <ns0:v>4394</ns0:v>
      </ns0:c>
      <ns0:c r="K800" t="n">
        <ns0:v>3</ns0:v>
      </ns0:c>
      <ns0:c r="L800" t="n">
        <ns0:v>1</ns0:v>
      </ns0:c>
      <ns0:c r="M800" t="n">
        <ns0:v>68085</ns0:v>
      </ns0:c>
      <ns0:c r="N800" t="n">
        <ns0:v>1149</ns0:v>
      </ns0:c>
      <ns0:c r="O800" t="n">
        <ns0:v>69234</ns0:v>
      </ns0:c>
      <ns0:c r="P800" t="n">
        <ns0:v>9</ns0:v>
      </ns0:c>
      <ns0:c r="Q800">
        <ns0:f>IF(AND(L800=1,O800*Calculations!$B$2&lt;=Calculations!$B$10*Calculations!$B$4),1,0)</ns0:f>
        <ns0:v>0</ns0:v>
      </ns0:c>
      <ns0:c r="R800">
        <ns0:f>IF(AND(L800=1,O800*Calculations!$B$2&lt;=Calculations!$B$11*Calculations!$B$4),1,0)</ns0:f>
        <ns0:v>0</ns0:v>
      </ns0:c>
    </ns0:row>
    <ns0:row r="801">
      <ns0:c r="A801" t="inlineStr">
        <ns0:is>
          <ns0:t>case_0800</ns0:t>
        </ns0:is>
      </ns0:c>
      <ns0:c r="B801" t="inlineStr">
        <ns0:is>
          <ns0:t>function_0137</ns0:t>
        </ns0:is>
      </ns0:c>
      <ns0:c r="C801" t="inlineStr">
        <ns0:is>
          <ns0:t>run_008</ns0:t>
        </ns0:is>
      </ns0:c>
      <ns0:c r="D801" t="inlineStr">
        <ns0:is>
          <ns0:t>humantime</ns0:t>
        </ns0:is>
      </ns0:c>
      <ns0:c r="E801" t="inlineStr">
        <ns0:is>
          <ns0:t>gpt-4o-mini</ns0:t>
        </ns0:is>
      </ns0:c>
      <ns0:c r="F801" t="inlineStr">
        <ns0:is>
          <ns0:t>E0063,E0308</ns0:t>
        </ns0:is>
      </ns0:c>
      <ns0:c r="G801" t="n">
        <ns0:v>0</ns0:v>
      </ns0:c>
      <ns0:c r="H801" t="n">
        <ns0:v>5906</ns0:v>
      </ns0:c>
      <ns0:c r="I801" t="n">
        <ns0:v>348</ns0:v>
      </ns0:c>
      <ns0:c r="J801" t="n">
        <ns0:v>6254</ns0:v>
      </ns0:c>
      <ns0:c r="K801" t="n">
        <ns0:v>3</ns0:v>
      </ns0:c>
      <ns0:c r="L801" t="n">
        <ns0:v>1</ns0:v>
      </ns0:c>
      <ns0:c r="M801" t="n">
        <ns0:v>71537</ns0:v>
      </ns0:c>
      <ns0:c r="N801" t="n">
        <ns0:v>994</ns0:v>
      </ns0:c>
      <ns0:c r="O801" t="n">
        <ns0:v>72531</ns0:v>
      </ns0:c>
      <ns0:c r="P801" t="n">
        <ns0:v>9</ns0:v>
      </ns0:c>
      <ns0:c r="Q801">
        <ns0:f>IF(AND(L801=1,O801*Calculations!$B$2&lt;=Calculations!$B$10*Calculations!$B$4),1,0)</ns0:f>
        <ns0:v>0</ns0:v>
      </ns0:c>
      <ns0:c r="R801">
        <ns0:f>IF(AND(L801=1,O801*Calculations!$B$2&lt;=Calculations!$B$11*Calculations!$B$4),1,0)</ns0:f>
        <ns0:v>0</ns0:v>
      </ns0:c>
    </ns0:row>
    <ns0:row r="802">
      <ns0:c r="A802" t="inlineStr">
        <ns0:is>
          <ns0:t>case_0801</ns0:t>
        </ns0:is>
      </ns0:c>
      <ns0:c r="B802" t="inlineStr">
        <ns0:is>
          <ns0:t>function_0137</ns0:t>
        </ns0:is>
      </ns0:c>
      <ns0:c r="C802" t="inlineStr">
        <ns0:is>
          <ns0:t>run_008</ns0:t>
        </ns0:is>
      </ns0:c>
      <ns0:c r="D802" t="inlineStr">
        <ns0:is>
          <ns0:t>humantime</ns0:t>
        </ns0:is>
      </ns0:c>
      <ns0:c r="E802" t="inlineStr">
        <ns0:is>
          <ns0:t>gpt-4o-mini</ns0:t>
        </ns0:is>
      </ns0:c>
      <ns0:c r="F802" t="inlineStr">
        <ns0:is>
          <ns0:t>E0063,E0308</ns0:t>
        </ns0:is>
      </ns0:c>
      <ns0:c r="G802" t="n">
        <ns0:v>0</ns0:v>
      </ns0:c>
      <ns0:c r="H802" t="n">
        <ns0:v>7573</ns0:v>
      </ns0:c>
      <ns0:c r="I802" t="n">
        <ns0:v>374</ns0:v>
      </ns0:c>
      <ns0:c r="J802" t="n">
        <ns0:v>7947</ns0:v>
      </ns0:c>
      <ns0:c r="K802" t="n">
        <ns0:v>3</ns0:v>
      </ns0:c>
      <ns0:c r="L802" t="n">
        <ns0:v>1</ns0:v>
      </ns0:c>
      <ns0:c r="M802" t="n">
        <ns0:v>66879</ns0:v>
      </ns0:c>
      <ns0:c r="N802" t="n">
        <ns0:v>1599</ns0:v>
      </ns0:c>
      <ns0:c r="O802" t="n">
        <ns0:v>68478</ns0:v>
      </ns0:c>
      <ns0:c r="P802" t="n">
        <ns0:v>8</ns0:v>
      </ns0:c>
      <ns0:c r="Q802">
        <ns0:f>IF(AND(L802=1,O802*Calculations!$B$2&lt;=Calculations!$B$10*Calculations!$B$4),1,0)</ns0:f>
        <ns0:v>0</ns0:v>
      </ns0:c>
      <ns0:c r="R802">
        <ns0:f>IF(AND(L802=1,O802*Calculations!$B$2&lt;=Calculations!$B$11*Calculations!$B$4),1,0)</ns0:f>
        <ns0:v>0</ns0:v>
      </ns0:c>
    </ns0:row>
    <ns0:row r="803">
      <ns0:c r="A803" t="inlineStr">
        <ns0:is>
          <ns0:t>case_0802</ns0:t>
        </ns0:is>
      </ns0:c>
      <ns0:c r="B803" t="inlineStr">
        <ns0:is>
          <ns0:t>function_0137</ns0:t>
        </ns0:is>
      </ns0:c>
      <ns0:c r="C803" t="inlineStr">
        <ns0:is>
          <ns0:t>run_008</ns0:t>
        </ns0:is>
      </ns0:c>
      <ns0:c r="D803" t="inlineStr">
        <ns0:is>
          <ns0:t>humantime</ns0:t>
        </ns0:is>
      </ns0:c>
      <ns0:c r="E803" t="inlineStr">
        <ns0:is>
          <ns0:t>gpt-4o-mini</ns0:t>
        </ns0:is>
      </ns0:c>
      <ns0:c r="F803" t="inlineStr">
        <ns0:is>
          <ns0:t>E0063</ns0:t>
        </ns0:is>
      </ns0:c>
      <ns0:c r="G803" t="n">
        <ns0:v>0</ns0:v>
      </ns0:c>
      <ns0:c r="H803" t="n">
        <ns0:v>7455</ns0:v>
      </ns0:c>
      <ns0:c r="I803" t="n">
        <ns0:v>375</ns0:v>
      </ns0:c>
      <ns0:c r="J803" t="n">
        <ns0:v>7830</ns0:v>
      </ns0:c>
      <ns0:c r="K803" t="n">
        <ns0:v>3</ns0:v>
      </ns0:c>
      <ns0:c r="L803" t="n">
        <ns0:v>1</ns0:v>
      </ns0:c>
      <ns0:c r="M803" t="n">
        <ns0:v>49424</ns0:v>
      </ns0:c>
      <ns0:c r="N803" t="n">
        <ns0:v>678</ns0:v>
      </ns0:c>
      <ns0:c r="O803" t="n">
        <ns0:v>50102</ns0:v>
      </ns0:c>
      <ns0:c r="P803" t="n">
        <ns0:v>6</ns0:v>
      </ns0:c>
      <ns0:c r="Q803">
        <ns0:f>IF(AND(L803=1,O803*Calculations!$B$2&lt;=Calculations!$B$10*Calculations!$B$4),1,0)</ns0:f>
        <ns0:v>0</ns0:v>
      </ns0:c>
      <ns0:c r="R803">
        <ns0:f>IF(AND(L803=1,O803*Calculations!$B$2&lt;=Calculations!$B$11*Calculations!$B$4),1,0)</ns0:f>
        <ns0:v>0</ns0:v>
      </ns0:c>
    </ns0:row>
    <ns0:row r="804">
      <ns0:c r="A804" t="inlineStr">
        <ns0:is>
          <ns0:t>case_0803</ns0:t>
        </ns0:is>
      </ns0:c>
      <ns0:c r="B804" t="inlineStr">
        <ns0:is>
          <ns0:t>function_0137</ns0:t>
        </ns0:is>
      </ns0:c>
      <ns0:c r="C804" t="inlineStr">
        <ns0:is>
          <ns0:t>run_008</ns0:t>
        </ns0:is>
      </ns0:c>
      <ns0:c r="D804" t="inlineStr">
        <ns0:is>
          <ns0:t>humantime</ns0:t>
        </ns0:is>
      </ns0:c>
      <ns0:c r="E804" t="inlineStr">
        <ns0:is>
          <ns0:t>gpt-4o-mini</ns0:t>
        </ns0:is>
      </ns0:c>
      <ns0:c r="F804" t="inlineStr">
        <ns0:is>
          <ns0:t>E0063</ns0:t>
        </ns0:is>
      </ns0:c>
      <ns0:c r="G804" t="n">
        <ns0:v>0</ns0:v>
      </ns0:c>
      <ns0:c r="H804" t="n">
        <ns0:v>7478</ns0:v>
      </ns0:c>
      <ns0:c r="I804" t="n">
        <ns0:v>351</ns0:v>
      </ns0:c>
      <ns0:c r="J804" t="n">
        <ns0:v>7829</ns0:v>
      </ns0:c>
      <ns0:c r="K804" t="n">
        <ns0:v>3</ns0:v>
      </ns0:c>
      <ns0:c r="L804" t="n">
        <ns0:v>1</ns0:v>
      </ns0:c>
      <ns0:c r="M804" t="n">
        <ns0:v>75205</ns0:v>
      </ns0:c>
      <ns0:c r="N804" t="n">
        <ns0:v>797</ns0:v>
      </ns0:c>
      <ns0:c r="O804" t="n">
        <ns0:v>76002</ns0:v>
      </ns0:c>
      <ns0:c r="P804" t="n">
        <ns0:v>10</ns0:v>
      </ns0:c>
      <ns0:c r="Q804">
        <ns0:f>IF(AND(L804=1,O804*Calculations!$B$2&lt;=Calculations!$B$10*Calculations!$B$4),1,0)</ns0:f>
        <ns0:v>0</ns0:v>
      </ns0:c>
      <ns0:c r="R804">
        <ns0:f>IF(AND(L804=1,O804*Calculations!$B$2&lt;=Calculations!$B$11*Calculations!$B$4),1,0)</ns0:f>
        <ns0:v>0</ns0:v>
      </ns0:c>
    </ns0:row>
    <ns0:row r="805">
      <ns0:c r="A805" t="inlineStr">
        <ns0:is>
          <ns0:t>case_0804</ns0:t>
        </ns0:is>
      </ns0:c>
      <ns0:c r="B805" t="inlineStr">
        <ns0:is>
          <ns0:t>function_0137</ns0:t>
        </ns0:is>
      </ns0:c>
      <ns0:c r="C805" t="inlineStr">
        <ns0:is>
          <ns0:t>run_008</ns0:t>
        </ns0:is>
      </ns0:c>
      <ns0:c r="D805" t="inlineStr">
        <ns0:is>
          <ns0:t>humantime</ns0:t>
        </ns0:is>
      </ns0:c>
      <ns0:c r="E805" t="inlineStr">
        <ns0:is>
          <ns0:t>gpt-4o-mini</ns0:t>
        </ns0:is>
      </ns0:c>
      <ns0:c r="F805" t="inlineStr">
        <ns0:is>
          <ns0:t>E0107,E0599</ns0:t>
        </ns0:is>
      </ns0:c>
      <ns0:c r="G805" t="n">
        <ns0:v>0</ns0:v>
      </ns0:c>
      <ns0:c r="H805" t="n">
        <ns0:v>4361</ns0:v>
      </ns0:c>
      <ns0:c r="I805" t="n">
        <ns0:v>414</ns0:v>
      </ns0:c>
      <ns0:c r="J805" t="n">
        <ns0:v>4775</ns0:v>
      </ns0:c>
      <ns0:c r="K805" t="n">
        <ns0:v>3</ns0:v>
      </ns0:c>
      <ns0:c r="L805" t="n">
        <ns0:v>1</ns0:v>
      </ns0:c>
      <ns0:c r="M805" t="n">
        <ns0:v>181405</ns0:v>
      </ns0:c>
      <ns0:c r="N805" t="n">
        <ns0:v>1446</ns0:v>
      </ns0:c>
      <ns0:c r="O805" t="n">
        <ns0:v>182851</ns0:v>
      </ns0:c>
      <ns0:c r="P805" t="n">
        <ns0:v>12</ns0:v>
      </ns0:c>
      <ns0:c r="Q805">
        <ns0:f>IF(AND(L805=1,O805*Calculations!$B$2&lt;=Calculations!$B$10*Calculations!$B$4),1,0)</ns0:f>
        <ns0:v>0</ns0:v>
      </ns0:c>
      <ns0:c r="R805">
        <ns0:f>IF(AND(L805=1,O805*Calculations!$B$2&lt;=Calculations!$B$11*Calculations!$B$4),1,0)</ns0:f>
        <ns0:v>0</ns0:v>
      </ns0:c>
    </ns0:row>
    <ns0:row r="806">
      <ns0:c r="A806" t="inlineStr">
        <ns0:is>
          <ns0:t>case_0805</ns0:t>
        </ns0:is>
      </ns0:c>
      <ns0:c r="B806" t="inlineStr">
        <ns0:is>
          <ns0:t>function_0138</ns0:t>
        </ns0:is>
      </ns0:c>
      <ns0:c r="C806" t="inlineStr">
        <ns0:is>
          <ns0:t>run_008</ns0:t>
        </ns0:is>
      </ns0:c>
      <ns0:c r="D806" t="inlineStr">
        <ns0:is>
          <ns0:t>humantime</ns0:t>
        </ns0:is>
      </ns0:c>
      <ns0:c r="E806" t="inlineStr">
        <ns0:is>
          <ns0:t>gpt-4o-mini</ns0:t>
        </ns0:is>
      </ns0:c>
      <ns0:c r="F806" t="inlineStr">
        <ns0:is>
          <ns0:t>E0061,E0658</ns0:t>
        </ns0:is>
      </ns0:c>
      <ns0:c r="G806" t="n">
        <ns0:v>0</ns0:v>
      </ns0:c>
      <ns0:c r="H806" t="n">
        <ns0:v>2254</ns0:v>
      </ns0:c>
      <ns0:c r="I806" t="n">
        <ns0:v>285</ns0:v>
      </ns0:c>
      <ns0:c r="J806" t="n">
        <ns0:v>2539</ns0:v>
      </ns0:c>
      <ns0:c r="K806" t="n">
        <ns0:v>3</ns0:v>
      </ns0:c>
      <ns0:c r="L806" t="n">
        <ns0:v>1</ns0:v>
      </ns0:c>
      <ns0:c r="M806" t="n">
        <ns0:v>137429</ns0:v>
      </ns0:c>
      <ns0:c r="N806" t="n">
        <ns0:v>5393</ns0:v>
      </ns0:c>
      <ns0:c r="O806" t="n">
        <ns0:v>142822</ns0:v>
      </ns0:c>
      <ns0:c r="P806" t="n">
        <ns0:v>10</ns0:v>
      </ns0:c>
      <ns0:c r="Q806">
        <ns0:f>IF(AND(L806=1,O806*Calculations!$B$2&lt;=Calculations!$B$10*Calculations!$B$4),1,0)</ns0:f>
        <ns0:v>0</ns0:v>
      </ns0:c>
      <ns0:c r="R806">
        <ns0:f>IF(AND(L806=1,O806*Calculations!$B$2&lt;=Calculations!$B$11*Calculations!$B$4),1,0)</ns0:f>
        <ns0:v>0</ns0:v>
      </ns0:c>
    </ns0:row>
    <ns0:row r="807">
      <ns0:c r="A807" t="inlineStr">
        <ns0:is>
          <ns0:t>case_0806</ns0:t>
        </ns0:is>
      </ns0:c>
      <ns0:c r="B807" t="inlineStr">
        <ns0:is>
          <ns0:t>function_0138</ns0:t>
        </ns0:is>
      </ns0:c>
      <ns0:c r="C807" t="inlineStr">
        <ns0:is>
          <ns0:t>run_008</ns0:t>
        </ns0:is>
      </ns0:c>
      <ns0:c r="D807" t="inlineStr">
        <ns0:is>
          <ns0:t>humantime</ns0:t>
        </ns0:is>
      </ns0:c>
      <ns0:c r="E807" t="inlineStr">
        <ns0:is>
          <ns0:t>gpt-4o-mini</ns0:t>
        </ns0:is>
      </ns0:c>
      <ns0:c r="F807" t="inlineStr">
        <ns0:is>
          <ns0:t>E0061,E0658</ns0:t>
        </ns0:is>
      </ns0:c>
      <ns0:c r="G807" t="n">
        <ns0:v>0</ns0:v>
      </ns0:c>
      <ns0:c r="H807" t="n">
        <ns0:v>2184</ns0:v>
      </ns0:c>
      <ns0:c r="I807" t="n">
        <ns0:v>277</ns0:v>
      </ns0:c>
      <ns0:c r="J807" t="n">
        <ns0:v>2461</ns0:v>
      </ns0:c>
      <ns0:c r="K807" t="n">
        <ns0:v>3</ns0:v>
      </ns0:c>
      <ns0:c r="L807" t="n">
        <ns0:v>0</ns0:v>
      </ns0:c>
      <ns0:c r="M807" t="n">
        <ns0:v>353072</ns0:v>
      </ns0:c>
      <ns0:c r="N807" t="n">
        <ns0:v>8627</ns0:v>
      </ns0:c>
      <ns0:c r="O807" t="n">
        <ns0:v>361699</ns0:v>
      </ns0:c>
      <ns0:c r="P807" t="n">
        <ns0:v>20</ns0:v>
      </ns0:c>
      <ns0:c r="Q807">
        <ns0:f>IF(AND(L807=1,O807*Calculations!$B$2&lt;=Calculations!$B$10*Calculations!$B$4),1,0)</ns0:f>
        <ns0:v>0</ns0:v>
      </ns0:c>
      <ns0:c r="R807">
        <ns0:f>IF(AND(L807=1,O807*Calculations!$B$2&lt;=Calculations!$B$11*Calculations!$B$4),1,0)</ns0:f>
        <ns0:v>0</ns0:v>
      </ns0:c>
    </ns0:row>
    <ns0:row r="808">
      <ns0:c r="A808" t="inlineStr">
        <ns0:is>
          <ns0:t>case_0807</ns0:t>
        </ns0:is>
      </ns0:c>
      <ns0:c r="B808" t="inlineStr">
        <ns0:is>
          <ns0:t>function_0138</ns0:t>
        </ns0:is>
      </ns0:c>
      <ns0:c r="C808" t="inlineStr">
        <ns0:is>
          <ns0:t>run_008</ns0:t>
        </ns0:is>
      </ns0:c>
      <ns0:c r="D808" t="inlineStr">
        <ns0:is>
          <ns0:t>humantime</ns0:t>
        </ns0:is>
      </ns0:c>
      <ns0:c r="E808" t="inlineStr">
        <ns0:is>
          <ns0:t>gpt-4o-mini</ns0:t>
        </ns0:is>
      </ns0:c>
      <ns0:c r="F808" t="inlineStr">
        <ns0:is>
          <ns0:t>E0061,E0658</ns0:t>
        </ns0:is>
      </ns0:c>
      <ns0:c r="G808" t="n">
        <ns0:v>0</ns0:v>
      </ns0:c>
      <ns0:c r="H808" t="n">
        <ns0:v>2220</ns0:v>
      </ns0:c>
      <ns0:c r="I808" t="n">
        <ns0:v>258</ns0:v>
      </ns0:c>
      <ns0:c r="J808" t="n">
        <ns0:v>2478</ns0:v>
      </ns0:c>
      <ns0:c r="K808" t="n">
        <ns0:v>3</ns0:v>
      </ns0:c>
      <ns0:c r="L808" t="n">
        <ns0:v>0</ns0:v>
      </ns0:c>
      <ns0:c r="M808" t="n">
        <ns0:v>14429</ns0:v>
      </ns0:c>
      <ns0:c r="N808" t="n">
        <ns0:v>4328</ns0:v>
      </ns0:c>
      <ns0:c r="O808" t="n">
        <ns0:v>18757</ns0:v>
      </ns0:c>
      <ns0:c r="P808" t="n">
        <ns0:v>2</ns0:v>
      </ns0:c>
      <ns0:c r="Q808">
        <ns0:f>IF(AND(L808=1,O808*Calculations!$B$2&lt;=Calculations!$B$10*Calculations!$B$4),1,0)</ns0:f>
        <ns0:v>0</ns0:v>
      </ns0:c>
      <ns0:c r="R808">
        <ns0:f>IF(AND(L808=1,O808*Calculations!$B$2&lt;=Calculations!$B$11*Calculations!$B$4),1,0)</ns0:f>
        <ns0:v>0</ns0:v>
      </ns0:c>
    </ns0:row>
    <ns0:row r="809">
      <ns0:c r="A809" t="inlineStr">
        <ns0:is>
          <ns0:t>case_0808</ns0:t>
        </ns0:is>
      </ns0:c>
      <ns0:c r="B809" t="inlineStr">
        <ns0:is>
          <ns0:t>function_0138</ns0:t>
        </ns0:is>
      </ns0:c>
      <ns0:c r="C809" t="inlineStr">
        <ns0:is>
          <ns0:t>run_008</ns0:t>
        </ns0:is>
      </ns0:c>
      <ns0:c r="D809" t="inlineStr">
        <ns0:is>
          <ns0:t>humantime</ns0:t>
        </ns0:is>
      </ns0:c>
      <ns0:c r="E809" t="inlineStr">
        <ns0:is>
          <ns0:t>gpt-4o-mini</ns0:t>
        </ns0:is>
      </ns0:c>
      <ns0:c r="F809" t="inlineStr">
        <ns0:is>
          <ns0:t>E0061,E0433,E0658</ns0:t>
        </ns0:is>
      </ns0:c>
      <ns0:c r="G809" t="n">
        <ns0:v>0</ns0:v>
      </ns0:c>
      <ns0:c r="H809" t="n">
        <ns0:v>2271</ns0:v>
      </ns0:c>
      <ns0:c r="I809" t="n">
        <ns0:v>252</ns0:v>
      </ns0:c>
      <ns0:c r="J809" t="n">
        <ns0:v>2523</ns0:v>
      </ns0:c>
      <ns0:c r="K809" t="n">
        <ns0:v>3</ns0:v>
      </ns0:c>
      <ns0:c r="L809" t="n">
        <ns0:v>0</ns0:v>
      </ns0:c>
      <ns0:c r="M809" t="n">
        <ns0:v>106077</ns0:v>
      </ns0:c>
      <ns0:c r="N809" t="n">
        <ns0:v>5294</ns0:v>
      </ns0:c>
      <ns0:c r="O809" t="n">
        <ns0:v>111371</ns0:v>
      </ns0:c>
      <ns0:c r="P809" t="n">
        <ns0:v>12</ns0:v>
      </ns0:c>
      <ns0:c r="Q809">
        <ns0:f>IF(AND(L809=1,O809*Calculations!$B$2&lt;=Calculations!$B$10*Calculations!$B$4),1,0)</ns0:f>
        <ns0:v>0</ns0:v>
      </ns0:c>
      <ns0:c r="R809">
        <ns0:f>IF(AND(L809=1,O809*Calculations!$B$2&lt;=Calculations!$B$11*Calculations!$B$4),1,0)</ns0:f>
        <ns0:v>0</ns0:v>
      </ns0:c>
    </ns0:row>
    <ns0:row r="810">
      <ns0:c r="A810" t="inlineStr">
        <ns0:is>
          <ns0:t>case_0809</ns0:t>
        </ns0:is>
      </ns0:c>
      <ns0:c r="B810" t="inlineStr">
        <ns0:is>
          <ns0:t>function_0138</ns0:t>
        </ns0:is>
      </ns0:c>
      <ns0:c r="C810" t="inlineStr">
        <ns0:is>
          <ns0:t>run_008</ns0:t>
        </ns0:is>
      </ns0:c>
      <ns0:c r="D810" t="inlineStr">
        <ns0:is>
          <ns0:t>humantime</ns0:t>
        </ns0:is>
      </ns0:c>
      <ns0:c r="E810" t="inlineStr">
        <ns0:is>
          <ns0:t>gpt-4o-mini</ns0:t>
        </ns0:is>
      </ns0:c>
      <ns0:c r="F810" t="inlineStr">
        <ns0:is>
          <ns0:t>E0061,E0433,E0658</ns0:t>
        </ns0:is>
      </ns0:c>
      <ns0:c r="G810" t="n">
        <ns0:v>0</ns0:v>
      </ns0:c>
      <ns0:c r="H810" t="n">
        <ns0:v>2273</ns0:v>
      </ns0:c>
      <ns0:c r="I810" t="n">
        <ns0:v>278</ns0:v>
      </ns0:c>
      <ns0:c r="J810" t="n">
        <ns0:v>2551</ns0:v>
      </ns0:c>
      <ns0:c r="K810" t="n">
        <ns0:v>3</ns0:v>
      </ns0:c>
      <ns0:c r="L810" t="n">
        <ns0:v>1</ns0:v>
      </ns0:c>
      <ns0:c r="M810" t="n">
        <ns0:v>51706</ns0:v>
      </ns0:c>
      <ns0:c r="N810" t="n">
        <ns0:v>4108</ns0:v>
      </ns0:c>
      <ns0:c r="O810" t="n">
        <ns0:v>55814</ns0:v>
      </ns0:c>
      <ns0:c r="P810" t="n">
        <ns0:v>4</ns0:v>
      </ns0:c>
      <ns0:c r="Q810">
        <ns0:f>IF(AND(L810=1,O810*Calculations!$B$2&lt;=Calculations!$B$10*Calculations!$B$4),1,0)</ns0:f>
        <ns0:v>0</ns0:v>
      </ns0:c>
      <ns0:c r="R810">
        <ns0:f>IF(AND(L810=1,O810*Calculations!$B$2&lt;=Calculations!$B$11*Calculations!$B$4),1,0)</ns0:f>
        <ns0:v>0</ns0:v>
      </ns0:c>
    </ns0:row>
    <ns0:row r="811">
      <ns0:c r="A811" t="inlineStr">
        <ns0:is>
          <ns0:t>case_0810</ns0:t>
        </ns0:is>
      </ns0:c>
      <ns0:c r="B811" t="inlineStr">
        <ns0:is>
          <ns0:t>function_0138</ns0:t>
        </ns0:is>
      </ns0:c>
      <ns0:c r="C811" t="inlineStr">
        <ns0:is>
          <ns0:t>run_008</ns0:t>
        </ns0:is>
      </ns0:c>
      <ns0:c r="D811" t="inlineStr">
        <ns0:is>
          <ns0:t>humantime</ns0:t>
        </ns0:is>
      </ns0:c>
      <ns0:c r="E811" t="inlineStr">
        <ns0:is>
          <ns0:t>gpt-4o-mini</ns0:t>
        </ns0:is>
      </ns0:c>
      <ns0:c r="F811" t="inlineStr">
        <ns0:is>
          <ns0:t>E0061,E0433,E0658</ns0:t>
        </ns0:is>
      </ns0:c>
      <ns0:c r="G811" t="n">
        <ns0:v>0</ns0:v>
      </ns0:c>
      <ns0:c r="H811" t="n">
        <ns0:v>2263</ns0:v>
      </ns0:c>
      <ns0:c r="I811" t="n">
        <ns0:v>273</ns0:v>
      </ns0:c>
      <ns0:c r="J811" t="n">
        <ns0:v>2536</ns0:v>
      </ns0:c>
      <ns0:c r="K811" t="n">
        <ns0:v>3</ns0:v>
      </ns0:c>
      <ns0:c r="L811" t="n">
        <ns0:v>0</ns0:v>
      </ns0:c>
      <ns0:c r="M811" t="n">
        <ns0:v>189386</ns0:v>
      </ns0:c>
      <ns0:c r="N811" t="n">
        <ns0:v>2690</ns0:v>
      </ns0:c>
      <ns0:c r="O811" t="n">
        <ns0:v>192076</ns0:v>
      </ns0:c>
      <ns0:c r="P811" t="n">
        <ns0:v>20</ns0:v>
      </ns0:c>
      <ns0:c r="Q811">
        <ns0:f>IF(AND(L811=1,O811*Calculations!$B$2&lt;=Calculations!$B$10*Calculations!$B$4),1,0)</ns0:f>
        <ns0:v>0</ns0:v>
      </ns0:c>
      <ns0:c r="R811">
        <ns0:f>IF(AND(L811=1,O811*Calculations!$B$2&lt;=Calculations!$B$11*Calculations!$B$4),1,0)</ns0:f>
        <ns0:v>0</ns0:v>
      </ns0:c>
    </ns0:row>
    <ns0:row r="812">
      <ns0:c r="A812" t="inlineStr">
        <ns0:is>
          <ns0:t>case_0811</ns0:t>
        </ns0:is>
      </ns0:c>
      <ns0:c r="B812" t="inlineStr">
        <ns0:is>
          <ns0:t>function_0139</ns0:t>
        </ns0:is>
      </ns0:c>
      <ns0:c r="C812" t="inlineStr">
        <ns0:is>
          <ns0:t>run_008</ns0:t>
        </ns0:is>
      </ns0:c>
      <ns0:c r="D812" t="inlineStr">
        <ns0:is>
          <ns0:t>humantime</ns0:t>
        </ns0:is>
      </ns0:c>
      <ns0:c r="E812" t="inlineStr">
        <ns0:is>
          <ns0:t>gpt-4o-mini</ns0:t>
        </ns0:is>
      </ns0:c>
      <ns0:c r="F812" t="inlineStr">
        <ns0:is>
          <ns0:t>E0061,E0658</ns0:t>
        </ns0:is>
      </ns0:c>
      <ns0:c r="G812" t="n">
        <ns0:v>0</ns0:v>
      </ns0:c>
      <ns0:c r="H812" t="n">
        <ns0:v>2219</ns0:v>
      </ns0:c>
      <ns0:c r="I812" t="n">
        <ns0:v>264</ns0:v>
      </ns0:c>
      <ns0:c r="J812" t="n">
        <ns0:v>2483</ns0:v>
      </ns0:c>
      <ns0:c r="K812" t="n">
        <ns0:v>3</ns0:v>
      </ns0:c>
      <ns0:c r="L812" t="n">
        <ns0:v>0</ns0:v>
      </ns0:c>
      <ns0:c r="M812" t="n">
        <ns0:v>338244</ns0:v>
      </ns0:c>
      <ns0:c r="N812" t="n">
        <ns0:v>9591</ns0:v>
      </ns0:c>
      <ns0:c r="O812" t="n">
        <ns0:v>347835</ns0:v>
      </ns0:c>
      <ns0:c r="P812" t="n">
        <ns0:v>20</ns0:v>
      </ns0:c>
      <ns0:c r="Q812">
        <ns0:f>IF(AND(L812=1,O812*Calculations!$B$2&lt;=Calculations!$B$10*Calculations!$B$4),1,0)</ns0:f>
        <ns0:v>0</ns0:v>
      </ns0:c>
      <ns0:c r="R812">
        <ns0:f>IF(AND(L812=1,O812*Calculations!$B$2&lt;=Calculations!$B$11*Calculations!$B$4),1,0)</ns0:f>
        <ns0:v>0</ns0:v>
      </ns0:c>
    </ns0:row>
    <ns0:row r="813">
      <ns0:c r="A813" t="inlineStr">
        <ns0:is>
          <ns0:t>case_0812</ns0:t>
        </ns0:is>
      </ns0:c>
      <ns0:c r="B813" t="inlineStr">
        <ns0:is>
          <ns0:t>function_0139</ns0:t>
        </ns0:is>
      </ns0:c>
      <ns0:c r="C813" t="inlineStr">
        <ns0:is>
          <ns0:t>run_008</ns0:t>
        </ns0:is>
      </ns0:c>
      <ns0:c r="D813" t="inlineStr">
        <ns0:is>
          <ns0:t>humantime</ns0:t>
        </ns0:is>
      </ns0:c>
      <ns0:c r="E813" t="inlineStr">
        <ns0:is>
          <ns0:t>gpt-4o-mini</ns0:t>
        </ns0:is>
      </ns0:c>
      <ns0:c r="F813" t="inlineStr">
        <ns0:is>
          <ns0:t>E0061,E0277,E0369,E0616,E0658</ns0:t>
        </ns0:is>
      </ns0:c>
      <ns0:c r="G813" t="n">
        <ns0:v>0</ns0:v>
      </ns0:c>
      <ns0:c r="H813" t="n">
        <ns0:v>2545</ns0:v>
      </ns0:c>
      <ns0:c r="I813" t="n">
        <ns0:v>339</ns0:v>
      </ns0:c>
      <ns0:c r="J813" t="n">
        <ns0:v>2884</ns0:v>
      </ns0:c>
      <ns0:c r="K813" t="n">
        <ns0:v>3</ns0:v>
      </ns0:c>
      <ns0:c r="L813" t="n">
        <ns0:v>0</ns0:v>
      </ns0:c>
      <ns0:c r="M813" t="n">
        <ns0:v>262143</ns0:v>
      </ns0:c>
      <ns0:c r="N813" t="n">
        <ns0:v>8998</ns0:v>
      </ns0:c>
      <ns0:c r="O813" t="n">
        <ns0:v>271141</ns0:v>
      </ns0:c>
      <ns0:c r="P813" t="n">
        <ns0:v>20</ns0:v>
      </ns0:c>
      <ns0:c r="Q813">
        <ns0:f>IF(AND(L813=1,O813*Calculations!$B$2&lt;=Calculations!$B$10*Calculations!$B$4),1,0)</ns0:f>
        <ns0:v>0</ns0:v>
      </ns0:c>
      <ns0:c r="R813">
        <ns0:f>IF(AND(L813=1,O813*Calculations!$B$2&lt;=Calculations!$B$11*Calculations!$B$4),1,0)</ns0:f>
        <ns0:v>0</ns0:v>
      </ns0:c>
    </ns0:row>
    <ns0:row r="814">
      <ns0:c r="A814" t="inlineStr">
        <ns0:is>
          <ns0:t>case_0813</ns0:t>
        </ns0:is>
      </ns0:c>
      <ns0:c r="B814" t="inlineStr">
        <ns0:is>
          <ns0:t>function_0139</ns0:t>
        </ns0:is>
      </ns0:c>
      <ns0:c r="C814" t="inlineStr">
        <ns0:is>
          <ns0:t>run_008</ns0:t>
        </ns0:is>
      </ns0:c>
      <ns0:c r="D814" t="inlineStr">
        <ns0:is>
          <ns0:t>humantime</ns0:t>
        </ns0:is>
      </ns0:c>
      <ns0:c r="E814" t="inlineStr">
        <ns0:is>
          <ns0:t>gpt-4o-mini</ns0:t>
        </ns0:is>
      </ns0:c>
      <ns0:c r="F814" t="inlineStr">
        <ns0:is>
          <ns0:t>E0061,E0658</ns0:t>
        </ns0:is>
      </ns0:c>
      <ns0:c r="G814" t="n">
        <ns0:v>0</ns0:v>
      </ns0:c>
      <ns0:c r="H814" t="n">
        <ns0:v>2209</ns0:v>
      </ns0:c>
      <ns0:c r="I814" t="n">
        <ns0:v>285</ns0:v>
      </ns0:c>
      <ns0:c r="J814" t="n">
        <ns0:v>2494</ns0:v>
      </ns0:c>
      <ns0:c r="K814" t="n">
        <ns0:v>3</ns0:v>
      </ns0:c>
      <ns0:c r="L814" t="n">
        <ns0:v>0</ns0:v>
      </ns0:c>
      <ns0:c r="M814" t="n">
        <ns0:v>428234</ns0:v>
      </ns0:c>
      <ns0:c r="N814" t="n">
        <ns0:v>13607</ns0:v>
      </ns0:c>
      <ns0:c r="O814" t="n">
        <ns0:v>441841</ns0:v>
      </ns0:c>
      <ns0:c r="P814" t="n">
        <ns0:v>21</ns0:v>
      </ns0:c>
      <ns0:c r="Q814">
        <ns0:f>IF(AND(L814=1,O814*Calculations!$B$2&lt;=Calculations!$B$10*Calculations!$B$4),1,0)</ns0:f>
        <ns0:v>0</ns0:v>
      </ns0:c>
      <ns0:c r="R814">
        <ns0:f>IF(AND(L814=1,O814*Calculations!$B$2&lt;=Calculations!$B$11*Calculations!$B$4),1,0)</ns0:f>
        <ns0:v>0</ns0:v>
      </ns0:c>
    </ns0:row>
    <ns0:row r="815">
      <ns0:c r="A815" t="inlineStr">
        <ns0:is>
          <ns0:t>case_0814</ns0:t>
        </ns0:is>
      </ns0:c>
      <ns0:c r="B815" t="inlineStr">
        <ns0:is>
          <ns0:t>function_0139</ns0:t>
        </ns0:is>
      </ns0:c>
      <ns0:c r="C815" t="inlineStr">
        <ns0:is>
          <ns0:t>run_008</ns0:t>
        </ns0:is>
      </ns0:c>
      <ns0:c r="D815" t="inlineStr">
        <ns0:is>
          <ns0:t>humantime</ns0:t>
        </ns0:is>
      </ns0:c>
      <ns0:c r="E815" t="inlineStr">
        <ns0:is>
          <ns0:t>gpt-4o-mini</ns0:t>
        </ns0:is>
      </ns0:c>
      <ns0:c r="F815" t="inlineStr">
        <ns0:is>
          <ns0:t>E0061,E0433,E0658</ns0:t>
        </ns0:is>
      </ns0:c>
      <ns0:c r="G815" t="n">
        <ns0:v>0</ns0:v>
      </ns0:c>
      <ns0:c r="H815" t="n">
        <ns0:v>2288</ns0:v>
      </ns0:c>
      <ns0:c r="I815" t="n">
        <ns0:v>307</ns0:v>
      </ns0:c>
      <ns0:c r="J815" t="n">
        <ns0:v>2595</ns0:v>
      </ns0:c>
      <ns0:c r="K815" t="n">
        <ns0:v>3</ns0:v>
      </ns0:c>
      <ns0:c r="L815" t="n">
        <ns0:v>0</ns0:v>
      </ns0:c>
      <ns0:c r="M815" t="n">
        <ns0:v>170803</ns0:v>
      </ns0:c>
      <ns0:c r="N815" t="n">
        <ns0:v>3830</ns0:v>
      </ns0:c>
      <ns0:c r="O815" t="n">
        <ns0:v>174633</ns0:v>
      </ns0:c>
      <ns0:c r="P815" t="n">
        <ns0:v>20</ns0:v>
      </ns0:c>
      <ns0:c r="Q815">
        <ns0:f>IF(AND(L815=1,O815*Calculations!$B$2&lt;=Calculations!$B$10*Calculations!$B$4),1,0)</ns0:f>
        <ns0:v>0</ns0:v>
      </ns0:c>
      <ns0:c r="R815">
        <ns0:f>IF(AND(L815=1,O815*Calculations!$B$2&lt;=Calculations!$B$11*Calculations!$B$4),1,0)</ns0:f>
        <ns0:v>0</ns0:v>
      </ns0:c>
    </ns0:row>
    <ns0:row r="816">
      <ns0:c r="A816" t="inlineStr">
        <ns0:is>
          <ns0:t>case_0815</ns0:t>
        </ns0:is>
      </ns0:c>
      <ns0:c r="B816" t="inlineStr">
        <ns0:is>
          <ns0:t>function_0139</ns0:t>
        </ns0:is>
      </ns0:c>
      <ns0:c r="C816" t="inlineStr">
        <ns0:is>
          <ns0:t>run_008</ns0:t>
        </ns0:is>
      </ns0:c>
      <ns0:c r="D816" t="inlineStr">
        <ns0:is>
          <ns0:t>humantime</ns0:t>
        </ns0:is>
      </ns0:c>
      <ns0:c r="E816" t="inlineStr">
        <ns0:is>
          <ns0:t>gpt-4o-mini</ns0:t>
        </ns0:is>
      </ns0:c>
      <ns0:c r="F816" t="inlineStr">
        <ns0:is>
          <ns0:t>E0061,E0433,E0658</ns0:t>
        </ns0:is>
      </ns0:c>
      <ns0:c r="G816" t="n">
        <ns0:v>0</ns0:v>
      </ns0:c>
      <ns0:c r="H816" t="n">
        <ns0:v>2280</ns0:v>
      </ns0:c>
      <ns0:c r="I816" t="n">
        <ns0:v>279</ns0:v>
      </ns0:c>
      <ns0:c r="J816" t="n">
        <ns0:v>2559</ns0:v>
      </ns0:c>
      <ns0:c r="K816" t="n">
        <ns0:v>3</ns0:v>
      </ns0:c>
      <ns0:c r="L816" t="n">
        <ns0:v>0</ns0:v>
      </ns0:c>
      <ns0:c r="M816" t="n">
        <ns0:v>419526</ns0:v>
      </ns0:c>
      <ns0:c r="N816" t="n">
        <ns0:v>7447</ns0:v>
      </ns0:c>
      <ns0:c r="O816" t="n">
        <ns0:v>426973</ns0:v>
      </ns0:c>
      <ns0:c r="P816" t="n">
        <ns0:v>20</ns0:v>
      </ns0:c>
      <ns0:c r="Q816">
        <ns0:f>IF(AND(L816=1,O816*Calculations!$B$2&lt;=Calculations!$B$10*Calculations!$B$4),1,0)</ns0:f>
        <ns0:v>0</ns0:v>
      </ns0:c>
      <ns0:c r="R816">
        <ns0:f>IF(AND(L816=1,O816*Calculations!$B$2&lt;=Calculations!$B$11*Calculations!$B$4),1,0)</ns0:f>
        <ns0:v>0</ns0:v>
      </ns0:c>
    </ns0:row>
    <ns0:row r="817">
      <ns0:c r="A817" t="inlineStr">
        <ns0:is>
          <ns0:t>case_0816</ns0:t>
        </ns0:is>
      </ns0:c>
      <ns0:c r="B817" t="inlineStr">
        <ns0:is>
          <ns0:t>function_0139</ns0:t>
        </ns0:is>
      </ns0:c>
      <ns0:c r="C817" t="inlineStr">
        <ns0:is>
          <ns0:t>run_008</ns0:t>
        </ns0:is>
      </ns0:c>
      <ns0:c r="D817" t="inlineStr">
        <ns0:is>
          <ns0:t>humantime</ns0:t>
        </ns0:is>
      </ns0:c>
      <ns0:c r="E817" t="inlineStr">
        <ns0:is>
          <ns0:t>gpt-4o-mini</ns0:t>
        </ns0:is>
      </ns0:c>
      <ns0:c r="F817" t="inlineStr">
        <ns0:is>
          <ns0:t>E0061,E0433,E0658</ns0:t>
        </ns0:is>
      </ns0:c>
      <ns0:c r="G817" t="n">
        <ns0:v>0</ns0:v>
      </ns0:c>
      <ns0:c r="H817" t="n">
        <ns0:v>2275</ns0:v>
      </ns0:c>
      <ns0:c r="I817" t="n">
        <ns0:v>258</ns0:v>
      </ns0:c>
      <ns0:c r="J817" t="n">
        <ns0:v>2533</ns0:v>
      </ns0:c>
      <ns0:c r="K817" t="n">
        <ns0:v>3</ns0:v>
      </ns0:c>
      <ns0:c r="L817" t="n">
        <ns0:v>0</ns0:v>
      </ns0:c>
      <ns0:c r="M817" t="n">
        <ns0:v>242607</ns0:v>
      </ns0:c>
      <ns0:c r="N817" t="n">
        <ns0:v>13098</ns0:v>
      </ns0:c>
      <ns0:c r="O817" t="n">
        <ns0:v>255705</ns0:v>
      </ns0:c>
      <ns0:c r="P817" t="n">
        <ns0:v>20</ns0:v>
      </ns0:c>
      <ns0:c r="Q817">
        <ns0:f>IF(AND(L817=1,O817*Calculations!$B$2&lt;=Calculations!$B$10*Calculations!$B$4),1,0)</ns0:f>
        <ns0:v>0</ns0:v>
      </ns0:c>
      <ns0:c r="R817">
        <ns0:f>IF(AND(L817=1,O817*Calculations!$B$2&lt;=Calculations!$B$11*Calculations!$B$4),1,0)</ns0:f>
        <ns0:v>0</ns0:v>
      </ns0:c>
    </ns0:row>
    <ns0:row r="818">
      <ns0:c r="A818" t="inlineStr">
        <ns0:is>
          <ns0:t>case_0817</ns0:t>
        </ns0:is>
      </ns0:c>
      <ns0:c r="B818" t="inlineStr">
        <ns0:is>
          <ns0:t>function_0140</ns0:t>
        </ns0:is>
      </ns0:c>
      <ns0:c r="C818" t="inlineStr">
        <ns0:is>
          <ns0:t>run_008</ns0:t>
        </ns0:is>
      </ns0:c>
      <ns0:c r="D818" t="inlineStr">
        <ns0:is>
          <ns0:t>humantime</ns0:t>
        </ns0:is>
      </ns0:c>
      <ns0:c r="E818" t="inlineStr">
        <ns0:is>
          <ns0:t>gpt-4o-mini</ns0:t>
        </ns0:is>
      </ns0:c>
      <ns0:c r="F818" t="inlineStr">
        <ns0:is>
          <ns0:t>E0432</ns0:t>
        </ns0:is>
      </ns0:c>
      <ns0:c r="G818" t="n">
        <ns0:v>1</ns0:v>
      </ns0:c>
      <ns0:c r="H818" t="n">
        <ns0:v>0</ns0:v>
      </ns0:c>
      <ns0:c r="I818" t="n">
        <ns0:v>0</ns0:v>
      </ns0:c>
      <ns0:c r="J818" t="n">
        <ns0:v>0</ns0:v>
      </ns0:c>
      <ns0:c r="K818" t="n">
        <ns0:v>0</ns0:v>
      </ns0:c>
      <ns0:c r="L818" t="n">
        <ns0:v>1</ns0:v>
      </ns0:c>
      <ns0:c r="M818" t="n">
        <ns0:v>21572</ns0:v>
      </ns0:c>
      <ns0:c r="N818" t="n">
        <ns0:v>510</ns0:v>
      </ns0:c>
      <ns0:c r="O818" t="n">
        <ns0:v>22082</ns0:v>
      </ns0:c>
      <ns0:c r="P818" t="n">
        <ns0:v>3</ns0:v>
      </ns0:c>
      <ns0:c r="Q818">
        <ns0:f>IF(AND(L818=1,O818*Calculations!$B$2&lt;=Calculations!$B$10*Calculations!$B$4),1,0)</ns0:f>
        <ns0:v>1</ns0:v>
      </ns0:c>
      <ns0:c r="R818">
        <ns0:f>IF(AND(L818=1,O818*Calculations!$B$2&lt;=Calculations!$B$11*Calculations!$B$4),1,0)</ns0:f>
        <ns0:v>1</ns0:v>
      </ns0:c>
    </ns0:row>
    <ns0:row r="819">
      <ns0:c r="A819" t="inlineStr">
        <ns0:is>
          <ns0:t>case_0818</ns0:t>
        </ns0:is>
      </ns0:c>
      <ns0:c r="B819" t="inlineStr">
        <ns0:is>
          <ns0:t>function_0140</ns0:t>
        </ns0:is>
      </ns0:c>
      <ns0:c r="C819" t="inlineStr">
        <ns0:is>
          <ns0:t>run_008</ns0:t>
        </ns0:is>
      </ns0:c>
      <ns0:c r="D819" t="inlineStr">
        <ns0:is>
          <ns0:t>humantime</ns0:t>
        </ns0:is>
      </ns0:c>
      <ns0:c r="E819" t="inlineStr">
        <ns0:is>
          <ns0:t>gpt-4o-mini</ns0:t>
        </ns0:is>
      </ns0:c>
      <ns0:c r="F819" t="inlineStr">
        <ns0:is>
          <ns0:t>E0432</ns0:t>
        </ns0:is>
      </ns0:c>
      <ns0:c r="G819" t="n">
        <ns0:v>1</ns0:v>
      </ns0:c>
      <ns0:c r="H819" t="n">
        <ns0:v>0</ns0:v>
      </ns0:c>
      <ns0:c r="I819" t="n">
        <ns0:v>0</ns0:v>
      </ns0:c>
      <ns0:c r="J819" t="n">
        <ns0:v>0</ns0:v>
      </ns0:c>
      <ns0:c r="K819" t="n">
        <ns0:v>0</ns0:v>
      </ns0:c>
      <ns0:c r="L819" t="n">
        <ns0:v>1</ns0:v>
      </ns0:c>
      <ns0:c r="M819" t="n">
        <ns0:v>49403</ns0:v>
      </ns0:c>
      <ns0:c r="N819" t="n">
        <ns0:v>560</ns0:v>
      </ns0:c>
      <ns0:c r="O819" t="n">
        <ns0:v>49963</ns0:v>
      </ns0:c>
      <ns0:c r="P819" t="n">
        <ns0:v>4</ns0:v>
      </ns0:c>
      <ns0:c r="Q819">
        <ns0:f>IF(AND(L819=1,O819*Calculations!$B$2&lt;=Calculations!$B$10*Calculations!$B$4),1,0)</ns0:f>
        <ns0:v>0</ns0:v>
      </ns0:c>
      <ns0:c r="R819">
        <ns0:f>IF(AND(L819=1,O819*Calculations!$B$2&lt;=Calculations!$B$11*Calculations!$B$4),1,0)</ns0:f>
        <ns0:v>0</ns0:v>
      </ns0:c>
    </ns0:row>
    <ns0:row r="820">
      <ns0:c r="A820" t="inlineStr">
        <ns0:is>
          <ns0:t>case_0819</ns0:t>
        </ns0:is>
      </ns0:c>
      <ns0:c r="B820" t="inlineStr">
        <ns0:is>
          <ns0:t>function_0140</ns0:t>
        </ns0:is>
      </ns0:c>
      <ns0:c r="C820" t="inlineStr">
        <ns0:is>
          <ns0:t>run_008</ns0:t>
        </ns0:is>
      </ns0:c>
      <ns0:c r="D820" t="inlineStr">
        <ns0:is>
          <ns0:t>humantime</ns0:t>
        </ns0:is>
      </ns0:c>
      <ns0:c r="E820" t="inlineStr">
        <ns0:is>
          <ns0:t>gpt-4o-mini</ns0:t>
        </ns0:is>
      </ns0:c>
      <ns0:c r="F820" t="inlineStr">
        <ns0:is>
          <ns0:t>E0432</ns0:t>
        </ns0:is>
      </ns0:c>
      <ns0:c r="G820" t="n">
        <ns0:v>1</ns0:v>
      </ns0:c>
      <ns0:c r="H820" t="n">
        <ns0:v>0</ns0:v>
      </ns0:c>
      <ns0:c r="I820" t="n">
        <ns0:v>0</ns0:v>
      </ns0:c>
      <ns0:c r="J820" t="n">
        <ns0:v>0</ns0:v>
      </ns0:c>
      <ns0:c r="K820" t="n">
        <ns0:v>0</ns0:v>
      </ns0:c>
      <ns0:c r="L820" t="n">
        <ns0:v>1</ns0:v>
      </ns0:c>
      <ns0:c r="M820" t="n">
        <ns0:v>27260</ns0:v>
      </ns0:c>
      <ns0:c r="N820" t="n">
        <ns0:v>713</ns0:v>
      </ns0:c>
      <ns0:c r="O820" t="n">
        <ns0:v>27973</ns0:v>
      </ns0:c>
      <ns0:c r="P820" t="n">
        <ns0:v>4</ns0:v>
      </ns0:c>
      <ns0:c r="Q820">
        <ns0:f>IF(AND(L820=1,O820*Calculations!$B$2&lt;=Calculations!$B$10*Calculations!$B$4),1,0)</ns0:f>
        <ns0:v>0</ns0:v>
      </ns0:c>
      <ns0:c r="R820">
        <ns0:f>IF(AND(L820=1,O820*Calculations!$B$2&lt;=Calculations!$B$11*Calculations!$B$4),1,0)</ns0:f>
        <ns0:v>1</ns0:v>
      </ns0:c>
    </ns0:row>
    <ns0:row r="821">
      <ns0:c r="A821" t="inlineStr">
        <ns0:is>
          <ns0:t>case_0820</ns0:t>
        </ns0:is>
      </ns0:c>
      <ns0:c r="B821" t="inlineStr">
        <ns0:is>
          <ns0:t>function_0140</ns0:t>
        </ns0:is>
      </ns0:c>
      <ns0:c r="C821" t="inlineStr">
        <ns0:is>
          <ns0:t>run_008</ns0:t>
        </ns0:is>
      </ns0:c>
      <ns0:c r="D821" t="inlineStr">
        <ns0:is>
          <ns0:t>humantime</ns0:t>
        </ns0:is>
      </ns0:c>
      <ns0:c r="E821" t="inlineStr">
        <ns0:is>
          <ns0:t>gpt-4o-mini</ns0:t>
        </ns0:is>
      </ns0:c>
      <ns0:c r="F821" t="inlineStr">
        <ns0:is>
          <ns0:t>E0432,E0433</ns0:t>
        </ns0:is>
      </ns0:c>
      <ns0:c r="G821" t="n">
        <ns0:v>1</ns0:v>
      </ns0:c>
      <ns0:c r="H821" t="n">
        <ns0:v>0</ns0:v>
      </ns0:c>
      <ns0:c r="I821" t="n">
        <ns0:v>0</ns0:v>
      </ns0:c>
      <ns0:c r="J821" t="n">
        <ns0:v>0</ns0:v>
      </ns0:c>
      <ns0:c r="K821" t="n">
        <ns0:v>0</ns0:v>
      </ns0:c>
      <ns0:c r="L821" t="n">
        <ns0:v>1</ns0:v>
      </ns0:c>
      <ns0:c r="M821" t="n">
        <ns0:v>33234</ns0:v>
      </ns0:c>
      <ns0:c r="N821" t="n">
        <ns0:v>873</ns0:v>
      </ns0:c>
      <ns0:c r="O821" t="n">
        <ns0:v>34107</ns0:v>
      </ns0:c>
      <ns0:c r="P821" t="n">
        <ns0:v>4</ns0:v>
      </ns0:c>
      <ns0:c r="Q821">
        <ns0:f>IF(AND(L821=1,O821*Calculations!$B$2&lt;=Calculations!$B$10*Calculations!$B$4),1,0)</ns0:f>
        <ns0:v>0</ns0:v>
      </ns0:c>
      <ns0:c r="R821">
        <ns0:f>IF(AND(L821=1,O821*Calculations!$B$2&lt;=Calculations!$B$11*Calculations!$B$4),1,0)</ns0:f>
        <ns0:v>1</ns0:v>
      </ns0:c>
    </ns0:row>
    <ns0:row r="822">
      <ns0:c r="A822" t="inlineStr">
        <ns0:is>
          <ns0:t>case_0821</ns0:t>
        </ns0:is>
      </ns0:c>
      <ns0:c r="B822" t="inlineStr">
        <ns0:is>
          <ns0:t>function_0140</ns0:t>
        </ns0:is>
      </ns0:c>
      <ns0:c r="C822" t="inlineStr">
        <ns0:is>
          <ns0:t>run_008</ns0:t>
        </ns0:is>
      </ns0:c>
      <ns0:c r="D822" t="inlineStr">
        <ns0:is>
          <ns0:t>humantime</ns0:t>
        </ns0:is>
      </ns0:c>
      <ns0:c r="E822" t="inlineStr">
        <ns0:is>
          <ns0:t>gpt-4o-mini</ns0:t>
        </ns0:is>
      </ns0:c>
      <ns0:c r="F822" t="inlineStr">
        <ns0:is>
          <ns0:t>E0432,E0433</ns0:t>
        </ns0:is>
      </ns0:c>
      <ns0:c r="G822" t="n">
        <ns0:v>1</ns0:v>
      </ns0:c>
      <ns0:c r="H822" t="n">
        <ns0:v>0</ns0:v>
      </ns0:c>
      <ns0:c r="I822" t="n">
        <ns0:v>0</ns0:v>
      </ns0:c>
      <ns0:c r="J822" t="n">
        <ns0:v>0</ns0:v>
      </ns0:c>
      <ns0:c r="K822" t="n">
        <ns0:v>0</ns0:v>
      </ns0:c>
      <ns0:c r="L822" t="n">
        <ns0:v>1</ns0:v>
      </ns0:c>
      <ns0:c r="M822" t="n">
        <ns0:v>28103</ns0:v>
      </ns0:c>
      <ns0:c r="N822" t="n">
        <ns0:v>1131</ns0:v>
      </ns0:c>
      <ns0:c r="O822" t="n">
        <ns0:v>29234</ns0:v>
      </ns0:c>
      <ns0:c r="P822" t="n">
        <ns0:v>4</ns0:v>
      </ns0:c>
      <ns0:c r="Q822">
        <ns0:f>IF(AND(L822=1,O822*Calculations!$B$2&lt;=Calculations!$B$10*Calculations!$B$4),1,0)</ns0:f>
        <ns0:v>0</ns0:v>
      </ns0:c>
      <ns0:c r="R822">
        <ns0:f>IF(AND(L822=1,O822*Calculations!$B$2&lt;=Calculations!$B$11*Calculations!$B$4),1,0)</ns0:f>
        <ns0:v>1</ns0:v>
      </ns0:c>
    </ns0:row>
    <ns0:row r="823">
      <ns0:c r="A823" t="inlineStr">
        <ns0:is>
          <ns0:t>case_0822</ns0:t>
        </ns0:is>
      </ns0:c>
      <ns0:c r="B823" t="inlineStr">
        <ns0:is>
          <ns0:t>function_0140</ns0:t>
        </ns0:is>
      </ns0:c>
      <ns0:c r="C823" t="inlineStr">
        <ns0:is>
          <ns0:t>run_008</ns0:t>
        </ns0:is>
      </ns0:c>
      <ns0:c r="D823" t="inlineStr">
        <ns0:is>
          <ns0:t>humantime</ns0:t>
        </ns0:is>
      </ns0:c>
      <ns0:c r="E823" t="inlineStr">
        <ns0:is>
          <ns0:t>gpt-4o-mini</ns0:t>
        </ns0:is>
      </ns0:c>
      <ns0:c r="F823" t="inlineStr">
        <ns0:is>
          <ns0:t>E0432,E0433</ns0:t>
        </ns0:is>
      </ns0:c>
      <ns0:c r="G823" t="n">
        <ns0:v>1</ns0:v>
      </ns0:c>
      <ns0:c r="H823" t="n">
        <ns0:v>0</ns0:v>
      </ns0:c>
      <ns0:c r="I823" t="n">
        <ns0:v>0</ns0:v>
      </ns0:c>
      <ns0:c r="J823" t="n">
        <ns0:v>0</ns0:v>
      </ns0:c>
      <ns0:c r="K823" t="n">
        <ns0:v>0</ns0:v>
      </ns0:c>
      <ns0:c r="L823" t="n">
        <ns0:v>1</ns0:v>
      </ns0:c>
      <ns0:c r="M823" t="n">
        <ns0:v>65194</ns0:v>
      </ns0:c>
      <ns0:c r="N823" t="n">
        <ns0:v>1913</ns0:v>
      </ns0:c>
      <ns0:c r="O823" t="n">
        <ns0:v>67107</ns0:v>
      </ns0:c>
      <ns0:c r="P823" t="n">
        <ns0:v>5</ns0:v>
      </ns0:c>
      <ns0:c r="Q823">
        <ns0:f>IF(AND(L823=1,O823*Calculations!$B$2&lt;=Calculations!$B$10*Calculations!$B$4),1,0)</ns0:f>
        <ns0:v>0</ns0:v>
      </ns0:c>
      <ns0:c r="R823">
        <ns0:f>IF(AND(L823=1,O823*Calculations!$B$2&lt;=Calculations!$B$11*Calculations!$B$4),1,0)</ns0:f>
        <ns0:v>0</ns0:v>
      </ns0:c>
    </ns0:row>
    <ns0:row r="824">
      <ns0:c r="A824" t="inlineStr">
        <ns0:is>
          <ns0:t>case_0823</ns0:t>
        </ns0:is>
      </ns0:c>
      <ns0:c r="B824" t="inlineStr">
        <ns0:is>
          <ns0:t>function_0141</ns0:t>
        </ns0:is>
      </ns0:c>
      <ns0:c r="C824" t="inlineStr">
        <ns0:is>
          <ns0:t>run_009</ns0:t>
        </ns0:is>
      </ns0:c>
      <ns0:c r="D824" t="inlineStr">
        <ns0:is>
          <ns0:t>humantime</ns0:t>
        </ns0:is>
      </ns0:c>
      <ns0:c r="E824" t="inlineStr">
        <ns0:is>
          <ns0:t>gpt-5-nano</ns0:t>
        </ns0:is>
      </ns0:c>
      <ns0:c r="F824" t="inlineStr">
        <ns0:is>
          <ns0:t>E0433</ns0:t>
        </ns0:is>
      </ns0:c>
      <ns0:c r="G824" t="n">
        <ns0:v>1</ns0:v>
      </ns0:c>
      <ns0:c r="H824" t="n">
        <ns0:v>0</ns0:v>
      </ns0:c>
      <ns0:c r="I824" t="n">
        <ns0:v>0</ns0:v>
      </ns0:c>
      <ns0:c r="J824" t="n">
        <ns0:v>0</ns0:v>
      </ns0:c>
      <ns0:c r="K824" t="n">
        <ns0:v>0</ns0:v>
      </ns0:c>
      <ns0:c r="L824" t="n">
        <ns0:v>1</ns0:v>
      </ns0:c>
      <ns0:c r="M824" t="n">
        <ns0:v>41121</ns0:v>
      </ns0:c>
      <ns0:c r="N824" t="n">
        <ns0:v>579</ns0:v>
      </ns0:c>
      <ns0:c r="O824" t="n">
        <ns0:v>41700</ns0:v>
      </ns0:c>
      <ns0:c r="P824" t="n">
        <ns0:v>5</ns0:v>
      </ns0:c>
      <ns0:c r="Q824">
        <ns0:f>IF(AND(L824=1,O824*Calculations!$B$2&lt;=Calculations!$B$10*Calculations!$B$4),1,0)</ns0:f>
        <ns0:v>0</ns0:v>
      </ns0:c>
      <ns0:c r="R824">
        <ns0:f>IF(AND(L824=1,O824*Calculations!$B$2&lt;=Calculations!$B$11*Calculations!$B$4),1,0)</ns0:f>
        <ns0:v>1</ns0:v>
      </ns0:c>
    </ns0:row>
    <ns0:row r="825">
      <ns0:c r="A825" t="inlineStr">
        <ns0:is>
          <ns0:t>case_0824</ns0:t>
        </ns0:is>
      </ns0:c>
      <ns0:c r="B825" t="inlineStr">
        <ns0:is>
          <ns0:t>function_0141</ns0:t>
        </ns0:is>
      </ns0:c>
      <ns0:c r="C825" t="inlineStr">
        <ns0:is>
          <ns0:t>run_009</ns0:t>
        </ns0:is>
      </ns0:c>
      <ns0:c r="D825" t="inlineStr">
        <ns0:is>
          <ns0:t>humantime</ns0:t>
        </ns0:is>
      </ns0:c>
      <ns0:c r="E825" t="inlineStr">
        <ns0:is>
          <ns0:t>gpt-5-nano</ns0:t>
        </ns0:is>
      </ns0:c>
      <ns0:c r="F825" t="inlineStr">
        <ns0:is>
          <ns0:t>E0433</ns0:t>
        </ns0:is>
      </ns0:c>
      <ns0:c r="G825" t="n">
        <ns0:v>0</ns0:v>
      </ns0:c>
      <ns0:c r="H825" t="n">
        <ns0:v>6501</ns0:v>
      </ns0:c>
      <ns0:c r="I825" t="n">
        <ns0:v>210</ns0:v>
      </ns0:c>
      <ns0:c r="J825" t="n">
        <ns0:v>6711</ns0:v>
      </ns0:c>
      <ns0:c r="K825" t="n">
        <ns0:v>3</ns0:v>
      </ns0:c>
      <ns0:c r="L825" t="n">
        <ns0:v>1</ns0:v>
      </ns0:c>
      <ns0:c r="M825" t="n">
        <ns0:v>57024</ns0:v>
      </ns0:c>
      <ns0:c r="N825" t="n">
        <ns0:v>713</ns0:v>
      </ns0:c>
      <ns0:c r="O825" t="n">
        <ns0:v>57737</ns0:v>
      </ns0:c>
      <ns0:c r="P825" t="n">
        <ns0:v>7</ns0:v>
      </ns0:c>
      <ns0:c r="Q825">
        <ns0:f>IF(AND(L825=1,O825*Calculations!$B$2&lt;=Calculations!$B$10*Calculations!$B$4),1,0)</ns0:f>
        <ns0:v>0</ns0:v>
      </ns0:c>
      <ns0:c r="R825">
        <ns0:f>IF(AND(L825=1,O825*Calculations!$B$2&lt;=Calculations!$B$11*Calculations!$B$4),1,0)</ns0:f>
        <ns0:v>0</ns0:v>
      </ns0:c>
    </ns0:row>
    <ns0:row r="826">
      <ns0:c r="A826" t="inlineStr">
        <ns0:is>
          <ns0:t>case_0825</ns0:t>
        </ns0:is>
      </ns0:c>
      <ns0:c r="B826" t="inlineStr">
        <ns0:is>
          <ns0:t>function_0141</ns0:t>
        </ns0:is>
      </ns0:c>
      <ns0:c r="C826" t="inlineStr">
        <ns0:is>
          <ns0:t>run_009</ns0:t>
        </ns0:is>
      </ns0:c>
      <ns0:c r="D826" t="inlineStr">
        <ns0:is>
          <ns0:t>humantime</ns0:t>
        </ns0:is>
      </ns0:c>
      <ns0:c r="E826" t="inlineStr">
        <ns0:is>
          <ns0:t>gpt-5-nano</ns0:t>
        </ns0:is>
      </ns0:c>
      <ns0:c r="F826" t="inlineStr">
        <ns0:is>
          <ns0:t>E0433</ns0:t>
        </ns0:is>
      </ns0:c>
      <ns0:c r="G826" t="n">
        <ns0:v>0</ns0:v>
      </ns0:c>
      <ns0:c r="H826" t="n">
        <ns0:v>4451</ns0:v>
      </ns0:c>
      <ns0:c r="I826" t="n">
        <ns0:v>198</ns0:v>
      </ns0:c>
      <ns0:c r="J826" t="n">
        <ns0:v>4649</ns0:v>
      </ns0:c>
      <ns0:c r="K826" t="n">
        <ns0:v>3</ns0:v>
      </ns0:c>
      <ns0:c r="L826" t="n">
        <ns0:v>1</ns0:v>
      </ns0:c>
      <ns0:c r="M826" t="n">
        <ns0:v>27524</ns0:v>
      </ns0:c>
      <ns0:c r="N826" t="n">
        <ns0:v>579</ns0:v>
      </ns0:c>
      <ns0:c r="O826" t="n">
        <ns0:v>28103</ns0:v>
      </ns0:c>
      <ns0:c r="P826" t="n">
        <ns0:v>4</ns0:v>
      </ns0:c>
      <ns0:c r="Q826">
        <ns0:f>IF(AND(L826=1,O826*Calculations!$B$2&lt;=Calculations!$B$10*Calculations!$B$4),1,0)</ns0:f>
        <ns0:v>0</ns0:v>
      </ns0:c>
      <ns0:c r="R826">
        <ns0:f>IF(AND(L826=1,O826*Calculations!$B$2&lt;=Calculations!$B$11*Calculations!$B$4),1,0)</ns0:f>
        <ns0:v>1</ns0:v>
      </ns0:c>
    </ns0:row>
    <ns0:row r="827">
      <ns0:c r="A827" t="inlineStr">
        <ns0:is>
          <ns0:t>case_0826</ns0:t>
        </ns0:is>
      </ns0:c>
      <ns0:c r="B827" t="inlineStr">
        <ns0:is>
          <ns0:t>function_0141</ns0:t>
        </ns0:is>
      </ns0:c>
      <ns0:c r="C827" t="inlineStr">
        <ns0:is>
          <ns0:t>run_009</ns0:t>
        </ns0:is>
      </ns0:c>
      <ns0:c r="D827" t="inlineStr">
        <ns0:is>
          <ns0:t>humantime</ns0:t>
        </ns0:is>
      </ns0:c>
      <ns0:c r="E827" t="inlineStr">
        <ns0:is>
          <ns0:t>gpt-5-nano</ns0:t>
        </ns0:is>
      </ns0:c>
      <ns0:c r="F827" t="inlineStr">
        <ns0:is>
          <ns0:t>E0433</ns0:t>
        </ns0:is>
      </ns0:c>
      <ns0:c r="G827" t="n">
        <ns0:v>1</ns0:v>
      </ns0:c>
      <ns0:c r="H827" t="n">
        <ns0:v>0</ns0:v>
      </ns0:c>
      <ns0:c r="I827" t="n">
        <ns0:v>0</ns0:v>
      </ns0:c>
      <ns0:c r="J827" t="n">
        <ns0:v>0</ns0:v>
      </ns0:c>
      <ns0:c r="K827" t="n">
        <ns0:v>0</ns0:v>
      </ns0:c>
      <ns0:c r="L827" t="n">
        <ns0:v>1</ns0:v>
      </ns0:c>
      <ns0:c r="M827" t="n">
        <ns0:v>20061</ns0:v>
      </ns0:c>
      <ns0:c r="N827" t="n">
        <ns0:v>301</ns0:v>
      </ns0:c>
      <ns0:c r="O827" t="n">
        <ns0:v>20362</ns0:v>
      </ns0:c>
      <ns0:c r="P827" t="n">
        <ns0:v>3</ns0:v>
      </ns0:c>
      <ns0:c r="Q827">
        <ns0:f>IF(AND(L827=1,O827*Calculations!$B$2&lt;=Calculations!$B$10*Calculations!$B$4),1,0)</ns0:f>
        <ns0:v>1</ns0:v>
      </ns0:c>
      <ns0:c r="R827">
        <ns0:f>IF(AND(L827=1,O827*Calculations!$B$2&lt;=Calculations!$B$11*Calculations!$B$4),1,0)</ns0:f>
        <ns0:v>1</ns0:v>
      </ns0:c>
    </ns0:row>
    <ns0:row r="828">
      <ns0:c r="A828" t="inlineStr">
        <ns0:is>
          <ns0:t>case_0827</ns0:t>
        </ns0:is>
      </ns0:c>
      <ns0:c r="B828" t="inlineStr">
        <ns0:is>
          <ns0:t>function_0141</ns0:t>
        </ns0:is>
      </ns0:c>
      <ns0:c r="C828" t="inlineStr">
        <ns0:is>
          <ns0:t>run_009</ns0:t>
        </ns0:is>
      </ns0:c>
      <ns0:c r="D828" t="inlineStr">
        <ns0:is>
          <ns0:t>humantime</ns0:t>
        </ns0:is>
      </ns0:c>
      <ns0:c r="E828" t="inlineStr">
        <ns0:is>
          <ns0:t>gpt-5-nano</ns0:t>
        </ns0:is>
      </ns0:c>
      <ns0:c r="F828" t="inlineStr">
        <ns0:is>
          <ns0:t>E0433</ns0:t>
        </ns0:is>
      </ns0:c>
      <ns0:c r="G828" t="n">
        <ns0:v>1</ns0:v>
      </ns0:c>
      <ns0:c r="H828" t="n">
        <ns0:v>0</ns0:v>
      </ns0:c>
      <ns0:c r="I828" t="n">
        <ns0:v>0</ns0:v>
      </ns0:c>
      <ns0:c r="J828" t="n">
        <ns0:v>0</ns0:v>
      </ns0:c>
      <ns0:c r="K828" t="n">
        <ns0:v>0</ns0:v>
      </ns0:c>
      <ns0:c r="L828" t="n">
        <ns0:v>1</ns0:v>
      </ns0:c>
      <ns0:c r="M828" t="n">
        <ns0:v>20072</ns0:v>
      </ns0:c>
      <ns0:c r="N828" t="n">
        <ns0:v>309</ns0:v>
      </ns0:c>
      <ns0:c r="O828" t="n">
        <ns0:v>20381</ns0:v>
      </ns0:c>
      <ns0:c r="P828" t="n">
        <ns0:v>3</ns0:v>
      </ns0:c>
      <ns0:c r="Q828">
        <ns0:f>IF(AND(L828=1,O828*Calculations!$B$2&lt;=Calculations!$B$10*Calculations!$B$4),1,0)</ns0:f>
        <ns0:v>1</ns0:v>
      </ns0:c>
      <ns0:c r="R828">
        <ns0:f>IF(AND(L828=1,O828*Calculations!$B$2&lt;=Calculations!$B$11*Calculations!$B$4),1,0)</ns0:f>
        <ns0:v>1</ns0:v>
      </ns0:c>
    </ns0:row>
    <ns0:row r="829">
      <ns0:c r="A829" t="inlineStr">
        <ns0:is>
          <ns0:t>case_0828</ns0:t>
        </ns0:is>
      </ns0:c>
      <ns0:c r="B829" t="inlineStr">
        <ns0:is>
          <ns0:t>function_0141</ns0:t>
        </ns0:is>
      </ns0:c>
      <ns0:c r="C829" t="inlineStr">
        <ns0:is>
          <ns0:t>run_009</ns0:t>
        </ns0:is>
      </ns0:c>
      <ns0:c r="D829" t="inlineStr">
        <ns0:is>
          <ns0:t>humantime</ns0:t>
        </ns0:is>
      </ns0:c>
      <ns0:c r="E829" t="inlineStr">
        <ns0:is>
          <ns0:t>gpt-5-nano</ns0:t>
        </ns0:is>
      </ns0:c>
      <ns0:c r="F829" t="inlineStr">
        <ns0:is>
          <ns0:t>E0433</ns0:t>
        </ns0:is>
      </ns0:c>
      <ns0:c r="G829" t="n">
        <ns0:v>1</ns0:v>
      </ns0:c>
      <ns0:c r="H829" t="n">
        <ns0:v>0</ns0:v>
      </ns0:c>
      <ns0:c r="I829" t="n">
        <ns0:v>0</ns0:v>
      </ns0:c>
      <ns0:c r="J829" t="n">
        <ns0:v>0</ns0:v>
      </ns0:c>
      <ns0:c r="K829" t="n">
        <ns0:v>0</ns0:v>
      </ns0:c>
      <ns0:c r="L829" t="n">
        <ns0:v>1</ns0:v>
      </ns0:c>
      <ns0:c r="M829" t="n">
        <ns0:v>26778</ns0:v>
      </ns0:c>
      <ns0:c r="N829" t="n">
        <ns0:v>490</ns0:v>
      </ns0:c>
      <ns0:c r="O829" t="n">
        <ns0:v>27268</ns0:v>
      </ns0:c>
      <ns0:c r="P829" t="n">
        <ns0:v>4</ns0:v>
      </ns0:c>
      <ns0:c r="Q829">
        <ns0:f>IF(AND(L829=1,O829*Calculations!$B$2&lt;=Calculations!$B$10*Calculations!$B$4),1,0)</ns0:f>
        <ns0:v>0</ns0:v>
      </ns0:c>
      <ns0:c r="R829">
        <ns0:f>IF(AND(L829=1,O829*Calculations!$B$2&lt;=Calculations!$B$11*Calculations!$B$4),1,0)</ns0:f>
        <ns0:v>1</ns0:v>
      </ns0:c>
    </ns0:row>
    <ns0:row r="830">
      <ns0:c r="A830" t="inlineStr">
        <ns0:is>
          <ns0:t>case_0829</ns0:t>
        </ns0:is>
      </ns0:c>
      <ns0:c r="B830" t="inlineStr">
        <ns0:is>
          <ns0:t>function_0142</ns0:t>
        </ns0:is>
      </ns0:c>
      <ns0:c r="C830" t="inlineStr">
        <ns0:is>
          <ns0:t>run_009</ns0:t>
        </ns0:is>
      </ns0:c>
      <ns0:c r="D830" t="inlineStr">
        <ns0:is>
          <ns0:t>humantime</ns0:t>
        </ns0:is>
      </ns0:c>
      <ns0:c r="E830" t="inlineStr">
        <ns0:is>
          <ns0:t>gpt-5-nano</ns0:t>
        </ns0:is>
      </ns0:c>
      <ns0:c r="F830" t="inlineStr">
        <ns0:is>
          <ns0:t>E0433</ns0:t>
        </ns0:is>
      </ns0:c>
      <ns0:c r="G830" t="n">
        <ns0:v>1</ns0:v>
      </ns0:c>
      <ns0:c r="H830" t="n">
        <ns0:v>0</ns0:v>
      </ns0:c>
      <ns0:c r="I830" t="n">
        <ns0:v>0</ns0:v>
      </ns0:c>
      <ns0:c r="J830" t="n">
        <ns0:v>0</ns0:v>
      </ns0:c>
      <ns0:c r="K830" t="n">
        <ns0:v>0</ns0:v>
      </ns0:c>
      <ns0:c r="L830" t="n">
        <ns0:v>1</ns0:v>
      </ns0:c>
      <ns0:c r="M830" t="n">
        <ns0:v>20624</ns0:v>
      </ns0:c>
      <ns0:c r="N830" t="n">
        <ns0:v>489</ns0:v>
      </ns0:c>
      <ns0:c r="O830" t="n">
        <ns0:v>21113</ns0:v>
      </ns0:c>
      <ns0:c r="P830" t="n">
        <ns0:v>3</ns0:v>
      </ns0:c>
      <ns0:c r="Q830">
        <ns0:f>IF(AND(L830=1,O830*Calculations!$B$2&lt;=Calculations!$B$10*Calculations!$B$4),1,0)</ns0:f>
        <ns0:v>1</ns0:v>
      </ns0:c>
      <ns0:c r="R830">
        <ns0:f>IF(AND(L830=1,O830*Calculations!$B$2&lt;=Calculations!$B$11*Calculations!$B$4),1,0)</ns0:f>
        <ns0:v>1</ns0:v>
      </ns0:c>
    </ns0:row>
    <ns0:row r="831">
      <ns0:c r="A831" t="inlineStr">
        <ns0:is>
          <ns0:t>case_0830</ns0:t>
        </ns0:is>
      </ns0:c>
      <ns0:c r="B831" t="inlineStr">
        <ns0:is>
          <ns0:t>function_0142</ns0:t>
        </ns0:is>
      </ns0:c>
      <ns0:c r="C831" t="inlineStr">
        <ns0:is>
          <ns0:t>run_009</ns0:t>
        </ns0:is>
      </ns0:c>
      <ns0:c r="D831" t="inlineStr">
        <ns0:is>
          <ns0:t>humantime</ns0:t>
        </ns0:is>
      </ns0:c>
      <ns0:c r="E831" t="inlineStr">
        <ns0:is>
          <ns0:t>gpt-5-nano</ns0:t>
        </ns0:is>
      </ns0:c>
      <ns0:c r="F831" t="inlineStr">
        <ns0:is>
          <ns0:t>E0433</ns0:t>
        </ns0:is>
      </ns0:c>
      <ns0:c r="G831" t="n">
        <ns0:v>1</ns0:v>
      </ns0:c>
      <ns0:c r="H831" t="n">
        <ns0:v>0</ns0:v>
      </ns0:c>
      <ns0:c r="I831" t="n">
        <ns0:v>0</ns0:v>
      </ns0:c>
      <ns0:c r="J831" t="n">
        <ns0:v>0</ns0:v>
      </ns0:c>
      <ns0:c r="K831" t="n">
        <ns0:v>0</ns0:v>
      </ns0:c>
      <ns0:c r="L831" t="n">
        <ns0:v>1</ns0:v>
      </ns0:c>
      <ns0:c r="M831" t="n">
        <ns0:v>27447</ns0:v>
      </ns0:c>
      <ns0:c r="N831" t="n">
        <ns0:v>510</ns0:v>
      </ns0:c>
      <ns0:c r="O831" t="n">
        <ns0:v>27957</ns0:v>
      </ns0:c>
      <ns0:c r="P831" t="n">
        <ns0:v>4</ns0:v>
      </ns0:c>
      <ns0:c r="Q831">
        <ns0:f>IF(AND(L831=1,O831*Calculations!$B$2&lt;=Calculations!$B$10*Calculations!$B$4),1,0)</ns0:f>
        <ns0:v>0</ns0:v>
      </ns0:c>
      <ns0:c r="R831">
        <ns0:f>IF(AND(L831=1,O831*Calculations!$B$2&lt;=Calculations!$B$11*Calculations!$B$4),1,0)</ns0:f>
        <ns0:v>1</ns0:v>
      </ns0:c>
    </ns0:row>
    <ns0:row r="832">
      <ns0:c r="A832" t="inlineStr">
        <ns0:is>
          <ns0:t>case_0831</ns0:t>
        </ns0:is>
      </ns0:c>
      <ns0:c r="B832" t="inlineStr">
        <ns0:is>
          <ns0:t>function_0142</ns0:t>
        </ns0:is>
      </ns0:c>
      <ns0:c r="C832" t="inlineStr">
        <ns0:is>
          <ns0:t>run_009</ns0:t>
        </ns0:is>
      </ns0:c>
      <ns0:c r="D832" t="inlineStr">
        <ns0:is>
          <ns0:t>humantime</ns0:t>
        </ns0:is>
      </ns0:c>
      <ns0:c r="E832" t="inlineStr">
        <ns0:is>
          <ns0:t>gpt-5-nano</ns0:t>
        </ns0:is>
      </ns0:c>
      <ns0:c r="F832" t="inlineStr">
        <ns0:is>
          <ns0:t>E0433</ns0:t>
        </ns0:is>
      </ns0:c>
      <ns0:c r="G832" t="n">
        <ns0:v>1</ns0:v>
      </ns0:c>
      <ns0:c r="H832" t="n">
        <ns0:v>0</ns0:v>
      </ns0:c>
      <ns0:c r="I832" t="n">
        <ns0:v>0</ns0:v>
      </ns0:c>
      <ns0:c r="J832" t="n">
        <ns0:v>0</ns0:v>
      </ns0:c>
      <ns0:c r="K832" t="n">
        <ns0:v>0</ns0:v>
      </ns0:c>
      <ns0:c r="L832" t="n">
        <ns0:v>1</ns0:v>
      </ns0:c>
      <ns0:c r="M832" t="n">
        <ns0:v>27460</ns0:v>
      </ns0:c>
      <ns0:c r="N832" t="n">
        <ns0:v>449</ns0:v>
      </ns0:c>
      <ns0:c r="O832" t="n">
        <ns0:v>27909</ns0:v>
      </ns0:c>
      <ns0:c r="P832" t="n">
        <ns0:v>4</ns0:v>
      </ns0:c>
      <ns0:c r="Q832">
        <ns0:f>IF(AND(L832=1,O832*Calculations!$B$2&lt;=Calculations!$B$10*Calculations!$B$4),1,0)</ns0:f>
        <ns0:v>0</ns0:v>
      </ns0:c>
      <ns0:c r="R832">
        <ns0:f>IF(AND(L832=1,O832*Calculations!$B$2&lt;=Calculations!$B$11*Calculations!$B$4),1,0)</ns0:f>
        <ns0:v>1</ns0:v>
      </ns0:c>
    </ns0:row>
    <ns0:row r="833">
      <ns0:c r="A833" t="inlineStr">
        <ns0:is>
          <ns0:t>case_0832</ns0:t>
        </ns0:is>
      </ns0:c>
      <ns0:c r="B833" t="inlineStr">
        <ns0:is>
          <ns0:t>function_0143</ns0:t>
        </ns0:is>
      </ns0:c>
      <ns0:c r="C833" t="inlineStr">
        <ns0:is>
          <ns0:t>run_009</ns0:t>
        </ns0:is>
      </ns0:c>
      <ns0:c r="D833" t="inlineStr">
        <ns0:is>
          <ns0:t>humantime</ns0:t>
        </ns0:is>
      </ns0:c>
      <ns0:c r="E833" t="inlineStr">
        <ns0:is>
          <ns0:t>gpt-5-nano</ns0:t>
        </ns0:is>
      </ns0:c>
      <ns0:c r="F833" t="inlineStr">
        <ns0:is>
          <ns0:t>E0433</ns0:t>
        </ns0:is>
      </ns0:c>
      <ns0:c r="G833" t="n">
        <ns0:v>1</ns0:v>
      </ns0:c>
      <ns0:c r="H833" t="n">
        <ns0:v>0</ns0:v>
      </ns0:c>
      <ns0:c r="I833" t="n">
        <ns0:v>0</ns0:v>
      </ns0:c>
      <ns0:c r="J833" t="n">
        <ns0:v>0</ns0:v>
      </ns0:c>
      <ns0:c r="K833" t="n">
        <ns0:v>0</ns0:v>
      </ns0:c>
      <ns0:c r="L833" t="n">
        <ns0:v>1</ns0:v>
      </ns0:c>
      <ns0:c r="M833" t="n">
        <ns0:v>37264</ns0:v>
      </ns0:c>
      <ns0:c r="N833" t="n">
        <ns0:v>690</ns0:v>
      </ns0:c>
      <ns0:c r="O833" t="n">
        <ns0:v>37954</ns0:v>
      </ns0:c>
      <ns0:c r="P833" t="n">
        <ns0:v>5</ns0:v>
      </ns0:c>
      <ns0:c r="Q833">
        <ns0:f>IF(AND(L833=1,O833*Calculations!$B$2&lt;=Calculations!$B$10*Calculations!$B$4),1,0)</ns0:f>
        <ns0:v>0</ns0:v>
      </ns0:c>
      <ns0:c r="R833">
        <ns0:f>IF(AND(L833=1,O833*Calculations!$B$2&lt;=Calculations!$B$11*Calculations!$B$4),1,0)</ns0:f>
        <ns0:v>1</ns0:v>
      </ns0:c>
    </ns0:row>
    <ns0:row r="834">
      <ns0:c r="A834" t="inlineStr">
        <ns0:is>
          <ns0:t>case_0833</ns0:t>
        </ns0:is>
      </ns0:c>
      <ns0:c r="B834" t="inlineStr">
        <ns0:is>
          <ns0:t>function_0143</ns0:t>
        </ns0:is>
      </ns0:c>
      <ns0:c r="C834" t="inlineStr">
        <ns0:is>
          <ns0:t>run_009</ns0:t>
        </ns0:is>
      </ns0:c>
      <ns0:c r="D834" t="inlineStr">
        <ns0:is>
          <ns0:t>humantime</ns0:t>
        </ns0:is>
      </ns0:c>
      <ns0:c r="E834" t="inlineStr">
        <ns0:is>
          <ns0:t>gpt-5-nano</ns0:t>
        </ns0:is>
      </ns0:c>
      <ns0:c r="F834" t="inlineStr">
        <ns0:is>
          <ns0:t>E0433</ns0:t>
        </ns0:is>
      </ns0:c>
      <ns0:c r="G834" t="n">
        <ns0:v>1</ns0:v>
      </ns0:c>
      <ns0:c r="H834" t="n">
        <ns0:v>0</ns0:v>
      </ns0:c>
      <ns0:c r="I834" t="n">
        <ns0:v>0</ns0:v>
      </ns0:c>
      <ns0:c r="J834" t="n">
        <ns0:v>0</ns0:v>
      </ns0:c>
      <ns0:c r="K834" t="n">
        <ns0:v>0</ns0:v>
      </ns0:c>
      <ns0:c r="L834" t="n">
        <ns0:v>1</ns0:v>
      </ns0:c>
      <ns0:c r="M834" t="n">
        <ns0:v>56252</ns0:v>
      </ns0:c>
      <ns0:c r="N834" t="n">
        <ns0:v>734</ns0:v>
      </ns0:c>
      <ns0:c r="O834" t="n">
        <ns0:v>56986</ns0:v>
      </ns0:c>
      <ns0:c r="P834" t="n">
        <ns0:v>7</ns0:v>
      </ns0:c>
      <ns0:c r="Q834">
        <ns0:f>IF(AND(L834=1,O834*Calculations!$B$2&lt;=Calculations!$B$10*Calculations!$B$4),1,0)</ns0:f>
        <ns0:v>0</ns0:v>
      </ns0:c>
      <ns0:c r="R834">
        <ns0:f>IF(AND(L834=1,O834*Calculations!$B$2&lt;=Calculations!$B$11*Calculations!$B$4),1,0)</ns0:f>
        <ns0:v>0</ns0:v>
      </ns0:c>
    </ns0:row>
    <ns0:row r="835">
      <ns0:c r="A835" t="inlineStr">
        <ns0:is>
          <ns0:t>case_0834</ns0:t>
        </ns0:is>
      </ns0:c>
      <ns0:c r="B835" t="inlineStr">
        <ns0:is>
          <ns0:t>function_0143</ns0:t>
        </ns0:is>
      </ns0:c>
      <ns0:c r="C835" t="inlineStr">
        <ns0:is>
          <ns0:t>run_009</ns0:t>
        </ns0:is>
      </ns0:c>
      <ns0:c r="D835" t="inlineStr">
        <ns0:is>
          <ns0:t>humantime</ns0:t>
        </ns0:is>
      </ns0:c>
      <ns0:c r="E835" t="inlineStr">
        <ns0:is>
          <ns0:t>gpt-5-nano</ns0:t>
        </ns0:is>
      </ns0:c>
      <ns0:c r="F835" t="inlineStr">
        <ns0:is>
          <ns0:t>E0433</ns0:t>
        </ns0:is>
      </ns0:c>
      <ns0:c r="G835" t="n">
        <ns0:v>1</ns0:v>
      </ns0:c>
      <ns0:c r="H835" t="n">
        <ns0:v>0</ns0:v>
      </ns0:c>
      <ns0:c r="I835" t="n">
        <ns0:v>0</ns0:v>
      </ns0:c>
      <ns0:c r="J835" t="n">
        <ns0:v>0</ns0:v>
      </ns0:c>
      <ns0:c r="K835" t="n">
        <ns0:v>0</ns0:v>
      </ns0:c>
      <ns0:c r="L835" t="n">
        <ns0:v>1</ns0:v>
      </ns0:c>
      <ns0:c r="M835" t="n">
        <ns0:v>58024</ns0:v>
      </ns0:c>
      <ns0:c r="N835" t="n">
        <ns0:v>926</ns0:v>
      </ns0:c>
      <ns0:c r="O835" t="n">
        <ns0:v>58950</ns0:v>
      </ns0:c>
      <ns0:c r="P835" t="n">
        <ns0:v>6</ns0:v>
      </ns0:c>
      <ns0:c r="Q835">
        <ns0:f>IF(AND(L835=1,O835*Calculations!$B$2&lt;=Calculations!$B$10*Calculations!$B$4),1,0)</ns0:f>
        <ns0:v>0</ns0:v>
      </ns0:c>
      <ns0:c r="R835">
        <ns0:f>IF(AND(L835=1,O835*Calculations!$B$2&lt;=Calculations!$B$11*Calculations!$B$4),1,0)</ns0:f>
        <ns0:v>0</ns0:v>
      </ns0:c>
    </ns0:row>
    <ns0:row r="836">
      <ns0:c r="A836" t="inlineStr">
        <ns0:is>
          <ns0:t>case_0835</ns0:t>
        </ns0:is>
      </ns0:c>
      <ns0:c r="B836" t="inlineStr">
        <ns0:is>
          <ns0:t>function_0143</ns0:t>
        </ns0:is>
      </ns0:c>
      <ns0:c r="C836" t="inlineStr">
        <ns0:is>
          <ns0:t>run_009</ns0:t>
        </ns0:is>
      </ns0:c>
      <ns0:c r="D836" t="inlineStr">
        <ns0:is>
          <ns0:t>humantime</ns0:t>
        </ns0:is>
      </ns0:c>
      <ns0:c r="E836" t="inlineStr">
        <ns0:is>
          <ns0:t>gpt-5-nano</ns0:t>
        </ns0:is>
      </ns0:c>
      <ns0:c r="F836" t="inlineStr">
        <ns0:is>
          <ns0:t>E0283,E0433</ns0:t>
        </ns0:is>
      </ns0:c>
      <ns0:c r="G836" t="n">
        <ns0:v>0</ns0:v>
      </ns0:c>
      <ns0:c r="H836" t="n">
        <ns0:v>2147</ns0:v>
      </ns0:c>
      <ns0:c r="I836" t="n">
        <ns0:v>186</ns0:v>
      </ns0:c>
      <ns0:c r="J836" t="n">
        <ns0:v>2333</ns0:v>
      </ns0:c>
      <ns0:c r="K836" t="n">
        <ns0:v>3</ns0:v>
      </ns0:c>
      <ns0:c r="L836" t="n">
        <ns0:v>1</ns0:v>
      </ns0:c>
      <ns0:c r="M836" t="n">
        <ns0:v>27794</ns0:v>
      </ns0:c>
      <ns0:c r="N836" t="n">
        <ns0:v>650</ns0:v>
      </ns0:c>
      <ns0:c r="O836" t="n">
        <ns0:v>28444</ns0:v>
      </ns0:c>
      <ns0:c r="P836" t="n">
        <ns0:v>4</ns0:v>
      </ns0:c>
      <ns0:c r="Q836">
        <ns0:f>IF(AND(L836=1,O836*Calculations!$B$2&lt;=Calculations!$B$10*Calculations!$B$4),1,0)</ns0:f>
        <ns0:v>0</ns0:v>
      </ns0:c>
      <ns0:c r="R836">
        <ns0:f>IF(AND(L836=1,O836*Calculations!$B$2&lt;=Calculations!$B$11*Calculations!$B$4),1,0)</ns0:f>
        <ns0:v>1</ns0:v>
      </ns0:c>
    </ns0:row>
    <ns0:row r="837">
      <ns0:c r="A837" t="inlineStr">
        <ns0:is>
          <ns0:t>case_0836</ns0:t>
        </ns0:is>
      </ns0:c>
      <ns0:c r="B837" t="inlineStr">
        <ns0:is>
          <ns0:t>function_0143</ns0:t>
        </ns0:is>
      </ns0:c>
      <ns0:c r="C837" t="inlineStr">
        <ns0:is>
          <ns0:t>run_009</ns0:t>
        </ns0:is>
      </ns0:c>
      <ns0:c r="D837" t="inlineStr">
        <ns0:is>
          <ns0:t>humantime</ns0:t>
        </ns0:is>
      </ns0:c>
      <ns0:c r="E837" t="inlineStr">
        <ns0:is>
          <ns0:t>gpt-5-nano</ns0:t>
        </ns0:is>
      </ns0:c>
      <ns0:c r="F837" t="inlineStr">
        <ns0:is>
          <ns0:t>E0283,E0433</ns0:t>
        </ns0:is>
      </ns0:c>
      <ns0:c r="G837" t="n">
        <ns0:v>0</ns0:v>
      </ns0:c>
      <ns0:c r="H837" t="n">
        <ns0:v>2136</ns0:v>
      </ns0:c>
      <ns0:c r="I837" t="n">
        <ns0:v>191</ns0:v>
      </ns0:c>
      <ns0:c r="J837" t="n">
        <ns0:v>2327</ns0:v>
      </ns0:c>
      <ns0:c r="K837" t="n">
        <ns0:v>3</ns0:v>
      </ns0:c>
      <ns0:c r="L837" t="n">
        <ns0:v>1</ns0:v>
      </ns0:c>
      <ns0:c r="M837" t="n">
        <ns0:v>20720</ns0:v>
      </ns0:c>
      <ns0:c r="N837" t="n">
        <ns0:v>907</ns0:v>
      </ns0:c>
      <ns0:c r="O837" t="n">
        <ns0:v>21627</ns0:v>
      </ns0:c>
      <ns0:c r="P837" t="n">
        <ns0:v>3</ns0:v>
      </ns0:c>
      <ns0:c r="Q837">
        <ns0:f>IF(AND(L837=1,O837*Calculations!$B$2&lt;=Calculations!$B$10*Calculations!$B$4),1,0)</ns0:f>
        <ns0:v>1</ns0:v>
      </ns0:c>
      <ns0:c r="R837">
        <ns0:f>IF(AND(L837=1,O837*Calculations!$B$2&lt;=Calculations!$B$11*Calculations!$B$4),1,0)</ns0:f>
        <ns0:v>1</ns0:v>
      </ns0:c>
    </ns0:row>
    <ns0:row r="838">
      <ns0:c r="A838" t="inlineStr">
        <ns0:is>
          <ns0:t>case_0837</ns0:t>
        </ns0:is>
      </ns0:c>
      <ns0:c r="B838" t="inlineStr">
        <ns0:is>
          <ns0:t>function_0143</ns0:t>
        </ns0:is>
      </ns0:c>
      <ns0:c r="C838" t="inlineStr">
        <ns0:is>
          <ns0:t>run_009</ns0:t>
        </ns0:is>
      </ns0:c>
      <ns0:c r="D838" t="inlineStr">
        <ns0:is>
          <ns0:t>humantime</ns0:t>
        </ns0:is>
      </ns0:c>
      <ns0:c r="E838" t="inlineStr">
        <ns0:is>
          <ns0:t>gpt-5-nano</ns0:t>
        </ns0:is>
      </ns0:c>
      <ns0:c r="F838" t="inlineStr">
        <ns0:is>
          <ns0:t>E0283,E0433</ns0:t>
        </ns0:is>
      </ns0:c>
      <ns0:c r="G838" t="n">
        <ns0:v>0</ns0:v>
      </ns0:c>
      <ns0:c r="H838" t="n">
        <ns0:v>2102</ns0:v>
      </ns0:c>
      <ns0:c r="I838" t="n">
        <ns0:v>187</ns0:v>
      </ns0:c>
      <ns0:c r="J838" t="n">
        <ns0:v>2289</ns0:v>
      </ns0:c>
      <ns0:c r="K838" t="n">
        <ns0:v>3</ns0:v>
      </ns0:c>
      <ns0:c r="L838" t="n">
        <ns0:v>1</ns0:v>
      </ns0:c>
      <ns0:c r="M838" t="n">
        <ns0:v>27792</ns0:v>
      </ns0:c>
      <ns0:c r="N838" t="n">
        <ns0:v>1182</ns0:v>
      </ns0:c>
      <ns0:c r="O838" t="n">
        <ns0:v>28974</ns0:v>
      </ns0:c>
      <ns0:c r="P838" t="n">
        <ns0:v>4</ns0:v>
      </ns0:c>
      <ns0:c r="Q838">
        <ns0:f>IF(AND(L838=1,O838*Calculations!$B$2&lt;=Calculations!$B$10*Calculations!$B$4),1,0)</ns0:f>
        <ns0:v>0</ns0:v>
      </ns0:c>
      <ns0:c r="R838">
        <ns0:f>IF(AND(L838=1,O838*Calculations!$B$2&lt;=Calculations!$B$11*Calculations!$B$4),1,0)</ns0:f>
        <ns0:v>1</ns0:v>
      </ns0:c>
    </ns0:row>
    <ns0:row r="839">
      <ns0:c r="A839" t="inlineStr">
        <ns0:is>
          <ns0:t>case_0838</ns0:t>
        </ns0:is>
      </ns0:c>
      <ns0:c r="B839" t="inlineStr">
        <ns0:is>
          <ns0:t>function_0144</ns0:t>
        </ns0:is>
      </ns0:c>
      <ns0:c r="C839" t="inlineStr">
        <ns0:is>
          <ns0:t>run_009</ns0:t>
        </ns0:is>
      </ns0:c>
      <ns0:c r="D839" t="inlineStr">
        <ns0:is>
          <ns0:t>humantime</ns0:t>
        </ns0:is>
      </ns0:c>
      <ns0:c r="E839" t="inlineStr">
        <ns0:is>
          <ns0:t>gpt-5-nano</ns0:t>
        </ns0:is>
      </ns0:c>
      <ns0:c r="F839" t="inlineStr">
        <ns0:is>
          <ns0:t>E0433</ns0:t>
        </ns0:is>
      </ns0:c>
      <ns0:c r="G839" t="n">
        <ns0:v>1</ns0:v>
      </ns0:c>
      <ns0:c r="H839" t="n">
        <ns0:v>0</ns0:v>
      </ns0:c>
      <ns0:c r="I839" t="n">
        <ns0:v>0</ns0:v>
      </ns0:c>
      <ns0:c r="J839" t="n">
        <ns0:v>0</ns0:v>
      </ns0:c>
      <ns0:c r="K839" t="n">
        <ns0:v>0</ns0:v>
      </ns0:c>
      <ns0:c r="L839" t="n">
        <ns0:v>1</ns0:v>
      </ns0:c>
      <ns0:c r="M839" t="n">
        <ns0:v>20163</ns0:v>
      </ns0:c>
      <ns0:c r="N839" t="n">
        <ns0:v>435</ns0:v>
      </ns0:c>
      <ns0:c r="O839" t="n">
        <ns0:v>20598</ns0:v>
      </ns0:c>
      <ns0:c r="P839" t="n">
        <ns0:v>3</ns0:v>
      </ns0:c>
      <ns0:c r="Q839">
        <ns0:f>IF(AND(L839=1,O839*Calculations!$B$2&lt;=Calculations!$B$10*Calculations!$B$4),1,0)</ns0:f>
        <ns0:v>1</ns0:v>
      </ns0:c>
      <ns0:c r="R839">
        <ns0:f>IF(AND(L839=1,O839*Calculations!$B$2&lt;=Calculations!$B$11*Calculations!$B$4),1,0)</ns0:f>
        <ns0:v>1</ns0:v>
      </ns0:c>
    </ns0:row>
    <ns0:row r="840">
      <ns0:c r="A840" t="inlineStr">
        <ns0:is>
          <ns0:t>case_0839</ns0:t>
        </ns0:is>
      </ns0:c>
      <ns0:c r="B840" t="inlineStr">
        <ns0:is>
          <ns0:t>function_0144</ns0:t>
        </ns0:is>
      </ns0:c>
      <ns0:c r="C840" t="inlineStr">
        <ns0:is>
          <ns0:t>run_009</ns0:t>
        </ns0:is>
      </ns0:c>
      <ns0:c r="D840" t="inlineStr">
        <ns0:is>
          <ns0:t>humantime</ns0:t>
        </ns0:is>
      </ns0:c>
      <ns0:c r="E840" t="inlineStr">
        <ns0:is>
          <ns0:t>gpt-5-nano</ns0:t>
        </ns0:is>
      </ns0:c>
      <ns0:c r="F840" t="inlineStr">
        <ns0:is>
          <ns0:t>E0433</ns0:t>
        </ns0:is>
      </ns0:c>
      <ns0:c r="G840" t="n">
        <ns0:v>0</ns0:v>
      </ns0:c>
      <ns0:c r="H840" t="n">
        <ns0:v>6471</ns0:v>
      </ns0:c>
      <ns0:c r="I840" t="n">
        <ns0:v>207</ns0:v>
      </ns0:c>
      <ns0:c r="J840" t="n">
        <ns0:v>6678</ns0:v>
      </ns0:c>
      <ns0:c r="K840" t="n">
        <ns0:v>3</ns0:v>
      </ns0:c>
      <ns0:c r="L840" t="n">
        <ns0:v>1</ns0:v>
      </ns0:c>
      <ns0:c r="M840" t="n">
        <ns0:v>37021</ns0:v>
      </ns0:c>
      <ns0:c r="N840" t="n">
        <ns0:v>318</ns0:v>
      </ns0:c>
      <ns0:c r="O840" t="n">
        <ns0:v>37339</ns0:v>
      </ns0:c>
      <ns0:c r="P840" t="n">
        <ns0:v>5</ns0:v>
      </ns0:c>
      <ns0:c r="Q840">
        <ns0:f>IF(AND(L840=1,O840*Calculations!$B$2&lt;=Calculations!$B$10*Calculations!$B$4),1,0)</ns0:f>
        <ns0:v>0</ns0:v>
      </ns0:c>
      <ns0:c r="R840">
        <ns0:f>IF(AND(L840=1,O840*Calculations!$B$2&lt;=Calculations!$B$11*Calculations!$B$4),1,0)</ns0:f>
        <ns0:v>1</ns0:v>
      </ns0:c>
    </ns0:row>
    <ns0:row r="841">
      <ns0:c r="A841" t="inlineStr">
        <ns0:is>
          <ns0:t>case_0840</ns0:t>
        </ns0:is>
      </ns0:c>
      <ns0:c r="B841" t="inlineStr">
        <ns0:is>
          <ns0:t>function_0144</ns0:t>
        </ns0:is>
      </ns0:c>
      <ns0:c r="C841" t="inlineStr">
        <ns0:is>
          <ns0:t>run_009</ns0:t>
        </ns0:is>
      </ns0:c>
      <ns0:c r="D841" t="inlineStr">
        <ns0:is>
          <ns0:t>humantime</ns0:t>
        </ns0:is>
      </ns0:c>
      <ns0:c r="E841" t="inlineStr">
        <ns0:is>
          <ns0:t>gpt-5-nano</ns0:t>
        </ns0:is>
      </ns0:c>
      <ns0:c r="F841" t="inlineStr">
        <ns0:is>
          <ns0:t>E0433</ns0:t>
        </ns0:is>
      </ns0:c>
      <ns0:c r="G841" t="n">
        <ns0:v>0</ns0:v>
      </ns0:c>
      <ns0:c r="H841" t="n">
        <ns0:v>4449</ns0:v>
      </ns0:c>
      <ns0:c r="I841" t="n">
        <ns0:v>195</ns0:v>
      </ns0:c>
      <ns0:c r="J841" t="n">
        <ns0:v>4644</ns0:v>
      </ns0:c>
      <ns0:c r="K841" t="n">
        <ns0:v>3</ns0:v>
      </ns0:c>
      <ns0:c r="L841" t="n">
        <ns0:v>1</ns0:v>
      </ns0:c>
      <ns0:c r="M841" t="n">
        <ns0:v>27485</ns0:v>
      </ns0:c>
      <ns0:c r="N841" t="n">
        <ns0:v>460</ns0:v>
      </ns0:c>
      <ns0:c r="O841" t="n">
        <ns0:v>27945</ns0:v>
      </ns0:c>
      <ns0:c r="P841" t="n">
        <ns0:v>4</ns0:v>
      </ns0:c>
      <ns0:c r="Q841">
        <ns0:f>IF(AND(L841=1,O841*Calculations!$B$2&lt;=Calculations!$B$10*Calculations!$B$4),1,0)</ns0:f>
        <ns0:v>0</ns0:v>
      </ns0:c>
      <ns0:c r="R841">
        <ns0:f>IF(AND(L841=1,O841*Calculations!$B$2&lt;=Calculations!$B$11*Calculations!$B$4),1,0)</ns0:f>
        <ns0:v>1</ns0:v>
      </ns0:c>
    </ns0:row>
    <ns0:row r="842">
      <ns0:c r="A842" t="inlineStr">
        <ns0:is>
          <ns0:t>case_0841</ns0:t>
        </ns0:is>
      </ns0:c>
      <ns0:c r="B842" t="inlineStr">
        <ns0:is>
          <ns0:t>function_0144</ns0:t>
        </ns0:is>
      </ns0:c>
      <ns0:c r="C842" t="inlineStr">
        <ns0:is>
          <ns0:t>run_009</ns0:t>
        </ns0:is>
      </ns0:c>
      <ns0:c r="D842" t="inlineStr">
        <ns0:is>
          <ns0:t>humantime</ns0:t>
        </ns0:is>
      </ns0:c>
      <ns0:c r="E842" t="inlineStr">
        <ns0:is>
          <ns0:t>gpt-5-nano</ns0:t>
        </ns0:is>
      </ns0:c>
      <ns0:c r="F842" t="inlineStr">
        <ns0:is>
          <ns0:t>E0433</ns0:t>
        </ns0:is>
      </ns0:c>
      <ns0:c r="G842" t="n">
        <ns0:v>1</ns0:v>
      </ns0:c>
      <ns0:c r="H842" t="n">
        <ns0:v>0</ns0:v>
      </ns0:c>
      <ns0:c r="I842" t="n">
        <ns0:v>0</ns0:v>
      </ns0:c>
      <ns0:c r="J842" t="n">
        <ns0:v>0</ns0:v>
      </ns0:c>
      <ns0:c r="K842" t="n">
        <ns0:v>0</ns0:v>
      </ns0:c>
      <ns0:c r="L842" t="n">
        <ns0:v>1</ns0:v>
      </ns0:c>
      <ns0:c r="M842" t="n">
        <ns0:v>20022</ns0:v>
      </ns0:c>
      <ns0:c r="N842" t="n">
        <ns0:v>276</ns0:v>
      </ns0:c>
      <ns0:c r="O842" t="n">
        <ns0:v>20298</ns0:v>
      </ns0:c>
      <ns0:c r="P842" t="n">
        <ns0:v>3</ns0:v>
      </ns0:c>
      <ns0:c r="Q842">
        <ns0:f>IF(AND(L842=1,O842*Calculations!$B$2&lt;=Calculations!$B$10*Calculations!$B$4),1,0)</ns0:f>
        <ns0:v>1</ns0:v>
      </ns0:c>
      <ns0:c r="R842">
        <ns0:f>IF(AND(L842=1,O842*Calculations!$B$2&lt;=Calculations!$B$11*Calculations!$B$4),1,0)</ns0:f>
        <ns0:v>1</ns0:v>
      </ns0:c>
    </ns0:row>
    <ns0:row r="843">
      <ns0:c r="A843" t="inlineStr">
        <ns0:is>
          <ns0:t>case_0842</ns0:t>
        </ns0:is>
      </ns0:c>
      <ns0:c r="B843" t="inlineStr">
        <ns0:is>
          <ns0:t>function_0144</ns0:t>
        </ns0:is>
      </ns0:c>
      <ns0:c r="C843" t="inlineStr">
        <ns0:is>
          <ns0:t>run_009</ns0:t>
        </ns0:is>
      </ns0:c>
      <ns0:c r="D843" t="inlineStr">
        <ns0:is>
          <ns0:t>humantime</ns0:t>
        </ns0:is>
      </ns0:c>
      <ns0:c r="E843" t="inlineStr">
        <ns0:is>
          <ns0:t>gpt-5-nano</ns0:t>
        </ns0:is>
      </ns0:c>
      <ns0:c r="F843" t="inlineStr">
        <ns0:is>
          <ns0:t>E0433</ns0:t>
        </ns0:is>
      </ns0:c>
      <ns0:c r="G843" t="n">
        <ns0:v>1</ns0:v>
      </ns0:c>
      <ns0:c r="H843" t="n">
        <ns0:v>0</ns0:v>
      </ns0:c>
      <ns0:c r="I843" t="n">
        <ns0:v>0</ns0:v>
      </ns0:c>
      <ns0:c r="J843" t="n">
        <ns0:v>0</ns0:v>
      </ns0:c>
      <ns0:c r="K843" t="n">
        <ns0:v>0</ns0:v>
      </ns0:c>
      <ns0:c r="L843" t="n">
        <ns0:v>1</ns0:v>
      </ns0:c>
      <ns0:c r="M843" t="n">
        <ns0:v>20030</ns0:v>
      </ns0:c>
      <ns0:c r="N843" t="n">
        <ns0:v>276</ns0:v>
      </ns0:c>
      <ns0:c r="O843" t="n">
        <ns0:v>20306</ns0:v>
      </ns0:c>
      <ns0:c r="P843" t="n">
        <ns0:v>3</ns0:v>
      </ns0:c>
      <ns0:c r="Q843">
        <ns0:f>IF(AND(L843=1,O843*Calculations!$B$2&lt;=Calculations!$B$10*Calculations!$B$4),1,0)</ns0:f>
        <ns0:v>1</ns0:v>
      </ns0:c>
      <ns0:c r="R843">
        <ns0:f>IF(AND(L843=1,O843*Calculations!$B$2&lt;=Calculations!$B$11*Calculations!$B$4),1,0)</ns0:f>
        <ns0:v>1</ns0:v>
      </ns0:c>
    </ns0:row>
    <ns0:row r="844">
      <ns0:c r="A844" t="inlineStr">
        <ns0:is>
          <ns0:t>case_0843</ns0:t>
        </ns0:is>
      </ns0:c>
      <ns0:c r="B844" t="inlineStr">
        <ns0:is>
          <ns0:t>function_0144</ns0:t>
        </ns0:is>
      </ns0:c>
      <ns0:c r="C844" t="inlineStr">
        <ns0:is>
          <ns0:t>run_009</ns0:t>
        </ns0:is>
      </ns0:c>
      <ns0:c r="D844" t="inlineStr">
        <ns0:is>
          <ns0:t>humantime</ns0:t>
        </ns0:is>
      </ns0:c>
      <ns0:c r="E844" t="inlineStr">
        <ns0:is>
          <ns0:t>gpt-5-nano</ns0:t>
        </ns0:is>
      </ns0:c>
      <ns0:c r="F844" t="inlineStr">
        <ns0:is>
          <ns0:t>E0433</ns0:t>
        </ns0:is>
      </ns0:c>
      <ns0:c r="G844" t="n">
        <ns0:v>1</ns0:v>
      </ns0:c>
      <ns0:c r="H844" t="n">
        <ns0:v>0</ns0:v>
      </ns0:c>
      <ns0:c r="I844" t="n">
        <ns0:v>0</ns0:v>
      </ns0:c>
      <ns0:c r="J844" t="n">
        <ns0:v>0</ns0:v>
      </ns0:c>
      <ns0:c r="K844" t="n">
        <ns0:v>0</ns0:v>
      </ns0:c>
      <ns0:c r="L844" t="n">
        <ns0:v>1</ns0:v>
      </ns0:c>
      <ns0:c r="M844" t="n">
        <ns0:v>20043</ns0:v>
      </ns0:c>
      <ns0:c r="N844" t="n">
        <ns0:v>250</ns0:v>
      </ns0:c>
      <ns0:c r="O844" t="n">
        <ns0:v>20293</ns0:v>
      </ns0:c>
      <ns0:c r="P844" t="n">
        <ns0:v>3</ns0:v>
      </ns0:c>
      <ns0:c r="Q844">
        <ns0:f>IF(AND(L844=1,O844*Calculations!$B$2&lt;=Calculations!$B$10*Calculations!$B$4),1,0)</ns0:f>
        <ns0:v>1</ns0:v>
      </ns0:c>
      <ns0:c r="R844">
        <ns0:f>IF(AND(L844=1,O844*Calculations!$B$2&lt;=Calculations!$B$11*Calculations!$B$4),1,0)</ns0:f>
        <ns0:v>1</ns0:v>
      </ns0:c>
    </ns0:row>
    <ns0:row r="845">
      <ns0:c r="A845" t="inlineStr">
        <ns0:is>
          <ns0:t>case_0844</ns0:t>
        </ns0:is>
      </ns0:c>
      <ns0:c r="B845" t="inlineStr">
        <ns0:is>
          <ns0:t>function_0145</ns0:t>
        </ns0:is>
      </ns0:c>
      <ns0:c r="C845" t="inlineStr">
        <ns0:is>
          <ns0:t>run_009</ns0:t>
        </ns0:is>
      </ns0:c>
      <ns0:c r="D845" t="inlineStr">
        <ns0:is>
          <ns0:t>humantime</ns0:t>
        </ns0:is>
      </ns0:c>
      <ns0:c r="E845" t="inlineStr">
        <ns0:is>
          <ns0:t>gpt-5-nano</ns0:t>
        </ns0:is>
      </ns0:c>
      <ns0:c r="F845" t="inlineStr">
        <ns0:is>
          <ns0:t>E0433</ns0:t>
        </ns0:is>
      </ns0:c>
      <ns0:c r="G845" t="n">
        <ns0:v>1</ns0:v>
      </ns0:c>
      <ns0:c r="H845" t="n">
        <ns0:v>0</ns0:v>
      </ns0:c>
      <ns0:c r="I845" t="n">
        <ns0:v>0</ns0:v>
      </ns0:c>
      <ns0:c r="J845" t="n">
        <ns0:v>0</ns0:v>
      </ns0:c>
      <ns0:c r="K845" t="n">
        <ns0:v>0</ns0:v>
      </ns0:c>
      <ns0:c r="L845" t="n">
        <ns0:v>1</ns0:v>
      </ns0:c>
      <ns0:c r="M845" t="n">
        <ns0:v>32038</ns0:v>
      </ns0:c>
      <ns0:c r="N845" t="n">
        <ns0:v>551</ns0:v>
      </ns0:c>
      <ns0:c r="O845" t="n">
        <ns0:v>32589</ns0:v>
      </ns0:c>
      <ns0:c r="P845" t="n">
        <ns0:v>4</ns0:v>
      </ns0:c>
      <ns0:c r="Q845">
        <ns0:f>IF(AND(L845=1,O845*Calculations!$B$2&lt;=Calculations!$B$10*Calculations!$B$4),1,0)</ns0:f>
        <ns0:v>0</ns0:v>
      </ns0:c>
      <ns0:c r="R845">
        <ns0:f>IF(AND(L845=1,O845*Calculations!$B$2&lt;=Calculations!$B$11*Calculations!$B$4),1,0)</ns0:f>
        <ns0:v>1</ns0:v>
      </ns0:c>
    </ns0:row>
    <ns0:row r="846">
      <ns0:c r="A846" t="inlineStr">
        <ns0:is>
          <ns0:t>case_0845</ns0:t>
        </ns0:is>
      </ns0:c>
      <ns0:c r="B846" t="inlineStr">
        <ns0:is>
          <ns0:t>function_0145</ns0:t>
        </ns0:is>
      </ns0:c>
      <ns0:c r="C846" t="inlineStr">
        <ns0:is>
          <ns0:t>run_009</ns0:t>
        </ns0:is>
      </ns0:c>
      <ns0:c r="D846" t="inlineStr">
        <ns0:is>
          <ns0:t>humantime</ns0:t>
        </ns0:is>
      </ns0:c>
      <ns0:c r="E846" t="inlineStr">
        <ns0:is>
          <ns0:t>gpt-5-nano</ns0:t>
        </ns0:is>
      </ns0:c>
      <ns0:c r="F846" t="inlineStr">
        <ns0:is>
          <ns0:t>E0433</ns0:t>
        </ns0:is>
      </ns0:c>
      <ns0:c r="G846" t="n">
        <ns0:v>1</ns0:v>
      </ns0:c>
      <ns0:c r="H846" t="n">
        <ns0:v>0</ns0:v>
      </ns0:c>
      <ns0:c r="I846" t="n">
        <ns0:v>0</ns0:v>
      </ns0:c>
      <ns0:c r="J846" t="n">
        <ns0:v>0</ns0:v>
      </ns0:c>
      <ns0:c r="K846" t="n">
        <ns0:v>0</ns0:v>
      </ns0:c>
      <ns0:c r="L846" t="n">
        <ns0:v>1</ns0:v>
      </ns0:c>
      <ns0:c r="M846" t="n">
        <ns0:v>40355</ns0:v>
      </ns0:c>
      <ns0:c r="N846" t="n">
        <ns0:v>453</ns0:v>
      </ns0:c>
      <ns0:c r="O846" t="n">
        <ns0:v>40808</ns0:v>
      </ns0:c>
      <ns0:c r="P846" t="n">
        <ns0:v>5</ns0:v>
      </ns0:c>
      <ns0:c r="Q846">
        <ns0:f>IF(AND(L846=1,O846*Calculations!$B$2&lt;=Calculations!$B$10*Calculations!$B$4),1,0)</ns0:f>
        <ns0:v>0</ns0:v>
      </ns0:c>
      <ns0:c r="R846">
        <ns0:f>IF(AND(L846=1,O846*Calculations!$B$2&lt;=Calculations!$B$11*Calculations!$B$4),1,0)</ns0:f>
        <ns0:v>1</ns0:v>
      </ns0:c>
    </ns0:row>
    <ns0:row r="847">
      <ns0:c r="A847" t="inlineStr">
        <ns0:is>
          <ns0:t>case_0846</ns0:t>
        </ns0:is>
      </ns0:c>
      <ns0:c r="B847" t="inlineStr">
        <ns0:is>
          <ns0:t>function_0145</ns0:t>
        </ns0:is>
      </ns0:c>
      <ns0:c r="C847" t="inlineStr">
        <ns0:is>
          <ns0:t>run_009</ns0:t>
        </ns0:is>
      </ns0:c>
      <ns0:c r="D847" t="inlineStr">
        <ns0:is>
          <ns0:t>humantime</ns0:t>
        </ns0:is>
      </ns0:c>
      <ns0:c r="E847" t="inlineStr">
        <ns0:is>
          <ns0:t>gpt-5-nano</ns0:t>
        </ns0:is>
      </ns0:c>
      <ns0:c r="F847" t="inlineStr">
        <ns0:is>
          <ns0:t>E0433</ns0:t>
        </ns0:is>
      </ns0:c>
      <ns0:c r="G847" t="n">
        <ns0:v>1</ns0:v>
      </ns0:c>
      <ns0:c r="H847" t="n">
        <ns0:v>0</ns0:v>
      </ns0:c>
      <ns0:c r="I847" t="n">
        <ns0:v>0</ns0:v>
      </ns0:c>
      <ns0:c r="J847" t="n">
        <ns0:v>0</ns0:v>
      </ns0:c>
      <ns0:c r="K847" t="n">
        <ns0:v>0</ns0:v>
      </ns0:c>
      <ns0:c r="L847" t="n">
        <ns0:v>1</ns0:v>
      </ns0:c>
      <ns0:c r="M847" t="n">
        <ns0:v>27619</ns0:v>
      </ns0:c>
      <ns0:c r="N847" t="n">
        <ns0:v>892</ns0:v>
      </ns0:c>
      <ns0:c r="O847" t="n">
        <ns0:v>28511</ns0:v>
      </ns0:c>
      <ns0:c r="P847" t="n">
        <ns0:v>4</ns0:v>
      </ns0:c>
      <ns0:c r="Q847">
        <ns0:f>IF(AND(L847=1,O847*Calculations!$B$2&lt;=Calculations!$B$10*Calculations!$B$4),1,0)</ns0:f>
        <ns0:v>0</ns0:v>
      </ns0:c>
      <ns0:c r="R847">
        <ns0:f>IF(AND(L847=1,O847*Calculations!$B$2&lt;=Calculations!$B$11*Calculations!$B$4),1,0)</ns0:f>
        <ns0:v>1</ns0:v>
      </ns0:c>
    </ns0:row>
    <ns0:row r="848">
      <ns0:c r="A848" t="inlineStr">
        <ns0:is>
          <ns0:t>case_0847</ns0:t>
        </ns0:is>
      </ns0:c>
      <ns0:c r="B848" t="inlineStr">
        <ns0:is>
          <ns0:t>function_0146</ns0:t>
        </ns0:is>
      </ns0:c>
      <ns0:c r="C848" t="inlineStr">
        <ns0:is>
          <ns0:t>run_009</ns0:t>
        </ns0:is>
      </ns0:c>
      <ns0:c r="D848" t="inlineStr">
        <ns0:is>
          <ns0:t>humantime</ns0:t>
        </ns0:is>
      </ns0:c>
      <ns0:c r="E848" t="inlineStr">
        <ns0:is>
          <ns0:t>gpt-5-nano</ns0:t>
        </ns0:is>
      </ns0:c>
      <ns0:c r="F848" t="inlineStr">
        <ns0:is>
          <ns0:t>E0433</ns0:t>
        </ns0:is>
      </ns0:c>
      <ns0:c r="G848" t="n">
        <ns0:v>0</ns0:v>
      </ns0:c>
      <ns0:c r="H848" t="n">
        <ns0:v>4445</ns0:v>
      </ns0:c>
      <ns0:c r="I848" t="n">
        <ns0:v>174</ns0:v>
      </ns0:c>
      <ns0:c r="J848" t="n">
        <ns0:v>4619</ns0:v>
      </ns0:c>
      <ns0:c r="K848" t="n">
        <ns0:v>3</ns0:v>
      </ns0:c>
      <ns0:c r="L848" t="n">
        <ns0:v>1</ns0:v>
      </ns0:c>
      <ns0:c r="M848" t="n">
        <ns0:v>27511</ns0:v>
      </ns0:c>
      <ns0:c r="N848" t="n">
        <ns0:v>489</ns0:v>
      </ns0:c>
      <ns0:c r="O848" t="n">
        <ns0:v>28000</ns0:v>
      </ns0:c>
      <ns0:c r="P848" t="n">
        <ns0:v>4</ns0:v>
      </ns0:c>
      <ns0:c r="Q848">
        <ns0:f>IF(AND(L848=1,O848*Calculations!$B$2&lt;=Calculations!$B$10*Calculations!$B$4),1,0)</ns0:f>
        <ns0:v>0</ns0:v>
      </ns0:c>
      <ns0:c r="R848">
        <ns0:f>IF(AND(L848=1,O848*Calculations!$B$2&lt;=Calculations!$B$11*Calculations!$B$4),1,0)</ns0:f>
        <ns0:v>1</ns0:v>
      </ns0:c>
    </ns0:row>
    <ns0:row r="849">
      <ns0:c r="A849" t="inlineStr">
        <ns0:is>
          <ns0:t>case_0848</ns0:t>
        </ns0:is>
      </ns0:c>
      <ns0:c r="B849" t="inlineStr">
        <ns0:is>
          <ns0:t>function_0146</ns0:t>
        </ns0:is>
      </ns0:c>
      <ns0:c r="C849" t="inlineStr">
        <ns0:is>
          <ns0:t>run_009</ns0:t>
        </ns0:is>
      </ns0:c>
      <ns0:c r="D849" t="inlineStr">
        <ns0:is>
          <ns0:t>humantime</ns0:t>
        </ns0:is>
      </ns0:c>
      <ns0:c r="E849" t="inlineStr">
        <ns0:is>
          <ns0:t>gpt-5-nano</ns0:t>
        </ns0:is>
      </ns0:c>
      <ns0:c r="F849" t="inlineStr">
        <ns0:is>
          <ns0:t>E0433</ns0:t>
        </ns0:is>
      </ns0:c>
      <ns0:c r="G849" t="n">
        <ns0:v>1</ns0:v>
      </ns0:c>
      <ns0:c r="H849" t="n">
        <ns0:v>0</ns0:v>
      </ns0:c>
      <ns0:c r="I849" t="n">
        <ns0:v>0</ns0:v>
      </ns0:c>
      <ns0:c r="J849" t="n">
        <ns0:v>0</ns0:v>
      </ns0:c>
      <ns0:c r="K849" t="n">
        <ns0:v>0</ns0:v>
      </ns0:c>
      <ns0:c r="L849" t="n">
        <ns0:v>1</ns0:v>
      </ns0:c>
      <ns0:c r="M849" t="n">
        <ns0:v>20813</ns0:v>
      </ns0:c>
      <ns0:c r="N849" t="n">
        <ns0:v>398</ns0:v>
      </ns0:c>
      <ns0:c r="O849" t="n">
        <ns0:v>21211</ns0:v>
      </ns0:c>
      <ns0:c r="P849" t="n">
        <ns0:v>3</ns0:v>
      </ns0:c>
      <ns0:c r="Q849">
        <ns0:f>IF(AND(L849=1,O849*Calculations!$B$2&lt;=Calculations!$B$10*Calculations!$B$4),1,0)</ns0:f>
        <ns0:v>1</ns0:v>
      </ns0:c>
      <ns0:c r="R849">
        <ns0:f>IF(AND(L849=1,O849*Calculations!$B$2&lt;=Calculations!$B$11*Calculations!$B$4),1,0)</ns0:f>
        <ns0:v>1</ns0:v>
      </ns0:c>
    </ns0:row>
    <ns0:row r="850">
      <ns0:c r="A850" t="inlineStr">
        <ns0:is>
          <ns0:t>case_0849</ns0:t>
        </ns0:is>
      </ns0:c>
      <ns0:c r="B850" t="inlineStr">
        <ns0:is>
          <ns0:t>function_0146</ns0:t>
        </ns0:is>
      </ns0:c>
      <ns0:c r="C850" t="inlineStr">
        <ns0:is>
          <ns0:t>run_009</ns0:t>
        </ns0:is>
      </ns0:c>
      <ns0:c r="D850" t="inlineStr">
        <ns0:is>
          <ns0:t>humantime</ns0:t>
        </ns0:is>
      </ns0:c>
      <ns0:c r="E850" t="inlineStr">
        <ns0:is>
          <ns0:t>gpt-5-nano</ns0:t>
        </ns0:is>
      </ns0:c>
      <ns0:c r="F850" t="inlineStr">
        <ns0:is>
          <ns0:t>E0433</ns0:t>
        </ns0:is>
      </ns0:c>
      <ns0:c r="G850" t="n">
        <ns0:v>1</ns0:v>
      </ns0:c>
      <ns0:c r="H850" t="n">
        <ns0:v>0</ns0:v>
      </ns0:c>
      <ns0:c r="I850" t="n">
        <ns0:v>0</ns0:v>
      </ns0:c>
      <ns0:c r="J850" t="n">
        <ns0:v>0</ns0:v>
      </ns0:c>
      <ns0:c r="K850" t="n">
        <ns0:v>0</ns0:v>
      </ns0:c>
      <ns0:c r="L850" t="n">
        <ns0:v>1</ns0:v>
      </ns0:c>
      <ns0:c r="M850" t="n">
        <ns0:v>27563</ns0:v>
      </ns0:c>
      <ns0:c r="N850" t="n">
        <ns0:v>539</ns0:v>
      </ns0:c>
      <ns0:c r="O850" t="n">
        <ns0:v>28102</ns0:v>
      </ns0:c>
      <ns0:c r="P850" t="n">
        <ns0:v>4</ns0:v>
      </ns0:c>
      <ns0:c r="Q850">
        <ns0:f>IF(AND(L850=1,O850*Calculations!$B$2&lt;=Calculations!$B$10*Calculations!$B$4),1,0)</ns0:f>
        <ns0:v>0</ns0:v>
      </ns0:c>
      <ns0:c r="R850">
        <ns0:f>IF(AND(L850=1,O850*Calculations!$B$2&lt;=Calculations!$B$11*Calculations!$B$4),1,0)</ns0:f>
        <ns0:v>1</ns0:v>
      </ns0:c>
    </ns0:row>
    <ns0:row r="851">
      <ns0:c r="A851" t="inlineStr">
        <ns0:is>
          <ns0:t>case_0850</ns0:t>
        </ns0:is>
      </ns0:c>
      <ns0:c r="B851" t="inlineStr">
        <ns0:is>
          <ns0:t>function_0146</ns0:t>
        </ns0:is>
      </ns0:c>
      <ns0:c r="C851" t="inlineStr">
        <ns0:is>
          <ns0:t>run_009</ns0:t>
        </ns0:is>
      </ns0:c>
      <ns0:c r="D851" t="inlineStr">
        <ns0:is>
          <ns0:t>humantime</ns0:t>
        </ns0:is>
      </ns0:c>
      <ns0:c r="E851" t="inlineStr">
        <ns0:is>
          <ns0:t>gpt-5-nano</ns0:t>
        </ns0:is>
      </ns0:c>
      <ns0:c r="F851" t="inlineStr">
        <ns0:is>
          <ns0:t>E0433</ns0:t>
        </ns0:is>
      </ns0:c>
      <ns0:c r="G851" t="n">
        <ns0:v>1</ns0:v>
      </ns0:c>
      <ns0:c r="H851" t="n">
        <ns0:v>0</ns0:v>
      </ns0:c>
      <ns0:c r="I851" t="n">
        <ns0:v>0</ns0:v>
      </ns0:c>
      <ns0:c r="J851" t="n">
        <ns0:v>0</ns0:v>
      </ns0:c>
      <ns0:c r="K851" t="n">
        <ns0:v>0</ns0:v>
      </ns0:c>
      <ns0:c r="L851" t="n">
        <ns0:v>1</ns0:v>
      </ns0:c>
      <ns0:c r="M851" t="n">
        <ns0:v>20033</ns0:v>
      </ns0:c>
      <ns0:c r="N851" t="n">
        <ns0:v>348</ns0:v>
      </ns0:c>
      <ns0:c r="O851" t="n">
        <ns0:v>20381</ns0:v>
      </ns0:c>
      <ns0:c r="P851" t="n">
        <ns0:v>3</ns0:v>
      </ns0:c>
      <ns0:c r="Q851">
        <ns0:f>IF(AND(L851=1,O851*Calculations!$B$2&lt;=Calculations!$B$10*Calculations!$B$4),1,0)</ns0:f>
        <ns0:v>1</ns0:v>
      </ns0:c>
      <ns0:c r="R851">
        <ns0:f>IF(AND(L851=1,O851*Calculations!$B$2&lt;=Calculations!$B$11*Calculations!$B$4),1,0)</ns0:f>
        <ns0:v>1</ns0:v>
      </ns0:c>
    </ns0:row>
    <ns0:row r="852">
      <ns0:c r="A852" t="inlineStr">
        <ns0:is>
          <ns0:t>case_0851</ns0:t>
        </ns0:is>
      </ns0:c>
      <ns0:c r="B852" t="inlineStr">
        <ns0:is>
          <ns0:t>function_0146</ns0:t>
        </ns0:is>
      </ns0:c>
      <ns0:c r="C852" t="inlineStr">
        <ns0:is>
          <ns0:t>run_009</ns0:t>
        </ns0:is>
      </ns0:c>
      <ns0:c r="D852" t="inlineStr">
        <ns0:is>
          <ns0:t>humantime</ns0:t>
        </ns0:is>
      </ns0:c>
      <ns0:c r="E852" t="inlineStr">
        <ns0:is>
          <ns0:t>gpt-5-nano</ns0:t>
        </ns0:is>
      </ns0:c>
      <ns0:c r="F852" t="inlineStr">
        <ns0:is>
          <ns0:t>E0433</ns0:t>
        </ns0:is>
      </ns0:c>
      <ns0:c r="G852" t="n">
        <ns0:v>1</ns0:v>
      </ns0:c>
      <ns0:c r="H852" t="n">
        <ns0:v>0</ns0:v>
      </ns0:c>
      <ns0:c r="I852" t="n">
        <ns0:v>0</ns0:v>
      </ns0:c>
      <ns0:c r="J852" t="n">
        <ns0:v>0</ns0:v>
      </ns0:c>
      <ns0:c r="K852" t="n">
        <ns0:v>0</ns0:v>
      </ns0:c>
      <ns0:c r="L852" t="n">
        <ns0:v>1</ns0:v>
      </ns0:c>
      <ns0:c r="M852" t="n">
        <ns0:v>20038</ns0:v>
      </ns0:c>
      <ns0:c r="N852" t="n">
        <ns0:v>169</ns0:v>
      </ns0:c>
      <ns0:c r="O852" t="n">
        <ns0:v>20207</ns0:v>
      </ns0:c>
      <ns0:c r="P852" t="n">
        <ns0:v>3</ns0:v>
      </ns0:c>
      <ns0:c r="Q852">
        <ns0:f>IF(AND(L852=1,O852*Calculations!$B$2&lt;=Calculations!$B$10*Calculations!$B$4),1,0)</ns0:f>
        <ns0:v>1</ns0:v>
      </ns0:c>
      <ns0:c r="R852">
        <ns0:f>IF(AND(L852=1,O852*Calculations!$B$2&lt;=Calculations!$B$11*Calculations!$B$4),1,0)</ns0:f>
        <ns0:v>1</ns0:v>
      </ns0:c>
    </ns0:row>
    <ns0:row r="853">
      <ns0:c r="A853" t="inlineStr">
        <ns0:is>
          <ns0:t>case_0852</ns0:t>
        </ns0:is>
      </ns0:c>
      <ns0:c r="B853" t="inlineStr">
        <ns0:is>
          <ns0:t>function_0146</ns0:t>
        </ns0:is>
      </ns0:c>
      <ns0:c r="C853" t="inlineStr">
        <ns0:is>
          <ns0:t>run_009</ns0:t>
        </ns0:is>
      </ns0:c>
      <ns0:c r="D853" t="inlineStr">
        <ns0:is>
          <ns0:t>humantime</ns0:t>
        </ns0:is>
      </ns0:c>
      <ns0:c r="E853" t="inlineStr">
        <ns0:is>
          <ns0:t>gpt-5-nano</ns0:t>
        </ns0:is>
      </ns0:c>
      <ns0:c r="F853" t="inlineStr">
        <ns0:is>
          <ns0:t>E0433</ns0:t>
        </ns0:is>
      </ns0:c>
      <ns0:c r="G853" t="n">
        <ns0:v>1</ns0:v>
      </ns0:c>
      <ns0:c r="H853" t="n">
        <ns0:v>0</ns0:v>
      </ns0:c>
      <ns0:c r="I853" t="n">
        <ns0:v>0</ns0:v>
      </ns0:c>
      <ns0:c r="J853" t="n">
        <ns0:v>0</ns0:v>
      </ns0:c>
      <ns0:c r="K853" t="n">
        <ns0:v>0</ns0:v>
      </ns0:c>
      <ns0:c r="L853" t="n">
        <ns0:v>1</ns0:v>
      </ns0:c>
      <ns0:c r="M853" t="n">
        <ns0:v>20034</ns0:v>
      </ns0:c>
      <ns0:c r="N853" t="n">
        <ns0:v>379</ns0:v>
      </ns0:c>
      <ns0:c r="O853" t="n">
        <ns0:v>20413</ns0:v>
      </ns0:c>
      <ns0:c r="P853" t="n">
        <ns0:v>3</ns0:v>
      </ns0:c>
      <ns0:c r="Q853">
        <ns0:f>IF(AND(L853=1,O853*Calculations!$B$2&lt;=Calculations!$B$10*Calculations!$B$4),1,0)</ns0:f>
        <ns0:v>1</ns0:v>
      </ns0:c>
      <ns0:c r="R853">
        <ns0:f>IF(AND(L853=1,O853*Calculations!$B$2&lt;=Calculations!$B$11*Calculations!$B$4),1,0)</ns0:f>
        <ns0:v>1</ns0:v>
      </ns0:c>
    </ns0:row>
    <ns0:row r="854">
      <ns0:c r="A854" t="inlineStr">
        <ns0:is>
          <ns0:t>case_0853</ns0:t>
        </ns0:is>
      </ns0:c>
      <ns0:c r="B854" t="inlineStr">
        <ns0:is>
          <ns0:t>function_0147</ns0:t>
        </ns0:is>
      </ns0:c>
      <ns0:c r="C854" t="inlineStr">
        <ns0:is>
          <ns0:t>run_009</ns0:t>
        </ns0:is>
      </ns0:c>
      <ns0:c r="D854" t="inlineStr">
        <ns0:is>
          <ns0:t>humantime</ns0:t>
        </ns0:is>
      </ns0:c>
      <ns0:c r="E854" t="inlineStr">
        <ns0:is>
          <ns0:t>gpt-5-nano</ns0:t>
        </ns0:is>
      </ns0:c>
      <ns0:c r="F854" t="inlineStr">
        <ns0:is>
          <ns0:t>E0433</ns0:t>
        </ns0:is>
      </ns0:c>
      <ns0:c r="G854" t="n">
        <ns0:v>1</ns0:v>
      </ns0:c>
      <ns0:c r="H854" t="n">
        <ns0:v>0</ns0:v>
      </ns0:c>
      <ns0:c r="I854" t="n">
        <ns0:v>0</ns0:v>
      </ns0:c>
      <ns0:c r="J854" t="n">
        <ns0:v>0</ns0:v>
      </ns0:c>
      <ns0:c r="K854" t="n">
        <ns0:v>0</ns0:v>
      </ns0:c>
      <ns0:c r="L854" t="n">
        <ns0:v>1</ns0:v>
      </ns0:c>
      <ns0:c r="M854" t="n">
        <ns0:v>27513</ns0:v>
      </ns0:c>
      <ns0:c r="N854" t="n">
        <ns0:v>420</ns0:v>
      </ns0:c>
      <ns0:c r="O854" t="n">
        <ns0:v>27933</ns0:v>
      </ns0:c>
      <ns0:c r="P854" t="n">
        <ns0:v>4</ns0:v>
      </ns0:c>
      <ns0:c r="Q854">
        <ns0:f>IF(AND(L854=1,O854*Calculations!$B$2&lt;=Calculations!$B$10*Calculations!$B$4),1,0)</ns0:f>
        <ns0:v>0</ns0:v>
      </ns0:c>
      <ns0:c r="R854">
        <ns0:f>IF(AND(L854=1,O854*Calculations!$B$2&lt;=Calculations!$B$11*Calculations!$B$4),1,0)</ns0:f>
        <ns0:v>1</ns0:v>
      </ns0:c>
    </ns0:row>
    <ns0:row r="855">
      <ns0:c r="A855" t="inlineStr">
        <ns0:is>
          <ns0:t>case_0854</ns0:t>
        </ns0:is>
      </ns0:c>
      <ns0:c r="B855" t="inlineStr">
        <ns0:is>
          <ns0:t>function_0147</ns0:t>
        </ns0:is>
      </ns0:c>
      <ns0:c r="C855" t="inlineStr">
        <ns0:is>
          <ns0:t>run_009</ns0:t>
        </ns0:is>
      </ns0:c>
      <ns0:c r="D855" t="inlineStr">
        <ns0:is>
          <ns0:t>humantime</ns0:t>
        </ns0:is>
      </ns0:c>
      <ns0:c r="E855" t="inlineStr">
        <ns0:is>
          <ns0:t>gpt-5-nano</ns0:t>
        </ns0:is>
      </ns0:c>
      <ns0:c r="F855" t="inlineStr">
        <ns0:is>
          <ns0:t>E0433</ns0:t>
        </ns0:is>
      </ns0:c>
      <ns0:c r="G855" t="n">
        <ns0:v>1</ns0:v>
      </ns0:c>
      <ns0:c r="H855" t="n">
        <ns0:v>0</ns0:v>
      </ns0:c>
      <ns0:c r="I855" t="n">
        <ns0:v>0</ns0:v>
      </ns0:c>
      <ns0:c r="J855" t="n">
        <ns0:v>0</ns0:v>
      </ns0:c>
      <ns0:c r="K855" t="n">
        <ns0:v>0</ns0:v>
      </ns0:c>
      <ns0:c r="L855" t="n">
        <ns0:v>1</ns0:v>
      </ns0:c>
      <ns0:c r="M855" t="n">
        <ns0:v>27577</ns0:v>
      </ns0:c>
      <ns0:c r="N855" t="n">
        <ns0:v>517</ns0:v>
      </ns0:c>
      <ns0:c r="O855" t="n">
        <ns0:v>28094</ns0:v>
      </ns0:c>
      <ns0:c r="P855" t="n">
        <ns0:v>4</ns0:v>
      </ns0:c>
      <ns0:c r="Q855">
        <ns0:f>IF(AND(L855=1,O855*Calculations!$B$2&lt;=Calculations!$B$10*Calculations!$B$4),1,0)</ns0:f>
        <ns0:v>0</ns0:v>
      </ns0:c>
      <ns0:c r="R855">
        <ns0:f>IF(AND(L855=1,O855*Calculations!$B$2&lt;=Calculations!$B$11*Calculations!$B$4),1,0)</ns0:f>
        <ns0:v>1</ns0:v>
      </ns0:c>
    </ns0:row>
    <ns0:row r="856">
      <ns0:c r="A856" t="inlineStr">
        <ns0:is>
          <ns0:t>case_0855</ns0:t>
        </ns0:is>
      </ns0:c>
      <ns0:c r="B856" t="inlineStr">
        <ns0:is>
          <ns0:t>function_0147</ns0:t>
        </ns0:is>
      </ns0:c>
      <ns0:c r="C856" t="inlineStr">
        <ns0:is>
          <ns0:t>run_009</ns0:t>
        </ns0:is>
      </ns0:c>
      <ns0:c r="D856" t="inlineStr">
        <ns0:is>
          <ns0:t>humantime</ns0:t>
        </ns0:is>
      </ns0:c>
      <ns0:c r="E856" t="inlineStr">
        <ns0:is>
          <ns0:t>gpt-5-nano</ns0:t>
        </ns0:is>
      </ns0:c>
      <ns0:c r="F856" t="inlineStr">
        <ns0:is>
          <ns0:t>E0433</ns0:t>
        </ns0:is>
      </ns0:c>
      <ns0:c r="G856" t="n">
        <ns0:v>1</ns0:v>
      </ns0:c>
      <ns0:c r="H856" t="n">
        <ns0:v>0</ns0:v>
      </ns0:c>
      <ns0:c r="I856" t="n">
        <ns0:v>0</ns0:v>
      </ns0:c>
      <ns0:c r="J856" t="n">
        <ns0:v>0</ns0:v>
      </ns0:c>
      <ns0:c r="K856" t="n">
        <ns0:v>0</ns0:v>
      </ns0:c>
      <ns0:c r="L856" t="n">
        <ns0:v>1</ns0:v>
      </ns0:c>
      <ns0:c r="M856" t="n">
        <ns0:v>27531</ns0:v>
      </ns0:c>
      <ns0:c r="N856" t="n">
        <ns0:v>563</ns0:v>
      </ns0:c>
      <ns0:c r="O856" t="n">
        <ns0:v>28094</ns0:v>
      </ns0:c>
      <ns0:c r="P856" t="n">
        <ns0:v>4</ns0:v>
      </ns0:c>
      <ns0:c r="Q856">
        <ns0:f>IF(AND(L856=1,O856*Calculations!$B$2&lt;=Calculations!$B$10*Calculations!$B$4),1,0)</ns0:f>
        <ns0:v>0</ns0:v>
      </ns0:c>
      <ns0:c r="R856">
        <ns0:f>IF(AND(L856=1,O856*Calculations!$B$2&lt;=Calculations!$B$11*Calculations!$B$4),1,0)</ns0:f>
        <ns0:v>1</ns0:v>
      </ns0:c>
    </ns0:row>
    <ns0:row r="857">
      <ns0:c r="A857" t="inlineStr">
        <ns0:is>
          <ns0:t>case_0856</ns0:t>
        </ns0:is>
      </ns0:c>
      <ns0:c r="B857" t="inlineStr">
        <ns0:is>
          <ns0:t>function_0148</ns0:t>
        </ns0:is>
      </ns0:c>
      <ns0:c r="C857" t="inlineStr">
        <ns0:is>
          <ns0:t>run_009</ns0:t>
        </ns0:is>
      </ns0:c>
      <ns0:c r="D857" t="inlineStr">
        <ns0:is>
          <ns0:t>humantime</ns0:t>
        </ns0:is>
      </ns0:c>
      <ns0:c r="E857" t="inlineStr">
        <ns0:is>
          <ns0:t>gpt-5-nano</ns0:t>
        </ns0:is>
      </ns0:c>
      <ns0:c r="F857" t="inlineStr">
        <ns0:is>
          <ns0:t>E0433</ns0:t>
        </ns0:is>
      </ns0:c>
      <ns0:c r="G857" t="n">
        <ns0:v>0</ns0:v>
      </ns0:c>
      <ns0:c r="H857" t="n">
        <ns0:v>4557</ns0:v>
      </ns0:c>
      <ns0:c r="I857" t="n">
        <ns0:v>301</ns0:v>
      </ns0:c>
      <ns0:c r="J857" t="n">
        <ns0:v>4858</ns0:v>
      </ns0:c>
      <ns0:c r="K857" t="n">
        <ns0:v>3</ns0:v>
      </ns0:c>
      <ns0:c r="L857" t="n">
        <ns0:v>1</ns0:v>
      </ns0:c>
      <ns0:c r="M857" t="n">
        <ns0:v>42818</ns0:v>
      </ns0:c>
      <ns0:c r="N857" t="n">
        <ns0:v>574</ns0:v>
      </ns0:c>
      <ns0:c r="O857" t="n">
        <ns0:v>43392</ns0:v>
      </ns0:c>
      <ns0:c r="P857" t="n">
        <ns0:v>6</ns0:v>
      </ns0:c>
      <ns0:c r="Q857">
        <ns0:f>IF(AND(L857=1,O857*Calculations!$B$2&lt;=Calculations!$B$10*Calculations!$B$4),1,0)</ns0:f>
        <ns0:v>0</ns0:v>
      </ns0:c>
      <ns0:c r="R857">
        <ns0:f>IF(AND(L857=1,O857*Calculations!$B$2&lt;=Calculations!$B$11*Calculations!$B$4),1,0)</ns0:f>
        <ns0:v>1</ns0:v>
      </ns0:c>
    </ns0:row>
    <ns0:row r="858">
      <ns0:c r="A858" t="inlineStr">
        <ns0:is>
          <ns0:t>case_0857</ns0:t>
        </ns0:is>
      </ns0:c>
      <ns0:c r="B858" t="inlineStr">
        <ns0:is>
          <ns0:t>function_0148</ns0:t>
        </ns0:is>
      </ns0:c>
      <ns0:c r="C858" t="inlineStr">
        <ns0:is>
          <ns0:t>run_009</ns0:t>
        </ns0:is>
      </ns0:c>
      <ns0:c r="D858" t="inlineStr">
        <ns0:is>
          <ns0:t>humantime</ns0:t>
        </ns0:is>
      </ns0:c>
      <ns0:c r="E858" t="inlineStr">
        <ns0:is>
          <ns0:t>gpt-5-nano</ns0:t>
        </ns0:is>
      </ns0:c>
      <ns0:c r="F858" t="inlineStr">
        <ns0:is>
          <ns0:t>E0433</ns0:t>
        </ns0:is>
      </ns0:c>
      <ns0:c r="G858" t="n">
        <ns0:v>0</ns0:v>
      </ns0:c>
      <ns0:c r="H858" t="n">
        <ns0:v>4344</ns0:v>
      </ns0:c>
      <ns0:c r="I858" t="n">
        <ns0:v>253</ns0:v>
      </ns0:c>
      <ns0:c r="J858" t="n">
        <ns0:v>4597</ns0:v>
      </ns0:c>
      <ns0:c r="K858" t="n">
        <ns0:v>3</ns0:v>
      </ns0:c>
      <ns0:c r="L858" t="n">
        <ns0:v>1</ns0:v>
      </ns0:c>
      <ns0:c r="M858" t="n">
        <ns0:v>50354</ns0:v>
      </ns0:c>
      <ns0:c r="N858" t="n">
        <ns0:v>510</ns0:v>
      </ns0:c>
      <ns0:c r="O858" t="n">
        <ns0:v>50864</ns0:v>
      </ns0:c>
      <ns0:c r="P858" t="n">
        <ns0:v>7</ns0:v>
      </ns0:c>
      <ns0:c r="Q858">
        <ns0:f>IF(AND(L858=1,O858*Calculations!$B$2&lt;=Calculations!$B$10*Calculations!$B$4),1,0)</ns0:f>
        <ns0:v>0</ns0:v>
      </ns0:c>
      <ns0:c r="R858">
        <ns0:f>IF(AND(L858=1,O858*Calculations!$B$2&lt;=Calculations!$B$11*Calculations!$B$4),1,0)</ns0:f>
        <ns0:v>0</ns0:v>
      </ns0:c>
    </ns0:row>
    <ns0:row r="859">
      <ns0:c r="A859" t="inlineStr">
        <ns0:is>
          <ns0:t>case_0858</ns0:t>
        </ns0:is>
      </ns0:c>
      <ns0:c r="B859" t="inlineStr">
        <ns0:is>
          <ns0:t>function_0148</ns0:t>
        </ns0:is>
      </ns0:c>
      <ns0:c r="C859" t="inlineStr">
        <ns0:is>
          <ns0:t>run_009</ns0:t>
        </ns0:is>
      </ns0:c>
      <ns0:c r="D859" t="inlineStr">
        <ns0:is>
          <ns0:t>humantime</ns0:t>
        </ns0:is>
      </ns0:c>
      <ns0:c r="E859" t="inlineStr">
        <ns0:is>
          <ns0:t>gpt-5-nano</ns0:t>
        </ns0:is>
      </ns0:c>
      <ns0:c r="F859" t="inlineStr">
        <ns0:is>
          <ns0:t>E0433</ns0:t>
        </ns0:is>
      </ns0:c>
      <ns0:c r="G859" t="n">
        <ns0:v>0</ns0:v>
      </ns0:c>
      <ns0:c r="H859" t="n">
        <ns0:v>4135</ns0:v>
      </ns0:c>
      <ns0:c r="I859" t="n">
        <ns0:v>195</ns0:v>
      </ns0:c>
      <ns0:c r="J859" t="n">
        <ns0:v>4330</ns0:v>
      </ns0:c>
      <ns0:c r="K859" t="n">
        <ns0:v>3</ns0:v>
      </ns0:c>
      <ns0:c r="L859" t="n">
        <ns0:v>1</ns0:v>
      </ns0:c>
      <ns0:c r="M859" t="n">
        <ns0:v>51047</ns0:v>
      </ns0:c>
      <ns0:c r="N859" t="n">
        <ns0:v>728</ns0:v>
      </ns0:c>
      <ns0:c r="O859" t="n">
        <ns0:v>51775</ns0:v>
      </ns0:c>
      <ns0:c r="P859" t="n">
        <ns0:v>7</ns0:v>
      </ns0:c>
      <ns0:c r="Q859">
        <ns0:f>IF(AND(L859=1,O859*Calculations!$B$2&lt;=Calculations!$B$10*Calculations!$B$4),1,0)</ns0:f>
        <ns0:v>0</ns0:v>
      </ns0:c>
      <ns0:c r="R859">
        <ns0:f>IF(AND(L859=1,O859*Calculations!$B$2&lt;=Calculations!$B$11*Calculations!$B$4),1,0)</ns0:f>
        <ns0:v>0</ns0:v>
      </ns0:c>
    </ns0:row>
    <ns0:row r="860">
      <ns0:c r="A860" t="inlineStr">
        <ns0:is>
          <ns0:t>case_0859</ns0:t>
        </ns0:is>
      </ns0:c>
      <ns0:c r="B860" t="inlineStr">
        <ns0:is>
          <ns0:t>function_0148</ns0:t>
        </ns0:is>
      </ns0:c>
      <ns0:c r="C860" t="inlineStr">
        <ns0:is>
          <ns0:t>run_009</ns0:t>
        </ns0:is>
      </ns0:c>
      <ns0:c r="D860" t="inlineStr">
        <ns0:is>
          <ns0:t>humantime</ns0:t>
        </ns0:is>
      </ns0:c>
      <ns0:c r="E860" t="inlineStr">
        <ns0:is>
          <ns0:t>gpt-5-nano</ns0:t>
        </ns0:is>
      </ns0:c>
      <ns0:c r="F860" t="inlineStr">
        <ns0:is>
          <ns0:t>E0283,E0433</ns0:t>
        </ns0:is>
      </ns0:c>
      <ns0:c r="G860" t="n">
        <ns0:v>0</ns0:v>
      </ns0:c>
      <ns0:c r="H860" t="n">
        <ns0:v>2087</ns0:v>
      </ns0:c>
      <ns0:c r="I860" t="n">
        <ns0:v>172</ns0:v>
      </ns0:c>
      <ns0:c r="J860" t="n">
        <ns0:v>2259</ns0:v>
      </ns0:c>
      <ns0:c r="K860" t="n">
        <ns0:v>3</ns0:v>
      </ns0:c>
      <ns0:c r="L860" t="n">
        <ns0:v>1</ns0:v>
      </ns0:c>
      <ns0:c r="M860" t="n">
        <ns0:v>35679</ns0:v>
      </ns0:c>
      <ns0:c r="N860" t="n">
        <ns0:v>462</ns0:v>
      </ns0:c>
      <ns0:c r="O860" t="n">
        <ns0:v>36141</ns0:v>
      </ns0:c>
      <ns0:c r="P860" t="n">
        <ns0:v>5</ns0:v>
      </ns0:c>
      <ns0:c r="Q860">
        <ns0:f>IF(AND(L860=1,O860*Calculations!$B$2&lt;=Calculations!$B$10*Calculations!$B$4),1,0)</ns0:f>
        <ns0:v>0</ns0:v>
      </ns0:c>
      <ns0:c r="R860">
        <ns0:f>IF(AND(L860=1,O860*Calculations!$B$2&lt;=Calculations!$B$11*Calculations!$B$4),1,0)</ns0:f>
        <ns0:v>1</ns0:v>
      </ns0:c>
    </ns0:row>
    <ns0:row r="861">
      <ns0:c r="A861" t="inlineStr">
        <ns0:is>
          <ns0:t>case_0860</ns0:t>
        </ns0:is>
      </ns0:c>
      <ns0:c r="B861" t="inlineStr">
        <ns0:is>
          <ns0:t>function_0148</ns0:t>
        </ns0:is>
      </ns0:c>
      <ns0:c r="C861" t="inlineStr">
        <ns0:is>
          <ns0:t>run_009</ns0:t>
        </ns0:is>
      </ns0:c>
      <ns0:c r="D861" t="inlineStr">
        <ns0:is>
          <ns0:t>humantime</ns0:t>
        </ns0:is>
      </ns0:c>
      <ns0:c r="E861" t="inlineStr">
        <ns0:is>
          <ns0:t>gpt-5-nano</ns0:t>
        </ns0:is>
      </ns0:c>
      <ns0:c r="F861" t="inlineStr">
        <ns0:is>
          <ns0:t>E0283,E0433</ns0:t>
        </ns0:is>
      </ns0:c>
      <ns0:c r="G861" t="n">
        <ns0:v>0</ns0:v>
      </ns0:c>
      <ns0:c r="H861" t="n">
        <ns0:v>2107</ns0:v>
      </ns0:c>
      <ns0:c r="I861" t="n">
        <ns0:v>160</ns0:v>
      </ns0:c>
      <ns0:c r="J861" t="n">
        <ns0:v>2267</ns0:v>
      </ns0:c>
      <ns0:c r="K861" t="n">
        <ns0:v>3</ns0:v>
      </ns0:c>
      <ns0:c r="L861" t="n">
        <ns0:v>1</ns0:v>
      </ns0:c>
      <ns0:c r="M861" t="n">
        <ns0:v>27637</ns0:v>
      </ns0:c>
      <ns0:c r="N861" t="n">
        <ns0:v>981</ns0:v>
      </ns0:c>
      <ns0:c r="O861" t="n">
        <ns0:v>28618</ns0:v>
      </ns0:c>
      <ns0:c r="P861" t="n">
        <ns0:v>4</ns0:v>
      </ns0:c>
      <ns0:c r="Q861">
        <ns0:f>IF(AND(L861=1,O861*Calculations!$B$2&lt;=Calculations!$B$10*Calculations!$B$4),1,0)</ns0:f>
        <ns0:v>0</ns0:v>
      </ns0:c>
      <ns0:c r="R861">
        <ns0:f>IF(AND(L861=1,O861*Calculations!$B$2&lt;=Calculations!$B$11*Calculations!$B$4),1,0)</ns0:f>
        <ns0:v>1</ns0:v>
      </ns0:c>
    </ns0:row>
    <ns0:row r="862">
      <ns0:c r="A862" t="inlineStr">
        <ns0:is>
          <ns0:t>case_0861</ns0:t>
        </ns0:is>
      </ns0:c>
      <ns0:c r="B862" t="inlineStr">
        <ns0:is>
          <ns0:t>function_0148</ns0:t>
        </ns0:is>
      </ns0:c>
      <ns0:c r="C862" t="inlineStr">
        <ns0:is>
          <ns0:t>run_009</ns0:t>
        </ns0:is>
      </ns0:c>
      <ns0:c r="D862" t="inlineStr">
        <ns0:is>
          <ns0:t>humantime</ns0:t>
        </ns0:is>
      </ns0:c>
      <ns0:c r="E862" t="inlineStr">
        <ns0:is>
          <ns0:t>gpt-5-nano</ns0:t>
        </ns0:is>
      </ns0:c>
      <ns0:c r="F862" t="inlineStr">
        <ns0:is>
          <ns0:t>E0433</ns0:t>
        </ns0:is>
      </ns0:c>
      <ns0:c r="G862" t="n">
        <ns0:v>1</ns0:v>
      </ns0:c>
      <ns0:c r="H862" t="n">
        <ns0:v>0</ns0:v>
      </ns0:c>
      <ns0:c r="I862" t="n">
        <ns0:v>0</ns0:v>
      </ns0:c>
      <ns0:c r="J862" t="n">
        <ns0:v>0</ns0:v>
      </ns0:c>
      <ns0:c r="K862" t="n">
        <ns0:v>0</ns0:v>
      </ns0:c>
      <ns0:c r="L862" t="n">
        <ns0:v>1</ns0:v>
      </ns0:c>
      <ns0:c r="M862" t="n">
        <ns0:v>20055</ns0:v>
      </ns0:c>
      <ns0:c r="N862" t="n">
        <ns0:v>273</ns0:v>
      </ns0:c>
      <ns0:c r="O862" t="n">
        <ns0:v>20328</ns0:v>
      </ns0:c>
      <ns0:c r="P862" t="n">
        <ns0:v>3</ns0:v>
      </ns0:c>
      <ns0:c r="Q862">
        <ns0:f>IF(AND(L862=1,O862*Calculations!$B$2&lt;=Calculations!$B$10*Calculations!$B$4),1,0)</ns0:f>
        <ns0:v>1</ns0:v>
      </ns0:c>
      <ns0:c r="R862">
        <ns0:f>IF(AND(L862=1,O862*Calculations!$B$2&lt;=Calculations!$B$11*Calculations!$B$4),1,0)</ns0:f>
        <ns0:v>1</ns0:v>
      </ns0:c>
    </ns0:row>
    <ns0:row r="863">
      <ns0:c r="A863" t="inlineStr">
        <ns0:is>
          <ns0:t>case_0862</ns0:t>
        </ns0:is>
      </ns0:c>
      <ns0:c r="B863" t="inlineStr">
        <ns0:is>
          <ns0:t>function_0149</ns0:t>
        </ns0:is>
      </ns0:c>
      <ns0:c r="C863" t="inlineStr">
        <ns0:is>
          <ns0:t>run_009</ns0:t>
        </ns0:is>
      </ns0:c>
      <ns0:c r="D863" t="inlineStr">
        <ns0:is>
          <ns0:t>humantime</ns0:t>
        </ns0:is>
      </ns0:c>
      <ns0:c r="E863" t="inlineStr">
        <ns0:is>
          <ns0:t>gpt-5-nano</ns0:t>
        </ns0:is>
      </ns0:c>
      <ns0:c r="F863" t="inlineStr">
        <ns0:is>
          <ns0:t>E0433</ns0:t>
        </ns0:is>
      </ns0:c>
      <ns0:c r="G863" t="n">
        <ns0:v>1</ns0:v>
      </ns0:c>
      <ns0:c r="H863" t="n">
        <ns0:v>0</ns0:v>
      </ns0:c>
      <ns0:c r="I863" t="n">
        <ns0:v>0</ns0:v>
      </ns0:c>
      <ns0:c r="J863" t="n">
        <ns0:v>0</ns0:v>
      </ns0:c>
      <ns0:c r="K863" t="n">
        <ns0:v>0</ns0:v>
      </ns0:c>
      <ns0:c r="L863" t="n">
        <ns0:v>1</ns0:v>
      </ns0:c>
      <ns0:c r="M863" t="n">
        <ns0:v>20737</ns0:v>
      </ns0:c>
      <ns0:c r="N863" t="n">
        <ns0:v>462</ns0:v>
      </ns0:c>
      <ns0:c r="O863" t="n">
        <ns0:v>21199</ns0:v>
      </ns0:c>
      <ns0:c r="P863" t="n">
        <ns0:v>3</ns0:v>
      </ns0:c>
      <ns0:c r="Q863">
        <ns0:f>IF(AND(L863=1,O863*Calculations!$B$2&lt;=Calculations!$B$10*Calculations!$B$4),1,0)</ns0:f>
        <ns0:v>1</ns0:v>
      </ns0:c>
      <ns0:c r="R863">
        <ns0:f>IF(AND(L863=1,O863*Calculations!$B$2&lt;=Calculations!$B$11*Calculations!$B$4),1,0)</ns0:f>
        <ns0:v>1</ns0:v>
      </ns0:c>
    </ns0:row>
    <ns0:row r="864">
      <ns0:c r="A864" t="inlineStr">
        <ns0:is>
          <ns0:t>case_0863</ns0:t>
        </ns0:is>
      </ns0:c>
      <ns0:c r="B864" t="inlineStr">
        <ns0:is>
          <ns0:t>function_0149</ns0:t>
        </ns0:is>
      </ns0:c>
      <ns0:c r="C864" t="inlineStr">
        <ns0:is>
          <ns0:t>run_009</ns0:t>
        </ns0:is>
      </ns0:c>
      <ns0:c r="D864" t="inlineStr">
        <ns0:is>
          <ns0:t>humantime</ns0:t>
        </ns0:is>
      </ns0:c>
      <ns0:c r="E864" t="inlineStr">
        <ns0:is>
          <ns0:t>gpt-5-nano</ns0:t>
        </ns0:is>
      </ns0:c>
      <ns0:c r="F864" t="inlineStr">
        <ns0:is>
          <ns0:t>E0433</ns0:t>
        </ns0:is>
      </ns0:c>
      <ns0:c r="G864" t="n">
        <ns0:v>1</ns0:v>
      </ns0:c>
      <ns0:c r="H864" t="n">
        <ns0:v>0</ns0:v>
      </ns0:c>
      <ns0:c r="I864" t="n">
        <ns0:v>0</ns0:v>
      </ns0:c>
      <ns0:c r="J864" t="n">
        <ns0:v>0</ns0:v>
      </ns0:c>
      <ns0:c r="K864" t="n">
        <ns0:v>0</ns0:v>
      </ns0:c>
      <ns0:c r="L864" t="n">
        <ns0:v>1</ns0:v>
      </ns0:c>
      <ns0:c r="M864" t="n">
        <ns0:v>36108</ns0:v>
      </ns0:c>
      <ns0:c r="N864" t="n">
        <ns0:v>562</ns0:v>
      </ns0:c>
      <ns0:c r="O864" t="n">
        <ns0:v>36670</ns0:v>
      </ns0:c>
      <ns0:c r="P864" t="n">
        <ns0:v>5</ns0:v>
      </ns0:c>
      <ns0:c r="Q864">
        <ns0:f>IF(AND(L864=1,O864*Calculations!$B$2&lt;=Calculations!$B$10*Calculations!$B$4),1,0)</ns0:f>
        <ns0:v>0</ns0:v>
      </ns0:c>
      <ns0:c r="R864">
        <ns0:f>IF(AND(L864=1,O864*Calculations!$B$2&lt;=Calculations!$B$11*Calculations!$B$4),1,0)</ns0:f>
        <ns0:v>1</ns0:v>
      </ns0:c>
    </ns0:row>
    <ns0:row r="865">
      <ns0:c r="A865" t="inlineStr">
        <ns0:is>
          <ns0:t>case_0864</ns0:t>
        </ns0:is>
      </ns0:c>
      <ns0:c r="B865" t="inlineStr">
        <ns0:is>
          <ns0:t>function_0149</ns0:t>
        </ns0:is>
      </ns0:c>
      <ns0:c r="C865" t="inlineStr">
        <ns0:is>
          <ns0:t>run_009</ns0:t>
        </ns0:is>
      </ns0:c>
      <ns0:c r="D865" t="inlineStr">
        <ns0:is>
          <ns0:t>humantime</ns0:t>
        </ns0:is>
      </ns0:c>
      <ns0:c r="E865" t="inlineStr">
        <ns0:is>
          <ns0:t>gpt-5-nano</ns0:t>
        </ns0:is>
      </ns0:c>
      <ns0:c r="F865" t="inlineStr">
        <ns0:is>
          <ns0:t>E0433</ns0:t>
        </ns0:is>
      </ns0:c>
      <ns0:c r="G865" t="n">
        <ns0:v>1</ns0:v>
      </ns0:c>
      <ns0:c r="H865" t="n">
        <ns0:v>1532</ns0:v>
      </ns0:c>
      <ns0:c r="I865" t="n">
        <ns0:v>57</ns0:v>
      </ns0:c>
      <ns0:c r="J865" t="n">
        <ns0:v>1589</ns0:v>
      </ns0:c>
      <ns0:c r="K865" t="n">
        <ns0:v>1</ns0:v>
      </ns0:c>
      <ns0:c r="L865" t="n">
        <ns0:v>1</ns0:v>
      </ns0:c>
      <ns0:c r="M865" t="n">
        <ns0:v>36224</ns0:v>
      </ns0:c>
      <ns0:c r="N865" t="n">
        <ns0:v>476</ns0:v>
      </ns0:c>
      <ns0:c r="O865" t="n">
        <ns0:v>36700</ns0:v>
      </ns0:c>
      <ns0:c r="P865" t="n">
        <ns0:v>5</ns0:v>
      </ns0:c>
      <ns0:c r="Q865">
        <ns0:f>IF(AND(L865=1,O865*Calculations!$B$2&lt;=Calculations!$B$10*Calculations!$B$4),1,0)</ns0:f>
        <ns0:v>0</ns0:v>
      </ns0:c>
      <ns0:c r="R865">
        <ns0:f>IF(AND(L865=1,O865*Calculations!$B$2&lt;=Calculations!$B$11*Calculations!$B$4),1,0)</ns0:f>
        <ns0:v>1</ns0:v>
      </ns0:c>
    </ns0:row>
    <ns0:row r="866">
      <ns0:c r="A866" t="inlineStr">
        <ns0:is>
          <ns0:t>case_0865</ns0:t>
        </ns0:is>
      </ns0:c>
      <ns0:c r="B866" t="inlineStr">
        <ns0:is>
          <ns0:t>function_0149</ns0:t>
        </ns0:is>
      </ns0:c>
      <ns0:c r="C866" t="inlineStr">
        <ns0:is>
          <ns0:t>run_009</ns0:t>
        </ns0:is>
      </ns0:c>
      <ns0:c r="D866" t="inlineStr">
        <ns0:is>
          <ns0:t>humantime</ns0:t>
        </ns0:is>
      </ns0:c>
      <ns0:c r="E866" t="inlineStr">
        <ns0:is>
          <ns0:t>gpt-5-nano</ns0:t>
        </ns0:is>
      </ns0:c>
      <ns0:c r="F866" t="inlineStr">
        <ns0:is>
          <ns0:t>E0433</ns0:t>
        </ns0:is>
      </ns0:c>
      <ns0:c r="G866" t="n">
        <ns0:v>1</ns0:v>
      </ns0:c>
      <ns0:c r="H866" t="n">
        <ns0:v>0</ns0:v>
      </ns0:c>
      <ns0:c r="I866" t="n">
        <ns0:v>0</ns0:v>
      </ns0:c>
      <ns0:c r="J866" t="n">
        <ns0:v>0</ns0:v>
      </ns0:c>
      <ns0:c r="K866" t="n">
        <ns0:v>0</ns0:v>
      </ns0:c>
      <ns0:c r="L866" t="n">
        <ns0:v>1</ns0:v>
      </ns0:c>
      <ns0:c r="M866" t="n">
        <ns0:v>20010</ns0:v>
      </ns0:c>
      <ns0:c r="N866" t="n">
        <ns0:v>184</ns0:v>
      </ns0:c>
      <ns0:c r="O866" t="n">
        <ns0:v>20194</ns0:v>
      </ns0:c>
      <ns0:c r="P866" t="n">
        <ns0:v>3</ns0:v>
      </ns0:c>
      <ns0:c r="Q866">
        <ns0:f>IF(AND(L866=1,O866*Calculations!$B$2&lt;=Calculations!$B$10*Calculations!$B$4),1,0)</ns0:f>
        <ns0:v>1</ns0:v>
      </ns0:c>
      <ns0:c r="R866">
        <ns0:f>IF(AND(L866=1,O866*Calculations!$B$2&lt;=Calculations!$B$11*Calculations!$B$4),1,0)</ns0:f>
        <ns0:v>1</ns0:v>
      </ns0:c>
    </ns0:row>
    <ns0:row r="867">
      <ns0:c r="A867" t="inlineStr">
        <ns0:is>
          <ns0:t>case_0866</ns0:t>
        </ns0:is>
      </ns0:c>
      <ns0:c r="B867" t="inlineStr">
        <ns0:is>
          <ns0:t>function_0149</ns0:t>
        </ns0:is>
      </ns0:c>
      <ns0:c r="C867" t="inlineStr">
        <ns0:is>
          <ns0:t>run_009</ns0:t>
        </ns0:is>
      </ns0:c>
      <ns0:c r="D867" t="inlineStr">
        <ns0:is>
          <ns0:t>humantime</ns0:t>
        </ns0:is>
      </ns0:c>
      <ns0:c r="E867" t="inlineStr">
        <ns0:is>
          <ns0:t>gpt-5-nano</ns0:t>
        </ns0:is>
      </ns0:c>
      <ns0:c r="F867" t="inlineStr">
        <ns0:is>
          <ns0:t>E0433</ns0:t>
        </ns0:is>
      </ns0:c>
      <ns0:c r="G867" t="n">
        <ns0:v>1</ns0:v>
      </ns0:c>
      <ns0:c r="H867" t="n">
        <ns0:v>0</ns0:v>
      </ns0:c>
      <ns0:c r="I867" t="n">
        <ns0:v>0</ns0:v>
      </ns0:c>
      <ns0:c r="J867" t="n">
        <ns0:v>0</ns0:v>
      </ns0:c>
      <ns0:c r="K867" t="n">
        <ns0:v>0</ns0:v>
      </ns0:c>
      <ns0:c r="L867" t="n">
        <ns0:v>1</ns0:v>
      </ns0:c>
      <ns0:c r="M867" t="n">
        <ns0:v>20020</ns0:v>
      </ns0:c>
      <ns0:c r="N867" t="n">
        <ns0:v>349</ns0:v>
      </ns0:c>
      <ns0:c r="O867" t="n">
        <ns0:v>20369</ns0:v>
      </ns0:c>
      <ns0:c r="P867" t="n">
        <ns0:v>3</ns0:v>
      </ns0:c>
      <ns0:c r="Q867">
        <ns0:f>IF(AND(L867=1,O867*Calculations!$B$2&lt;=Calculations!$B$10*Calculations!$B$4),1,0)</ns0:f>
        <ns0:v>1</ns0:v>
      </ns0:c>
      <ns0:c r="R867">
        <ns0:f>IF(AND(L867=1,O867*Calculations!$B$2&lt;=Calculations!$B$11*Calculations!$B$4),1,0)</ns0:f>
        <ns0:v>1</ns0:v>
      </ns0:c>
    </ns0:row>
    <ns0:row r="868">
      <ns0:c r="A868" t="inlineStr">
        <ns0:is>
          <ns0:t>case_0867</ns0:t>
        </ns0:is>
      </ns0:c>
      <ns0:c r="B868" t="inlineStr">
        <ns0:is>
          <ns0:t>function_0149</ns0:t>
        </ns0:is>
      </ns0:c>
      <ns0:c r="C868" t="inlineStr">
        <ns0:is>
          <ns0:t>run_009</ns0:t>
        </ns0:is>
      </ns0:c>
      <ns0:c r="D868" t="inlineStr">
        <ns0:is>
          <ns0:t>humantime</ns0:t>
        </ns0:is>
      </ns0:c>
      <ns0:c r="E868" t="inlineStr">
        <ns0:is>
          <ns0:t>gpt-5-nano</ns0:t>
        </ns0:is>
      </ns0:c>
      <ns0:c r="F868" t="inlineStr">
        <ns0:is>
          <ns0:t>E0433</ns0:t>
        </ns0:is>
      </ns0:c>
      <ns0:c r="G868" t="n">
        <ns0:v>1</ns0:v>
      </ns0:c>
      <ns0:c r="H868" t="n">
        <ns0:v>0</ns0:v>
      </ns0:c>
      <ns0:c r="I868" t="n">
        <ns0:v>0</ns0:v>
      </ns0:c>
      <ns0:c r="J868" t="n">
        <ns0:v>0</ns0:v>
      </ns0:c>
      <ns0:c r="K868" t="n">
        <ns0:v>0</ns0:v>
      </ns0:c>
      <ns0:c r="L868" t="n">
        <ns0:v>1</ns0:v>
      </ns0:c>
      <ns0:c r="M868" t="n">
        <ns0:v>13153</ns0:v>
      </ns0:c>
      <ns0:c r="N868" t="n">
        <ns0:v>211</ns0:v>
      </ns0:c>
      <ns0:c r="O868" t="n">
        <ns0:v>13364</ns0:v>
      </ns0:c>
      <ns0:c r="P868" t="n">
        <ns0:v>2</ns0:v>
      </ns0:c>
      <ns0:c r="Q868">
        <ns0:f>IF(AND(L868=1,O868*Calculations!$B$2&lt;=Calculations!$B$10*Calculations!$B$4),1,0)</ns0:f>
        <ns0:v>1</ns0:v>
      </ns0:c>
      <ns0:c r="R868">
        <ns0:f>IF(AND(L868=1,O868*Calculations!$B$2&lt;=Calculations!$B$11*Calculations!$B$4),1,0)</ns0:f>
        <ns0:v>1</ns0:v>
      </ns0:c>
    </ns0:row>
    <ns0:row r="869">
      <ns0:c r="A869" t="inlineStr">
        <ns0:is>
          <ns0:t>case_0868</ns0:t>
        </ns0:is>
      </ns0:c>
      <ns0:c r="B869" t="inlineStr">
        <ns0:is>
          <ns0:t>function_0150</ns0:t>
        </ns0:is>
      </ns0:c>
      <ns0:c r="C869" t="inlineStr">
        <ns0:is>
          <ns0:t>run_009</ns0:t>
        </ns0:is>
      </ns0:c>
      <ns0:c r="D869" t="inlineStr">
        <ns0:is>
          <ns0:t>humantime</ns0:t>
        </ns0:is>
      </ns0:c>
      <ns0:c r="E869" t="inlineStr">
        <ns0:is>
          <ns0:t>gpt-5-nano</ns0:t>
        </ns0:is>
      </ns0:c>
      <ns0:c r="F869" t="inlineStr">
        <ns0:is>
          <ns0:t>E0433</ns0:t>
        </ns0:is>
      </ns0:c>
      <ns0:c r="G869" t="n">
        <ns0:v>1</ns0:v>
      </ns0:c>
      <ns0:c r="H869" t="n">
        <ns0:v>0</ns0:v>
      </ns0:c>
      <ns0:c r="I869" t="n">
        <ns0:v>0</ns0:v>
      </ns0:c>
      <ns0:c r="J869" t="n">
        <ns0:v>0</ns0:v>
      </ns0:c>
      <ns0:c r="K869" t="n">
        <ns0:v>0</ns0:v>
      </ns0:c>
      <ns0:c r="L869" t="n">
        <ns0:v>1</ns0:v>
      </ns0:c>
      <ns0:c r="M869" t="n">
        <ns0:v>27521</ns0:v>
      </ns0:c>
      <ns0:c r="N869" t="n">
        <ns0:v>427</ns0:v>
      </ns0:c>
      <ns0:c r="O869" t="n">
        <ns0:v>27948</ns0:v>
      </ns0:c>
      <ns0:c r="P869" t="n">
        <ns0:v>4</ns0:v>
      </ns0:c>
      <ns0:c r="Q869">
        <ns0:f>IF(AND(L869=1,O869*Calculations!$B$2&lt;=Calculations!$B$10*Calculations!$B$4),1,0)</ns0:f>
        <ns0:v>0</ns0:v>
      </ns0:c>
      <ns0:c r="R869">
        <ns0:f>IF(AND(L869=1,O869*Calculations!$B$2&lt;=Calculations!$B$11*Calculations!$B$4),1,0)</ns0:f>
        <ns0:v>1</ns0:v>
      </ns0:c>
    </ns0:row>
    <ns0:row r="870">
      <ns0:c r="A870" t="inlineStr">
        <ns0:is>
          <ns0:t>case_0869</ns0:t>
        </ns0:is>
      </ns0:c>
      <ns0:c r="B870" t="inlineStr">
        <ns0:is>
          <ns0:t>function_0150</ns0:t>
        </ns0:is>
      </ns0:c>
      <ns0:c r="C870" t="inlineStr">
        <ns0:is>
          <ns0:t>run_009</ns0:t>
        </ns0:is>
      </ns0:c>
      <ns0:c r="D870" t="inlineStr">
        <ns0:is>
          <ns0:t>humantime</ns0:t>
        </ns0:is>
      </ns0:c>
      <ns0:c r="E870" t="inlineStr">
        <ns0:is>
          <ns0:t>gpt-5-nano</ns0:t>
        </ns0:is>
      </ns0:c>
      <ns0:c r="F870" t="inlineStr">
        <ns0:is>
          <ns0:t>E0433</ns0:t>
        </ns0:is>
      </ns0:c>
      <ns0:c r="G870" t="n">
        <ns0:v>1</ns0:v>
      </ns0:c>
      <ns0:c r="H870" t="n">
        <ns0:v>0</ns0:v>
      </ns0:c>
      <ns0:c r="I870" t="n">
        <ns0:v>0</ns0:v>
      </ns0:c>
      <ns0:c r="J870" t="n">
        <ns0:v>0</ns0:v>
      </ns0:c>
      <ns0:c r="K870" t="n">
        <ns0:v>0</ns0:v>
      </ns0:c>
      <ns0:c r="L870" t="n">
        <ns0:v>1</ns0:v>
      </ns0:c>
      <ns0:c r="M870" t="n">
        <ns0:v>43495</ns0:v>
      </ns0:c>
      <ns0:c r="N870" t="n">
        <ns0:v>651</ns0:v>
      </ns0:c>
      <ns0:c r="O870" t="n">
        <ns0:v>44146</ns0:v>
      </ns0:c>
      <ns0:c r="P870" t="n">
        <ns0:v>5</ns0:v>
      </ns0:c>
      <ns0:c r="Q870">
        <ns0:f>IF(AND(L870=1,O870*Calculations!$B$2&lt;=Calculations!$B$10*Calculations!$B$4),1,0)</ns0:f>
        <ns0:v>0</ns0:v>
      </ns0:c>
      <ns0:c r="R870">
        <ns0:f>IF(AND(L870=1,O870*Calculations!$B$2&lt;=Calculations!$B$11*Calculations!$B$4),1,0)</ns0:f>
        <ns0:v>1</ns0:v>
      </ns0:c>
    </ns0:row>
    <ns0:row r="871">
      <ns0:c r="A871" t="inlineStr">
        <ns0:is>
          <ns0:t>case_0870</ns0:t>
        </ns0:is>
      </ns0:c>
      <ns0:c r="B871" t="inlineStr">
        <ns0:is>
          <ns0:t>function_0150</ns0:t>
        </ns0:is>
      </ns0:c>
      <ns0:c r="C871" t="inlineStr">
        <ns0:is>
          <ns0:t>run_009</ns0:t>
        </ns0:is>
      </ns0:c>
      <ns0:c r="D871" t="inlineStr">
        <ns0:is>
          <ns0:t>humantime</ns0:t>
        </ns0:is>
      </ns0:c>
      <ns0:c r="E871" t="inlineStr">
        <ns0:is>
          <ns0:t>gpt-5-nano</ns0:t>
        </ns0:is>
      </ns0:c>
      <ns0:c r="F871" t="inlineStr">
        <ns0:is>
          <ns0:t>E0433</ns0:t>
        </ns0:is>
      </ns0:c>
      <ns0:c r="G871" t="n">
        <ns0:v>1</ns0:v>
      </ns0:c>
      <ns0:c r="H871" t="n">
        <ns0:v>0</ns0:v>
      </ns0:c>
      <ns0:c r="I871" t="n">
        <ns0:v>0</ns0:v>
      </ns0:c>
      <ns0:c r="J871" t="n">
        <ns0:v>0</ns0:v>
      </ns0:c>
      <ns0:c r="K871" t="n">
        <ns0:v>0</ns0:v>
      </ns0:c>
      <ns0:c r="L871" t="n">
        <ns0:v>1</ns0:v>
      </ns0:c>
      <ns0:c r="M871" t="n">
        <ns0:v>27568</ns0:v>
      </ns0:c>
      <ns0:c r="N871" t="n">
        <ns0:v>859</ns0:v>
      </ns0:c>
      <ns0:c r="O871" t="n">
        <ns0:v>28427</ns0:v>
      </ns0:c>
      <ns0:c r="P871" t="n">
        <ns0:v>4</ns0:v>
      </ns0:c>
      <ns0:c r="Q871">
        <ns0:f>IF(AND(L871=1,O871*Calculations!$B$2&lt;=Calculations!$B$10*Calculations!$B$4),1,0)</ns0:f>
        <ns0:v>0</ns0:v>
      </ns0:c>
      <ns0:c r="R871">
        <ns0:f>IF(AND(L871=1,O871*Calculations!$B$2&lt;=Calculations!$B$11*Calculations!$B$4),1,0)</ns0:f>
        <ns0:v>1</ns0:v>
      </ns0:c>
    </ns0:row>
    <ns0:row r="872">
      <ns0:c r="A872" t="inlineStr">
        <ns0:is>
          <ns0:t>case_0871</ns0:t>
        </ns0:is>
      </ns0:c>
      <ns0:c r="B872" t="inlineStr">
        <ns0:is>
          <ns0:t>function_0151</ns0:t>
        </ns0:is>
      </ns0:c>
      <ns0:c r="C872" t="inlineStr">
        <ns0:is>
          <ns0:t>run_009</ns0:t>
        </ns0:is>
      </ns0:c>
      <ns0:c r="D872" t="inlineStr">
        <ns0:is>
          <ns0:t>humantime</ns0:t>
        </ns0:is>
      </ns0:c>
      <ns0:c r="E872" t="inlineStr">
        <ns0:is>
          <ns0:t>gpt-5-nano</ns0:t>
        </ns0:is>
      </ns0:c>
      <ns0:c r="F872" t="inlineStr">
        <ns0:is>
          <ns0:t>E0433</ns0:t>
        </ns0:is>
      </ns0:c>
      <ns0:c r="G872" t="n">
        <ns0:v>1</ns0:v>
      </ns0:c>
      <ns0:c r="H872" t="n">
        <ns0:v>1351</ns0:v>
      </ns0:c>
      <ns0:c r="I872" t="n">
        <ns0:v>78</ns0:v>
      </ns0:c>
      <ns0:c r="J872" t="n">
        <ns0:v>1429</ns0:v>
      </ns0:c>
      <ns0:c r="K872" t="n">
        <ns0:v>1</ns0:v>
      </ns0:c>
      <ns0:c r="L872" t="n">
        <ns0:v>1</ns0:v>
      </ns0:c>
      <ns0:c r="M872" t="n">
        <ns0:v>36015</ns0:v>
      </ns0:c>
      <ns0:c r="N872" t="n">
        <ns0:v>261</ns0:v>
      </ns0:c>
      <ns0:c r="O872" t="n">
        <ns0:v>36276</ns0:v>
      </ns0:c>
      <ns0:c r="P872" t="n">
        <ns0:v>5</ns0:v>
      </ns0:c>
      <ns0:c r="Q872">
        <ns0:f>IF(AND(L872=1,O872*Calculations!$B$2&lt;=Calculations!$B$10*Calculations!$B$4),1,0)</ns0:f>
        <ns0:v>0</ns0:v>
      </ns0:c>
      <ns0:c r="R872">
        <ns0:f>IF(AND(L872=1,O872*Calculations!$B$2&lt;=Calculations!$B$11*Calculations!$B$4),1,0)</ns0:f>
        <ns0:v>1</ns0:v>
      </ns0:c>
    </ns0:row>
    <ns0:row r="873">
      <ns0:c r="A873" t="inlineStr">
        <ns0:is>
          <ns0:t>case_0872</ns0:t>
        </ns0:is>
      </ns0:c>
      <ns0:c r="B873" t="inlineStr">
        <ns0:is>
          <ns0:t>function_0151</ns0:t>
        </ns0:is>
      </ns0:c>
      <ns0:c r="C873" t="inlineStr">
        <ns0:is>
          <ns0:t>run_009</ns0:t>
        </ns0:is>
      </ns0:c>
      <ns0:c r="D873" t="inlineStr">
        <ns0:is>
          <ns0:t>humantime</ns0:t>
        </ns0:is>
      </ns0:c>
      <ns0:c r="E873" t="inlineStr">
        <ns0:is>
          <ns0:t>gpt-5-nano</ns0:t>
        </ns0:is>
      </ns0:c>
      <ns0:c r="F873" t="inlineStr">
        <ns0:is>
          <ns0:t>E0433</ns0:t>
        </ns0:is>
      </ns0:c>
      <ns0:c r="G873" t="n">
        <ns0:v>1</ns0:v>
      </ns0:c>
      <ns0:c r="H873" t="n">
        <ns0:v>1139</ns0:v>
      </ns0:c>
      <ns0:c r="I873" t="n">
        <ns0:v>67</ns0:v>
      </ns0:c>
      <ns0:c r="J873" t="n">
        <ns0:v>1206</ns0:v>
      </ns0:c>
      <ns0:c r="K873" t="n">
        <ns0:v>1</ns0:v>
      </ns0:c>
      <ns0:c r="L873" t="n">
        <ns0:v>1</ns0:v>
      </ns0:c>
      <ns0:c r="M873" t="n">
        <ns0:v>61176</ns0:v>
      </ns0:c>
      <ns0:c r="N873" t="n">
        <ns0:v>707</ns0:v>
      </ns0:c>
      <ns0:c r="O873" t="n">
        <ns0:v>61883</ns0:v>
      </ns0:c>
      <ns0:c r="P873" t="n">
        <ns0:v>4</ns0:v>
      </ns0:c>
      <ns0:c r="Q873">
        <ns0:f>IF(AND(L873=1,O873*Calculations!$B$2&lt;=Calculations!$B$10*Calculations!$B$4),1,0)</ns0:f>
        <ns0:v>0</ns0:v>
      </ns0:c>
      <ns0:c r="R873">
        <ns0:f>IF(AND(L873=1,O873*Calculations!$B$2&lt;=Calculations!$B$11*Calculations!$B$4),1,0)</ns0:f>
        <ns0:v>0</ns0:v>
      </ns0:c>
    </ns0:row>
    <ns0:row r="874">
      <ns0:c r="A874" t="inlineStr">
        <ns0:is>
          <ns0:t>case_0873</ns0:t>
        </ns0:is>
      </ns0:c>
      <ns0:c r="B874" t="inlineStr">
        <ns0:is>
          <ns0:t>function_0151</ns0:t>
        </ns0:is>
      </ns0:c>
      <ns0:c r="C874" t="inlineStr">
        <ns0:is>
          <ns0:t>run_009</ns0:t>
        </ns0:is>
      </ns0:c>
      <ns0:c r="D874" t="inlineStr">
        <ns0:is>
          <ns0:t>humantime</ns0:t>
        </ns0:is>
      </ns0:c>
      <ns0:c r="E874" t="inlineStr">
        <ns0:is>
          <ns0:t>gpt-5-nano</ns0:t>
        </ns0:is>
      </ns0:c>
      <ns0:c r="F874" t="inlineStr">
        <ns0:is>
          <ns0:t>E0433</ns0:t>
        </ns0:is>
      </ns0:c>
      <ns0:c r="G874" t="n">
        <ns0:v>1</ns0:v>
      </ns0:c>
      <ns0:c r="H874" t="n">
        <ns0:v>1167</ns0:v>
      </ns0:c>
      <ns0:c r="I874" t="n">
        <ns0:v>75</ns0:v>
      </ns0:c>
      <ns0:c r="J874" t="n">
        <ns0:v>1242</ns0:v>
      </ns0:c>
      <ns0:c r="K874" t="n">
        <ns0:v>1</ns0:v>
      </ns0:c>
      <ns0:c r="L874" t="n">
        <ns0:v>1</ns0:v>
      </ns0:c>
      <ns0:c r="M874" t="n">
        <ns0:v>35216</ns0:v>
      </ns0:c>
      <ns0:c r="N874" t="n">
        <ns0:v>681</ns0:v>
      </ns0:c>
      <ns0:c r="O874" t="n">
        <ns0:v>35897</ns0:v>
      </ns0:c>
      <ns0:c r="P874" t="n">
        <ns0:v>5</ns0:v>
      </ns0:c>
      <ns0:c r="Q874">
        <ns0:f>IF(AND(L874=1,O874*Calculations!$B$2&lt;=Calculations!$B$10*Calculations!$B$4),1,0)</ns0:f>
        <ns0:v>0</ns0:v>
      </ns0:c>
      <ns0:c r="R874">
        <ns0:f>IF(AND(L874=1,O874*Calculations!$B$2&lt;=Calculations!$B$11*Calculations!$B$4),1,0)</ns0:f>
        <ns0:v>1</ns0:v>
      </ns0:c>
    </ns0:row>
    <ns0:row r="875">
      <ns0:c r="A875" t="inlineStr">
        <ns0:is>
          <ns0:t>case_0874</ns0:t>
        </ns0:is>
      </ns0:c>
      <ns0:c r="B875" t="inlineStr">
        <ns0:is>
          <ns0:t>function_0151</ns0:t>
        </ns0:is>
      </ns0:c>
      <ns0:c r="C875" t="inlineStr">
        <ns0:is>
          <ns0:t>run_009</ns0:t>
        </ns0:is>
      </ns0:c>
      <ns0:c r="D875" t="inlineStr">
        <ns0:is>
          <ns0:t>humantime</ns0:t>
        </ns0:is>
      </ns0:c>
      <ns0:c r="E875" t="inlineStr">
        <ns0:is>
          <ns0:t>gpt-5-nano</ns0:t>
        </ns0:is>
      </ns0:c>
      <ns0:c r="F875" t="inlineStr">
        <ns0:is>
          <ns0:t>E0308</ns0:t>
        </ns0:is>
      </ns0:c>
      <ns0:c r="G875" t="n">
        <ns0:v>1</ns0:v>
      </ns0:c>
      <ns0:c r="H875" t="n">
        <ns0:v>645</ns0:v>
      </ns0:c>
      <ns0:c r="I875" t="n">
        <ns0:v>84</ns0:v>
      </ns0:c>
      <ns0:c r="J875" t="n">
        <ns0:v>729</ns0:v>
      </ns0:c>
      <ns0:c r="K875" t="n">
        <ns0:v>1</ns0:v>
      </ns0:c>
      <ns0:c r="L875" t="n">
        <ns0:v>1</ns0:v>
      </ns0:c>
      <ns0:c r="M875" t="n">
        <ns0:v>27680</ns0:v>
      </ns0:c>
      <ns0:c r="N875" t="n">
        <ns0:v>293</ns0:v>
      </ns0:c>
      <ns0:c r="O875" t="n">
        <ns0:v>27973</ns0:v>
      </ns0:c>
      <ns0:c r="P875" t="n">
        <ns0:v>4</ns0:v>
      </ns0:c>
      <ns0:c r="Q875">
        <ns0:f>IF(AND(L875=1,O875*Calculations!$B$2&lt;=Calculations!$B$10*Calculations!$B$4),1,0)</ns0:f>
        <ns0:v>0</ns0:v>
      </ns0:c>
      <ns0:c r="R875">
        <ns0:f>IF(AND(L875=1,O875*Calculations!$B$2&lt;=Calculations!$B$11*Calculations!$B$4),1,0)</ns0:f>
        <ns0:v>1</ns0:v>
      </ns0:c>
    </ns0:row>
    <ns0:row r="876">
      <ns0:c r="A876" t="inlineStr">
        <ns0:is>
          <ns0:t>case_0875</ns0:t>
        </ns0:is>
      </ns0:c>
      <ns0:c r="B876" t="inlineStr">
        <ns0:is>
          <ns0:t>function_0151</ns0:t>
        </ns0:is>
      </ns0:c>
      <ns0:c r="C876" t="inlineStr">
        <ns0:is>
          <ns0:t>run_009</ns0:t>
        </ns0:is>
      </ns0:c>
      <ns0:c r="D876" t="inlineStr">
        <ns0:is>
          <ns0:t>humantime</ns0:t>
        </ns0:is>
      </ns0:c>
      <ns0:c r="E876" t="inlineStr">
        <ns0:is>
          <ns0:t>gpt-5-nano</ns0:t>
        </ns0:is>
      </ns0:c>
      <ns0:c r="F876" t="inlineStr">
        <ns0:is>
          <ns0:t>E0308</ns0:t>
        </ns0:is>
      </ns0:c>
      <ns0:c r="G876" t="n">
        <ns0:v>1</ns0:v>
      </ns0:c>
      <ns0:c r="H876" t="n">
        <ns0:v>631</ns0:v>
      </ns0:c>
      <ns0:c r="I876" t="n">
        <ns0:v>80</ns0:v>
      </ns0:c>
      <ns0:c r="J876" t="n">
        <ns0:v>711</ns0:v>
      </ns0:c>
      <ns0:c r="K876" t="n">
        <ns0:v>1</ns0:v>
      </ns0:c>
      <ns0:c r="L876" t="n">
        <ns0:v>1</ns0:v>
      </ns0:c>
      <ns0:c r="M876" t="n">
        <ns0:v>49752</ns0:v>
      </ns0:c>
      <ns0:c r="N876" t="n">
        <ns0:v>407</ns0:v>
      </ns0:c>
      <ns0:c r="O876" t="n">
        <ns0:v>50159</ns0:v>
      </ns0:c>
      <ns0:c r="P876" t="n">
        <ns0:v>4</ns0:v>
      </ns0:c>
      <ns0:c r="Q876">
        <ns0:f>IF(AND(L876=1,O876*Calculations!$B$2&lt;=Calculations!$B$10*Calculations!$B$4),1,0)</ns0:f>
        <ns0:v>0</ns0:v>
      </ns0:c>
      <ns0:c r="R876">
        <ns0:f>IF(AND(L876=1,O876*Calculations!$B$2&lt;=Calculations!$B$11*Calculations!$B$4),1,0)</ns0:f>
        <ns0:v>0</ns0:v>
      </ns0:c>
    </ns0:row>
    <ns0:row r="877">
      <ns0:c r="A877" t="inlineStr">
        <ns0:is>
          <ns0:t>case_0876</ns0:t>
        </ns0:is>
      </ns0:c>
      <ns0:c r="B877" t="inlineStr">
        <ns0:is>
          <ns0:t>function_0152</ns0:t>
        </ns0:is>
      </ns0:c>
      <ns0:c r="C877" t="inlineStr">
        <ns0:is>
          <ns0:t>run_009</ns0:t>
        </ns0:is>
      </ns0:c>
      <ns0:c r="D877" t="inlineStr">
        <ns0:is>
          <ns0:t>humantime</ns0:t>
        </ns0:is>
      </ns0:c>
      <ns0:c r="E877" t="inlineStr">
        <ns0:is>
          <ns0:t>gpt-5-nano</ns0:t>
        </ns0:is>
      </ns0:c>
      <ns0:c r="F877" t="inlineStr">
        <ns0:is>
          <ns0:t>E0433</ns0:t>
        </ns0:is>
      </ns0:c>
      <ns0:c r="G877" t="n">
        <ns0:v>0</ns0:v>
      </ns0:c>
      <ns0:c r="H877" t="n">
        <ns0:v>2576</ns0:v>
      </ns0:c>
      <ns0:c r="I877" t="n">
        <ns0:v>237</ns0:v>
      </ns0:c>
      <ns0:c r="J877" t="n">
        <ns0:v>2813</ns0:v>
      </ns0:c>
      <ns0:c r="K877" t="n">
        <ns0:v>3</ns0:v>
      </ns0:c>
      <ns0:c r="L877" t="n">
        <ns0:v>1</ns0:v>
      </ns0:c>
      <ns0:c r="M877" t="n">
        <ns0:v>175163</ns0:v>
      </ns0:c>
      <ns0:c r="N877" t="n">
        <ns0:v>1306</ns0:v>
      </ns0:c>
      <ns0:c r="O877" t="n">
        <ns0:v>176469</ns0:v>
      </ns0:c>
      <ns0:c r="P877" t="n">
        <ns0:v>10</ns0:v>
      </ns0:c>
      <ns0:c r="Q877">
        <ns0:f>IF(AND(L877=1,O877*Calculations!$B$2&lt;=Calculations!$B$10*Calculations!$B$4),1,0)</ns0:f>
        <ns0:v>0</ns0:v>
      </ns0:c>
      <ns0:c r="R877">
        <ns0:f>IF(AND(L877=1,O877*Calculations!$B$2&lt;=Calculations!$B$11*Calculations!$B$4),1,0)</ns0:f>
        <ns0:v>0</ns0:v>
      </ns0:c>
    </ns0:row>
    <ns0:row r="878">
      <ns0:c r="A878" t="inlineStr">
        <ns0:is>
          <ns0:t>case_0877</ns0:t>
        </ns0:is>
      </ns0:c>
      <ns0:c r="B878" t="inlineStr">
        <ns0:is>
          <ns0:t>function_0152</ns0:t>
        </ns0:is>
      </ns0:c>
      <ns0:c r="C878" t="inlineStr">
        <ns0:is>
          <ns0:t>run_009</ns0:t>
        </ns0:is>
      </ns0:c>
      <ns0:c r="D878" t="inlineStr">
        <ns0:is>
          <ns0:t>humantime</ns0:t>
        </ns0:is>
      </ns0:c>
      <ns0:c r="E878" t="inlineStr">
        <ns0:is>
          <ns0:t>gpt-5-nano</ns0:t>
        </ns0:is>
      </ns0:c>
      <ns0:c r="F878" t="inlineStr">
        <ns0:is>
          <ns0:t>E0433</ns0:t>
        </ns0:is>
      </ns0:c>
      <ns0:c r="G878" t="n">
        <ns0:v>0</ns0:v>
      </ns0:c>
      <ns0:c r="H878" t="n">
        <ns0:v>2569</ns0:v>
      </ns0:c>
      <ns0:c r="I878" t="n">
        <ns0:v>228</ns0:v>
      </ns0:c>
      <ns0:c r="J878" t="n">
        <ns0:v>2797</ns0:v>
      </ns0:c>
      <ns0:c r="K878" t="n">
        <ns0:v>3</ns0:v>
      </ns0:c>
      <ns0:c r="L878" t="n">
        <ns0:v>1</ns0:v>
      </ns0:c>
      <ns0:c r="M878" t="n">
        <ns0:v>126176</ns0:v>
      </ns0:c>
      <ns0:c r="N878" t="n">
        <ns0:v>652</ns0:v>
      </ns0:c>
      <ns0:c r="O878" t="n">
        <ns0:v>126828</ns0:v>
      </ns0:c>
      <ns0:c r="P878" t="n">
        <ns0:v>11</ns0:v>
      </ns0:c>
      <ns0:c r="Q878">
        <ns0:f>IF(AND(L878=1,O878*Calculations!$B$2&lt;=Calculations!$B$10*Calculations!$B$4),1,0)</ns0:f>
        <ns0:v>0</ns0:v>
      </ns0:c>
      <ns0:c r="R878">
        <ns0:f>IF(AND(L878=1,O878*Calculations!$B$2&lt;=Calculations!$B$11*Calculations!$B$4),1,0)</ns0:f>
        <ns0:v>0</ns0:v>
      </ns0:c>
    </ns0:row>
    <ns0:row r="879">
      <ns0:c r="A879" t="inlineStr">
        <ns0:is>
          <ns0:t>case_0878</ns0:t>
        </ns0:is>
      </ns0:c>
      <ns0:c r="B879" t="inlineStr">
        <ns0:is>
          <ns0:t>function_0152</ns0:t>
        </ns0:is>
      </ns0:c>
      <ns0:c r="C879" t="inlineStr">
        <ns0:is>
          <ns0:t>run_009</ns0:t>
        </ns0:is>
      </ns0:c>
      <ns0:c r="D879" t="inlineStr">
        <ns0:is>
          <ns0:t>humantime</ns0:t>
        </ns0:is>
      </ns0:c>
      <ns0:c r="E879" t="inlineStr">
        <ns0:is>
          <ns0:t>gpt-5-nano</ns0:t>
        </ns0:is>
      </ns0:c>
      <ns0:c r="F879" t="inlineStr">
        <ns0:is>
          <ns0:t>E0433</ns0:t>
        </ns0:is>
      </ns0:c>
      <ns0:c r="G879" t="n">
        <ns0:v>1</ns0:v>
      </ns0:c>
      <ns0:c r="H879" t="n">
        <ns0:v>1030</ns0:v>
      </ns0:c>
      <ns0:c r="I879" t="n">
        <ns0:v>216</ns0:v>
      </ns0:c>
      <ns0:c r="J879" t="n">
        <ns0:v>1246</ns0:v>
      </ns0:c>
      <ns0:c r="K879" t="n">
        <ns0:v>1</ns0:v>
      </ns0:c>
      <ns0:c r="L879" t="n">
        <ns0:v>1</ns0:v>
      </ns0:c>
      <ns0:c r="M879" t="n">
        <ns0:v>68254</ns0:v>
      </ns0:c>
      <ns0:c r="N879" t="n">
        <ns0:v>963</ns0:v>
      </ns0:c>
      <ns0:c r="O879" t="n">
        <ns0:v>69217</ns0:v>
      </ns0:c>
      <ns0:c r="P879" t="n">
        <ns0:v>4</ns0:v>
      </ns0:c>
      <ns0:c r="Q879">
        <ns0:f>IF(AND(L879=1,O879*Calculations!$B$2&lt;=Calculations!$B$10*Calculations!$B$4),1,0)</ns0:f>
        <ns0:v>0</ns0:v>
      </ns0:c>
      <ns0:c r="R879">
        <ns0:f>IF(AND(L879=1,O879*Calculations!$B$2&lt;=Calculations!$B$11*Calculations!$B$4),1,0)</ns0:f>
        <ns0:v>0</ns0:v>
      </ns0:c>
    </ns0:row>
    <ns0:row r="880">
      <ns0:c r="A880" t="inlineStr">
        <ns0:is>
          <ns0:t>case_0879</ns0:t>
        </ns0:is>
      </ns0:c>
      <ns0:c r="B880" t="inlineStr">
        <ns0:is>
          <ns0:t>function_0152</ns0:t>
        </ns0:is>
      </ns0:c>
      <ns0:c r="C880" t="inlineStr">
        <ns0:is>
          <ns0:t>run_009</ns0:t>
        </ns0:is>
      </ns0:c>
      <ns0:c r="D880" t="inlineStr">
        <ns0:is>
          <ns0:t>humantime</ns0:t>
        </ns0:is>
      </ns0:c>
      <ns0:c r="E880" t="inlineStr">
        <ns0:is>
          <ns0:t>gpt-5-nano</ns0:t>
        </ns0:is>
      </ns0:c>
      <ns0:c r="F880" t="inlineStr">
        <ns0:is>
          <ns0:t>E0433</ns0:t>
        </ns0:is>
      </ns0:c>
      <ns0:c r="G880" t="n">
        <ns0:v>1</ns0:v>
      </ns0:c>
      <ns0:c r="H880" t="n">
        <ns0:v>722</ns0:v>
      </ns0:c>
      <ns0:c r="I880" t="n">
        <ns0:v>80</ns0:v>
      </ns0:c>
      <ns0:c r="J880" t="n">
        <ns0:v>802</ns0:v>
      </ns0:c>
      <ns0:c r="K880" t="n">
        <ns0:v>1</ns0:v>
      </ns0:c>
      <ns0:c r="L880" t="n">
        <ns0:v>1</ns0:v>
      </ns0:c>
      <ns0:c r="M880" t="n">
        <ns0:v>98691</ns0:v>
      </ns0:c>
      <ns0:c r="N880" t="n">
        <ns0:v>905</ns0:v>
      </ns0:c>
      <ns0:c r="O880" t="n">
        <ns0:v>99596</ns0:v>
      </ns0:c>
      <ns0:c r="P880" t="n">
        <ns0:v>6</ns0:v>
      </ns0:c>
      <ns0:c r="Q880">
        <ns0:f>IF(AND(L880=1,O880*Calculations!$B$2&lt;=Calculations!$B$10*Calculations!$B$4),1,0)</ns0:f>
        <ns0:v>0</ns0:v>
      </ns0:c>
      <ns0:c r="R880">
        <ns0:f>IF(AND(L880=1,O880*Calculations!$B$2&lt;=Calculations!$B$11*Calculations!$B$4),1,0)</ns0:f>
        <ns0:v>0</ns0:v>
      </ns0:c>
    </ns0:row>
    <ns0:row r="881">
      <ns0:c r="A881" t="inlineStr">
        <ns0:is>
          <ns0:t>case_0880</ns0:t>
        </ns0:is>
      </ns0:c>
      <ns0:c r="B881" t="inlineStr">
        <ns0:is>
          <ns0:t>function_0152</ns0:t>
        </ns0:is>
      </ns0:c>
      <ns0:c r="C881" t="inlineStr">
        <ns0:is>
          <ns0:t>run_009</ns0:t>
        </ns0:is>
      </ns0:c>
      <ns0:c r="D881" t="inlineStr">
        <ns0:is>
          <ns0:t>humantime</ns0:t>
        </ns0:is>
      </ns0:c>
      <ns0:c r="E881" t="inlineStr">
        <ns0:is>
          <ns0:t>gpt-5-nano</ns0:t>
        </ns0:is>
      </ns0:c>
      <ns0:c r="F881" t="inlineStr">
        <ns0:is>
          <ns0:t>E0433</ns0:t>
        </ns0:is>
      </ns0:c>
      <ns0:c r="G881" t="n">
        <ns0:v>1</ns0:v>
      </ns0:c>
      <ns0:c r="H881" t="n">
        <ns0:v>722</ns0:v>
      </ns0:c>
      <ns0:c r="I881" t="n">
        <ns0:v>79</ns0:v>
      </ns0:c>
      <ns0:c r="J881" t="n">
        <ns0:v>801</ns0:v>
      </ns0:c>
      <ns0:c r="K881" t="n">
        <ns0:v>1</ns0:v>
      </ns0:c>
      <ns0:c r="L881" t="n">
        <ns0:v>0</ns0:v>
      </ns0:c>
      <ns0:c r="M881" t="n">
        <ns0:v>137146</ns0:v>
      </ns0:c>
      <ns0:c r="N881" t="n">
        <ns0:v>1160</ns0:v>
      </ns0:c>
      <ns0:c r="O881" t="n">
        <ns0:v>138306</ns0:v>
      </ns0:c>
      <ns0:c r="P881" t="n">
        <ns0:v>8</ns0:v>
      </ns0:c>
      <ns0:c r="Q881">
        <ns0:f>IF(AND(L881=1,O881*Calculations!$B$2&lt;=Calculations!$B$10*Calculations!$B$4),1,0)</ns0:f>
        <ns0:v>0</ns0:v>
      </ns0:c>
      <ns0:c r="R881">
        <ns0:f>IF(AND(L881=1,O881*Calculations!$B$2&lt;=Calculations!$B$11*Calculations!$B$4),1,0)</ns0:f>
        <ns0:v>0</ns0:v>
      </ns0:c>
    </ns0:row>
    <ns0:row r="882">
      <ns0:c r="A882" t="inlineStr">
        <ns0:is>
          <ns0:t>case_0881</ns0:t>
        </ns0:is>
      </ns0:c>
      <ns0:c r="B882" t="inlineStr">
        <ns0:is>
          <ns0:t>function_0152</ns0:t>
        </ns0:is>
      </ns0:c>
      <ns0:c r="C882" t="inlineStr">
        <ns0:is>
          <ns0:t>run_009</ns0:t>
        </ns0:is>
      </ns0:c>
      <ns0:c r="D882" t="inlineStr">
        <ns0:is>
          <ns0:t>humantime</ns0:t>
        </ns0:is>
      </ns0:c>
      <ns0:c r="E882" t="inlineStr">
        <ns0:is>
          <ns0:t>gpt-5-nano</ns0:t>
        </ns0:is>
      </ns0:c>
      <ns0:c r="F882" t="inlineStr">
        <ns0:is>
          <ns0:t>E0433</ns0:t>
        </ns0:is>
      </ns0:c>
      <ns0:c r="G882" t="n">
        <ns0:v>1</ns0:v>
      </ns0:c>
      <ns0:c r="H882" t="n">
        <ns0:v>727</ns0:v>
      </ns0:c>
      <ns0:c r="I882" t="n">
        <ns0:v>86</ns0:v>
      </ns0:c>
      <ns0:c r="J882" t="n">
        <ns0:v>813</ns0:v>
      </ns0:c>
      <ns0:c r="K882" t="n">
        <ns0:v>1</ns0:v>
      </ns0:c>
      <ns0:c r="L882" t="n">
        <ns0:v>0</ns0:v>
      </ns0:c>
      <ns0:c r="M882" t="n">
        <ns0:v>173022</ns0:v>
      </ns0:c>
      <ns0:c r="N882" t="n">
        <ns0:v>1886</ns0:v>
      </ns0:c>
      <ns0:c r="O882" t="n">
        <ns0:v>174908</ns0:v>
      </ns0:c>
      <ns0:c r="P882" t="n">
        <ns0:v>20</ns0:v>
      </ns0:c>
      <ns0:c r="Q882">
        <ns0:f>IF(AND(L882=1,O882*Calculations!$B$2&lt;=Calculations!$B$10*Calculations!$B$4),1,0)</ns0:f>
        <ns0:v>0</ns0:v>
      </ns0:c>
      <ns0:c r="R882">
        <ns0:f>IF(AND(L882=1,O882*Calculations!$B$2&lt;=Calculations!$B$11*Calculations!$B$4),1,0)</ns0:f>
        <ns0:v>0</ns0:v>
      </ns0:c>
    </ns0:row>
    <ns0:row r="883">
      <ns0:c r="A883" t="inlineStr">
        <ns0:is>
          <ns0:t>case_0882</ns0:t>
        </ns0:is>
      </ns0:c>
      <ns0:c r="B883" t="inlineStr">
        <ns0:is>
          <ns0:t>function_0153</ns0:t>
        </ns0:is>
      </ns0:c>
      <ns0:c r="C883" t="inlineStr">
        <ns0:is>
          <ns0:t>run_009</ns0:t>
        </ns0:is>
      </ns0:c>
      <ns0:c r="D883" t="inlineStr">
        <ns0:is>
          <ns0:t>humantime</ns0:t>
        </ns0:is>
      </ns0:c>
      <ns0:c r="E883" t="inlineStr">
        <ns0:is>
          <ns0:t>gpt-5-nano</ns0:t>
        </ns0:is>
      </ns0:c>
      <ns0:c r="F883" t="inlineStr">
        <ns0:is>
          <ns0:t>E0433</ns0:t>
        </ns0:is>
      </ns0:c>
      <ns0:c r="G883" t="n">
        <ns0:v>1</ns0:v>
      </ns0:c>
      <ns0:c r="H883" t="n">
        <ns0:v>0</ns0:v>
      </ns0:c>
      <ns0:c r="I883" t="n">
        <ns0:v>0</ns0:v>
      </ns0:c>
      <ns0:c r="J883" t="n">
        <ns0:v>0</ns0:v>
      </ns0:c>
      <ns0:c r="K883" t="n">
        <ns0:v>0</ns0:v>
      </ns0:c>
      <ns0:c r="L883" t="n">
        <ns0:v>1</ns0:v>
      </ns0:c>
      <ns0:c r="M883" t="n">
        <ns0:v>97723</ns0:v>
      </ns0:c>
      <ns0:c r="N883" t="n">
        <ns0:v>893</ns0:v>
      </ns0:c>
      <ns0:c r="O883" t="n">
        <ns0:v>98616</ns0:v>
      </ns0:c>
      <ns0:c r="P883" t="n">
        <ns0:v>7</ns0:v>
      </ns0:c>
      <ns0:c r="Q883">
        <ns0:f>IF(AND(L883=1,O883*Calculations!$B$2&lt;=Calculations!$B$10*Calculations!$B$4),1,0)</ns0:f>
        <ns0:v>0</ns0:v>
      </ns0:c>
      <ns0:c r="R883">
        <ns0:f>IF(AND(L883=1,O883*Calculations!$B$2&lt;=Calculations!$B$11*Calculations!$B$4),1,0)</ns0:f>
        <ns0:v>0</ns0:v>
      </ns0:c>
    </ns0:row>
    <ns0:row r="884">
      <ns0:c r="A884" t="inlineStr">
        <ns0:is>
          <ns0:t>case_0883</ns0:t>
        </ns0:is>
      </ns0:c>
      <ns0:c r="B884" t="inlineStr">
        <ns0:is>
          <ns0:t>function_0153</ns0:t>
        </ns0:is>
      </ns0:c>
      <ns0:c r="C884" t="inlineStr">
        <ns0:is>
          <ns0:t>run_009</ns0:t>
        </ns0:is>
      </ns0:c>
      <ns0:c r="D884" t="inlineStr">
        <ns0:is>
          <ns0:t>humantime</ns0:t>
        </ns0:is>
      </ns0:c>
      <ns0:c r="E884" t="inlineStr">
        <ns0:is>
          <ns0:t>gpt-5-nano</ns0:t>
        </ns0:is>
      </ns0:c>
      <ns0:c r="F884" t="inlineStr">
        <ns0:is>
          <ns0:t>E0433</ns0:t>
        </ns0:is>
      </ns0:c>
      <ns0:c r="G884" t="n">
        <ns0:v>1</ns0:v>
      </ns0:c>
      <ns0:c r="H884" t="n">
        <ns0:v>1218</ns0:v>
      </ns0:c>
      <ns0:c r="I884" t="n">
        <ns0:v>129</ns0:v>
      </ns0:c>
      <ns0:c r="J884" t="n">
        <ns0:v>1347</ns0:v>
      </ns0:c>
      <ns0:c r="K884" t="n">
        <ns0:v>1</ns0:v>
      </ns0:c>
      <ns0:c r="L884" t="n">
        <ns0:v>1</ns0:v>
      </ns0:c>
      <ns0:c r="M884" t="n">
        <ns0:v>35732</ns0:v>
      </ns0:c>
      <ns0:c r="N884" t="n">
        <ns0:v>577</ns0:v>
      </ns0:c>
      <ns0:c r="O884" t="n">
        <ns0:v>36309</ns0:v>
      </ns0:c>
      <ns0:c r="P884" t="n">
        <ns0:v>5</ns0:v>
      </ns0:c>
      <ns0:c r="Q884">
        <ns0:f>IF(AND(L884=1,O884*Calculations!$B$2&lt;=Calculations!$B$10*Calculations!$B$4),1,0)</ns0:f>
        <ns0:v>0</ns0:v>
      </ns0:c>
      <ns0:c r="R884">
        <ns0:f>IF(AND(L884=1,O884*Calculations!$B$2&lt;=Calculations!$B$11*Calculations!$B$4),1,0)</ns0:f>
        <ns0:v>1</ns0:v>
      </ns0:c>
    </ns0:row>
    <ns0:row r="885">
      <ns0:c r="A885" t="inlineStr">
        <ns0:is>
          <ns0:t>case_0884</ns0:t>
        </ns0:is>
      </ns0:c>
      <ns0:c r="B885" t="inlineStr">
        <ns0:is>
          <ns0:t>function_0153</ns0:t>
        </ns0:is>
      </ns0:c>
      <ns0:c r="C885" t="inlineStr">
        <ns0:is>
          <ns0:t>run_009</ns0:t>
        </ns0:is>
      </ns0:c>
      <ns0:c r="D885" t="inlineStr">
        <ns0:is>
          <ns0:t>humantime</ns0:t>
        </ns0:is>
      </ns0:c>
      <ns0:c r="E885" t="inlineStr">
        <ns0:is>
          <ns0:t>gpt-5-nano</ns0:t>
        </ns0:is>
      </ns0:c>
      <ns0:c r="F885" t="inlineStr">
        <ns0:is>
          <ns0:t>E0433</ns0:t>
        </ns0:is>
      </ns0:c>
      <ns0:c r="G885" t="n">
        <ns0:v>1</ns0:v>
      </ns0:c>
      <ns0:c r="H885" t="n">
        <ns0:v>1190</ns0:v>
      </ns0:c>
      <ns0:c r="I885" t="n">
        <ns0:v>121</ns0:v>
      </ns0:c>
      <ns0:c r="J885" t="n">
        <ns0:v>1311</ns0:v>
      </ns0:c>
      <ns0:c r="K885" t="n">
        <ns0:v>1</ns0:v>
      </ns0:c>
      <ns0:c r="L885" t="n">
        <ns0:v>1</ns0:v>
      </ns0:c>
      <ns0:c r="M885" t="n">
        <ns0:v>50162</ns0:v>
      </ns0:c>
      <ns0:c r="N885" t="n">
        <ns0:v>691</ns0:v>
      </ns0:c>
      <ns0:c r="O885" t="n">
        <ns0:v>50853</ns0:v>
      </ns0:c>
      <ns0:c r="P885" t="n">
        <ns0:v>4</ns0:v>
      </ns0:c>
      <ns0:c r="Q885">
        <ns0:f>IF(AND(L885=1,O885*Calculations!$B$2&lt;=Calculations!$B$10*Calculations!$B$4),1,0)</ns0:f>
        <ns0:v>0</ns0:v>
      </ns0:c>
      <ns0:c r="R885">
        <ns0:f>IF(AND(L885=1,O885*Calculations!$B$2&lt;=Calculations!$B$11*Calculations!$B$4),1,0)</ns0:f>
        <ns0:v>0</ns0:v>
      </ns0:c>
    </ns0:row>
    <ns0:row r="886">
      <ns0:c r="A886" t="inlineStr">
        <ns0:is>
          <ns0:t>case_0885</ns0:t>
        </ns0:is>
      </ns0:c>
      <ns0:c r="B886" t="inlineStr">
        <ns0:is>
          <ns0:t>function_0153</ns0:t>
        </ns0:is>
      </ns0:c>
      <ns0:c r="C886" t="inlineStr">
        <ns0:is>
          <ns0:t>run_009</ns0:t>
        </ns0:is>
      </ns0:c>
      <ns0:c r="D886" t="inlineStr">
        <ns0:is>
          <ns0:t>humantime</ns0:t>
        </ns0:is>
      </ns0:c>
      <ns0:c r="E886" t="inlineStr">
        <ns0:is>
          <ns0:t>gpt-5-nano</ns0:t>
        </ns0:is>
      </ns0:c>
      <ns0:c r="F886" t="inlineStr">
        <ns0:is>
          <ns0:t>E0308</ns0:t>
        </ns0:is>
      </ns0:c>
      <ns0:c r="G886" t="n">
        <ns0:v>1</ns0:v>
      </ns0:c>
      <ns0:c r="H886" t="n">
        <ns0:v>627</ns0:v>
      </ns0:c>
      <ns0:c r="I886" t="n">
        <ns0:v>85</ns0:v>
      </ns0:c>
      <ns0:c r="J886" t="n">
        <ns0:v>712</ns0:v>
      </ns0:c>
      <ns0:c r="K886" t="n">
        <ns0:v>1</ns0:v>
      </ns0:c>
      <ns0:c r="L886" t="n">
        <ns0:v>1</ns0:v>
      </ns0:c>
      <ns0:c r="M886" t="n">
        <ns0:v>20402</ns0:v>
      </ns0:c>
      <ns0:c r="N886" t="n">
        <ns0:v>172</ns0:v>
      </ns0:c>
      <ns0:c r="O886" t="n">
        <ns0:v>20574</ns0:v>
      </ns0:c>
      <ns0:c r="P886" t="n">
        <ns0:v>3</ns0:v>
      </ns0:c>
      <ns0:c r="Q886">
        <ns0:f>IF(AND(L886=1,O886*Calculations!$B$2&lt;=Calculations!$B$10*Calculations!$B$4),1,0)</ns0:f>
        <ns0:v>1</ns0:v>
      </ns0:c>
      <ns0:c r="R886">
        <ns0:f>IF(AND(L886=1,O886*Calculations!$B$2&lt;=Calculations!$B$11*Calculations!$B$4),1,0)</ns0:f>
        <ns0:v>1</ns0:v>
      </ns0:c>
    </ns0:row>
    <ns0:row r="887">
      <ns0:c r="A887" t="inlineStr">
        <ns0:is>
          <ns0:t>case_0886</ns0:t>
        </ns0:is>
      </ns0:c>
      <ns0:c r="B887" t="inlineStr">
        <ns0:is>
          <ns0:t>function_0153</ns0:t>
        </ns0:is>
      </ns0:c>
      <ns0:c r="C887" t="inlineStr">
        <ns0:is>
          <ns0:t>run_009</ns0:t>
        </ns0:is>
      </ns0:c>
      <ns0:c r="D887" t="inlineStr">
        <ns0:is>
          <ns0:t>humantime</ns0:t>
        </ns0:is>
      </ns0:c>
      <ns0:c r="E887" t="inlineStr">
        <ns0:is>
          <ns0:t>gpt-5-nano</ns0:t>
        </ns0:is>
      </ns0:c>
      <ns0:c r="F887" t="inlineStr">
        <ns0:is>
          <ns0:t>E0308</ns0:t>
        </ns0:is>
      </ns0:c>
      <ns0:c r="G887" t="n">
        <ns0:v>1</ns0:v>
      </ns0:c>
      <ns0:c r="H887" t="n">
        <ns0:v>615</ns0:v>
      </ns0:c>
      <ns0:c r="I887" t="n">
        <ns0:v>77</ns0:v>
      </ns0:c>
      <ns0:c r="J887" t="n">
        <ns0:v>692</ns0:v>
      </ns0:c>
      <ns0:c r="K887" t="n">
        <ns0:v>1</ns0:v>
      </ns0:c>
      <ns0:c r="L887" t="n">
        <ns0:v>1</ns0:v>
      </ns0:c>
      <ns0:c r="M887" t="n">
        <ns0:v>20354</ns0:v>
      </ns0:c>
      <ns0:c r="N887" t="n">
        <ns0:v>239</ns0:v>
      </ns0:c>
      <ns0:c r="O887" t="n">
        <ns0:v>20593</ns0:v>
      </ns0:c>
      <ns0:c r="P887" t="n">
        <ns0:v>3</ns0:v>
      </ns0:c>
      <ns0:c r="Q887">
        <ns0:f>IF(AND(L887=1,O887*Calculations!$B$2&lt;=Calculations!$B$10*Calculations!$B$4),1,0)</ns0:f>
        <ns0:v>1</ns0:v>
      </ns0:c>
      <ns0:c r="R887">
        <ns0:f>IF(AND(L887=1,O887*Calculations!$B$2&lt;=Calculations!$B$11*Calculations!$B$4),1,0)</ns0:f>
        <ns0:v>1</ns0:v>
      </ns0:c>
    </ns0:row>
    <ns0:row r="888">
      <ns0:c r="A888" t="inlineStr">
        <ns0:is>
          <ns0:t>case_0887</ns0:t>
        </ns0:is>
      </ns0:c>
      <ns0:c r="B888" t="inlineStr">
        <ns0:is>
          <ns0:t>function_0153</ns0:t>
        </ns0:is>
      </ns0:c>
      <ns0:c r="C888" t="inlineStr">
        <ns0:is>
          <ns0:t>run_009</ns0:t>
        </ns0:is>
      </ns0:c>
      <ns0:c r="D888" t="inlineStr">
        <ns0:is>
          <ns0:t>humantime</ns0:t>
        </ns0:is>
      </ns0:c>
      <ns0:c r="E888" t="inlineStr">
        <ns0:is>
          <ns0:t>gpt-5-nano</ns0:t>
        </ns0:is>
      </ns0:c>
      <ns0:c r="F888" t="inlineStr">
        <ns0:is>
          <ns0:t>E0308</ns0:t>
        </ns0:is>
      </ns0:c>
      <ns0:c r="G888" t="n">
        <ns0:v>1</ns0:v>
      </ns0:c>
      <ns0:c r="H888" t="n">
        <ns0:v>608</ns0:v>
      </ns0:c>
      <ns0:c r="I888" t="n">
        <ns0:v>77</ns0:v>
      </ns0:c>
      <ns0:c r="J888" t="n">
        <ns0:v>685</ns0:v>
      </ns0:c>
      <ns0:c r="K888" t="n">
        <ns0:v>1</ns0:v>
      </ns0:c>
      <ns0:c r="L888" t="n">
        <ns0:v>1</ns0:v>
      </ns0:c>
      <ns0:c r="M888" t="n">
        <ns0:v>20359</ns0:v>
      </ns0:c>
      <ns0:c r="N888" t="n">
        <ns0:v>183</ns0:v>
      </ns0:c>
      <ns0:c r="O888" t="n">
        <ns0:v>20542</ns0:v>
      </ns0:c>
      <ns0:c r="P888" t="n">
        <ns0:v>3</ns0:v>
      </ns0:c>
      <ns0:c r="Q888">
        <ns0:f>IF(AND(L888=1,O888*Calculations!$B$2&lt;=Calculations!$B$10*Calculations!$B$4),1,0)</ns0:f>
        <ns0:v>1</ns0:v>
      </ns0:c>
      <ns0:c r="R888">
        <ns0:f>IF(AND(L888=1,O888*Calculations!$B$2&lt;=Calculations!$B$11*Calculations!$B$4),1,0)</ns0:f>
        <ns0:v>1</ns0:v>
      </ns0:c>
    </ns0:row>
    <ns0:row r="889">
      <ns0:c r="A889" t="inlineStr">
        <ns0:is>
          <ns0:t>case_0888</ns0:t>
        </ns0:is>
      </ns0:c>
      <ns0:c r="B889" t="inlineStr">
        <ns0:is>
          <ns0:t>function_0153</ns0:t>
        </ns0:is>
      </ns0:c>
      <ns0:c r="C889" t="inlineStr">
        <ns0:is>
          <ns0:t>run_009</ns0:t>
        </ns0:is>
      </ns0:c>
      <ns0:c r="D889" t="inlineStr">
        <ns0:is>
          <ns0:t>humantime</ns0:t>
        </ns0:is>
      </ns0:c>
      <ns0:c r="E889" t="inlineStr">
        <ns0:is>
          <ns0:t>gpt-5-nano</ns0:t>
        </ns0:is>
      </ns0:c>
      <ns0:c r="F889" t="inlineStr">
        <ns0:is>
          <ns0:t>E0433</ns0:t>
        </ns0:is>
      </ns0:c>
      <ns0:c r="G889" t="n">
        <ns0:v>1</ns0:v>
      </ns0:c>
      <ns0:c r="H889" t="n">
        <ns0:v>0</ns0:v>
      </ns0:c>
      <ns0:c r="I889" t="n">
        <ns0:v>0</ns0:v>
      </ns0:c>
      <ns0:c r="J889" t="n">
        <ns0:v>0</ns0:v>
      </ns0:c>
      <ns0:c r="K889" t="n">
        <ns0:v>0</ns0:v>
      </ns0:c>
      <ns0:c r="L889" t="n">
        <ns0:v>1</ns0:v>
      </ns0:c>
      <ns0:c r="M889" t="n">
        <ns0:v>20764</ns0:v>
      </ns0:c>
      <ns0:c r="N889" t="n">
        <ns0:v>399</ns0:v>
      </ns0:c>
      <ns0:c r="O889" t="n">
        <ns0:v>21163</ns0:v>
      </ns0:c>
      <ns0:c r="P889" t="n">
        <ns0:v>3</ns0:v>
      </ns0:c>
      <ns0:c r="Q889">
        <ns0:f>IF(AND(L889=1,O889*Calculations!$B$2&lt;=Calculations!$B$10*Calculations!$B$4),1,0)</ns0:f>
        <ns0:v>1</ns0:v>
      </ns0:c>
      <ns0:c r="R889">
        <ns0:f>IF(AND(L889=1,O889*Calculations!$B$2&lt;=Calculations!$B$11*Calculations!$B$4),1,0)</ns0:f>
        <ns0:v>1</ns0:v>
      </ns0:c>
    </ns0:row>
    <ns0:row r="890">
      <ns0:c r="A890" t="inlineStr">
        <ns0:is>
          <ns0:t>case_0889</ns0:t>
        </ns0:is>
      </ns0:c>
      <ns0:c r="B890" t="inlineStr">
        <ns0:is>
          <ns0:t>function_0153</ns0:t>
        </ns0:is>
      </ns0:c>
      <ns0:c r="C890" t="inlineStr">
        <ns0:is>
          <ns0:t>run_009</ns0:t>
        </ns0:is>
      </ns0:c>
      <ns0:c r="D890" t="inlineStr">
        <ns0:is>
          <ns0:t>humantime</ns0:t>
        </ns0:is>
      </ns0:c>
      <ns0:c r="E890" t="inlineStr">
        <ns0:is>
          <ns0:t>gpt-5-nano</ns0:t>
        </ns0:is>
      </ns0:c>
      <ns0:c r="F890" t="inlineStr">
        <ns0:is>
          <ns0:t>E0433</ns0:t>
        </ns0:is>
      </ns0:c>
      <ns0:c r="G890" t="n">
        <ns0:v>1</ns0:v>
      </ns0:c>
      <ns0:c r="H890" t="n">
        <ns0:v>0</ns0:v>
      </ns0:c>
      <ns0:c r="I890" t="n">
        <ns0:v>0</ns0:v>
      </ns0:c>
      <ns0:c r="J890" t="n">
        <ns0:v>0</ns0:v>
      </ns0:c>
      <ns0:c r="K890" t="n">
        <ns0:v>0</ns0:v>
      </ns0:c>
      <ns0:c r="L890" t="n">
        <ns0:v>1</ns0:v>
      </ns0:c>
      <ns0:c r="M890" t="n">
        <ns0:v>20696</ns0:v>
      </ns0:c>
      <ns0:c r="N890" t="n">
        <ns0:v>278</ns0:v>
      </ns0:c>
      <ns0:c r="O890" t="n">
        <ns0:v>20974</ns0:v>
      </ns0:c>
      <ns0:c r="P890" t="n">
        <ns0:v>3</ns0:v>
      </ns0:c>
      <ns0:c r="Q890">
        <ns0:f>IF(AND(L890=1,O890*Calculations!$B$2&lt;=Calculations!$B$10*Calculations!$B$4),1,0)</ns0:f>
        <ns0:v>1</ns0:v>
      </ns0:c>
      <ns0:c r="R890">
        <ns0:f>IF(AND(L890=1,O890*Calculations!$B$2&lt;=Calculations!$B$11*Calculations!$B$4),1,0)</ns0:f>
        <ns0:v>1</ns0:v>
      </ns0:c>
    </ns0:row>
    <ns0:row r="891">
      <ns0:c r="A891" t="inlineStr">
        <ns0:is>
          <ns0:t>case_0890</ns0:t>
        </ns0:is>
      </ns0:c>
      <ns0:c r="B891" t="inlineStr">
        <ns0:is>
          <ns0:t>function_0153</ns0:t>
        </ns0:is>
      </ns0:c>
      <ns0:c r="C891" t="inlineStr">
        <ns0:is>
          <ns0:t>run_009</ns0:t>
        </ns0:is>
      </ns0:c>
      <ns0:c r="D891" t="inlineStr">
        <ns0:is>
          <ns0:t>humantime</ns0:t>
        </ns0:is>
      </ns0:c>
      <ns0:c r="E891" t="inlineStr">
        <ns0:is>
          <ns0:t>gpt-5-nano</ns0:t>
        </ns0:is>
      </ns0:c>
      <ns0:c r="F891" t="inlineStr">
        <ns0:is>
          <ns0:t>E0433</ns0:t>
        </ns0:is>
      </ns0:c>
      <ns0:c r="G891" t="n">
        <ns0:v>1</ns0:v>
      </ns0:c>
      <ns0:c r="H891" t="n">
        <ns0:v>0</ns0:v>
      </ns0:c>
      <ns0:c r="I891" t="n">
        <ns0:v>0</ns0:v>
      </ns0:c>
      <ns0:c r="J891" t="n">
        <ns0:v>0</ns0:v>
      </ns0:c>
      <ns0:c r="K891" t="n">
        <ns0:v>0</ns0:v>
      </ns0:c>
      <ns0:c r="L891" t="n">
        <ns0:v>1</ns0:v>
      </ns0:c>
      <ns0:c r="M891" t="n">
        <ns0:v>21877</ns0:v>
      </ns0:c>
      <ns0:c r="N891" t="n">
        <ns0:v>228</ns0:v>
      </ns0:c>
      <ns0:c r="O891" t="n">
        <ns0:v>22105</ns0:v>
      </ns0:c>
      <ns0:c r="P891" t="n">
        <ns0:v>3</ns0:v>
      </ns0:c>
      <ns0:c r="Q891">
        <ns0:f>IF(AND(L891=1,O891*Calculations!$B$2&lt;=Calculations!$B$10*Calculations!$B$4),1,0)</ns0:f>
        <ns0:v>1</ns0:v>
      </ns0:c>
      <ns0:c r="R891">
        <ns0:f>IF(AND(L891=1,O891*Calculations!$B$2&lt;=Calculations!$B$11*Calculations!$B$4),1,0)</ns0:f>
        <ns0:v>1</ns0:v>
      </ns0:c>
    </ns0:row>
    <ns0:row r="892">
      <ns0:c r="A892" t="inlineStr">
        <ns0:is>
          <ns0:t>case_0891</ns0:t>
        </ns0:is>
      </ns0:c>
      <ns0:c r="B892" t="inlineStr">
        <ns0:is>
          <ns0:t>function_0154</ns0:t>
        </ns0:is>
      </ns0:c>
      <ns0:c r="C892" t="inlineStr">
        <ns0:is>
          <ns0:t>run_009</ns0:t>
        </ns0:is>
      </ns0:c>
      <ns0:c r="D892" t="inlineStr">
        <ns0:is>
          <ns0:t>humantime</ns0:t>
        </ns0:is>
      </ns0:c>
      <ns0:c r="E892" t="inlineStr">
        <ns0:is>
          <ns0:t>gpt-5-nano</ns0:t>
        </ns0:is>
      </ns0:c>
      <ns0:c r="F892" t="inlineStr">
        <ns0:is>
          <ns0:t>E0433</ns0:t>
        </ns0:is>
      </ns0:c>
      <ns0:c r="G892" t="n">
        <ns0:v>1</ns0:v>
      </ns0:c>
      <ns0:c r="H892" t="n">
        <ns0:v>2586</ns0:v>
      </ns0:c>
      <ns0:c r="I892" t="n">
        <ns0:v>129</ns0:v>
      </ns0:c>
      <ns0:c r="J892" t="n">
        <ns0:v>2715</ns0:v>
      </ns0:c>
      <ns0:c r="K892" t="n">
        <ns0:v>1</ns0:v>
      </ns0:c>
      <ns0:c r="L892" t="n">
        <ns0:v>1</ns0:v>
      </ns0:c>
      <ns0:c r="M892" t="n">
        <ns0:v>86304</ns0:v>
      </ns0:c>
      <ns0:c r="N892" t="n">
        <ns0:v>1089</ns0:v>
      </ns0:c>
      <ns0:c r="O892" t="n">
        <ns0:v>87393</ns0:v>
      </ns0:c>
      <ns0:c r="P892" t="n">
        <ns0:v>11</ns0:v>
      </ns0:c>
      <ns0:c r="Q892">
        <ns0:f>IF(AND(L892=1,O892*Calculations!$B$2&lt;=Calculations!$B$10*Calculations!$B$4),1,0)</ns0:f>
        <ns0:v>0</ns0:v>
      </ns0:c>
      <ns0:c r="R892">
        <ns0:f>IF(AND(L892=1,O892*Calculations!$B$2&lt;=Calculations!$B$11*Calculations!$B$4),1,0)</ns0:f>
        <ns0:v>0</ns0:v>
      </ns0:c>
    </ns0:row>
    <ns0:row r="893">
      <ns0:c r="A893" t="inlineStr">
        <ns0:is>
          <ns0:t>case_0892</ns0:t>
        </ns0:is>
      </ns0:c>
      <ns0:c r="B893" t="inlineStr">
        <ns0:is>
          <ns0:t>function_0154</ns0:t>
        </ns0:is>
      </ns0:c>
      <ns0:c r="C893" t="inlineStr">
        <ns0:is>
          <ns0:t>run_009</ns0:t>
        </ns0:is>
      </ns0:c>
      <ns0:c r="D893" t="inlineStr">
        <ns0:is>
          <ns0:t>humantime</ns0:t>
        </ns0:is>
      </ns0:c>
      <ns0:c r="E893" t="inlineStr">
        <ns0:is>
          <ns0:t>gpt-5-nano</ns0:t>
        </ns0:is>
      </ns0:c>
      <ns0:c r="F893" t="inlineStr">
        <ns0:is>
          <ns0:t>E0433</ns0:t>
        </ns0:is>
      </ns0:c>
      <ns0:c r="G893" t="n">
        <ns0:v>0</ns0:v>
      </ns0:c>
      <ns0:c r="H893" t="n">
        <ns0:v>4885</ns0:v>
      </ns0:c>
      <ns0:c r="I893" t="n">
        <ns0:v>189</ns0:v>
      </ns0:c>
      <ns0:c r="J893" t="n">
        <ns0:v>5074</ns0:v>
      </ns0:c>
      <ns0:c r="K893" t="n">
        <ns0:v>3</ns0:v>
      </ns0:c>
      <ns0:c r="L893" t="n">
        <ns0:v>1</ns0:v>
      </ns0:c>
      <ns0:c r="M893" t="n">
        <ns0:v>197811</ns0:v>
      </ns0:c>
      <ns0:c r="N893" t="n">
        <ns0:v>1243</ns0:v>
      </ns0:c>
      <ns0:c r="O893" t="n">
        <ns0:v>199054</ns0:v>
      </ns0:c>
      <ns0:c r="P893" t="n">
        <ns0:v>13</ns0:v>
      </ns0:c>
      <ns0:c r="Q893">
        <ns0:f>IF(AND(L893=1,O893*Calculations!$B$2&lt;=Calculations!$B$10*Calculations!$B$4),1,0)</ns0:f>
        <ns0:v>0</ns0:v>
      </ns0:c>
      <ns0:c r="R893">
        <ns0:f>IF(AND(L893=1,O893*Calculations!$B$2&lt;=Calculations!$B$11*Calculations!$B$4),1,0)</ns0:f>
        <ns0:v>0</ns0:v>
      </ns0:c>
    </ns0:row>
    <ns0:row r="894">
      <ns0:c r="A894" t="inlineStr">
        <ns0:is>
          <ns0:t>case_0893</ns0:t>
        </ns0:is>
      </ns0:c>
      <ns0:c r="B894" t="inlineStr">
        <ns0:is>
          <ns0:t>function_0154</ns0:t>
        </ns0:is>
      </ns0:c>
      <ns0:c r="C894" t="inlineStr">
        <ns0:is>
          <ns0:t>run_009</ns0:t>
        </ns0:is>
      </ns0:c>
      <ns0:c r="D894" t="inlineStr">
        <ns0:is>
          <ns0:t>humantime</ns0:t>
        </ns0:is>
      </ns0:c>
      <ns0:c r="E894" t="inlineStr">
        <ns0:is>
          <ns0:t>gpt-5-nano</ns0:t>
        </ns0:is>
      </ns0:c>
      <ns0:c r="F894" t="inlineStr">
        <ns0:is>
          <ns0:t>E0433</ns0:t>
        </ns0:is>
      </ns0:c>
      <ns0:c r="G894" t="n">
        <ns0:v>0</ns0:v>
      </ns0:c>
      <ns0:c r="H894" t="n">
        <ns0:v>4870</ns0:v>
      </ns0:c>
      <ns0:c r="I894" t="n">
        <ns0:v>236</ns0:v>
      </ns0:c>
      <ns0:c r="J894" t="n">
        <ns0:v>5106</ns0:v>
      </ns0:c>
      <ns0:c r="K894" t="n">
        <ns0:v>3</ns0:v>
      </ns0:c>
      <ns0:c r="L894" t="n">
        <ns0:v>1</ns0:v>
      </ns0:c>
      <ns0:c r="M894" t="n">
        <ns0:v>96755</ns0:v>
      </ns0:c>
      <ns0:c r="N894" t="n">
        <ns0:v>703</ns0:v>
      </ns0:c>
      <ns0:c r="O894" t="n">
        <ns0:v>97458</ns0:v>
      </ns0:c>
      <ns0:c r="P894" t="n">
        <ns0:v>7</ns0:v>
      </ns0:c>
      <ns0:c r="Q894">
        <ns0:f>IF(AND(L894=1,O894*Calculations!$B$2&lt;=Calculations!$B$10*Calculations!$B$4),1,0)</ns0:f>
        <ns0:v>0</ns0:v>
      </ns0:c>
      <ns0:c r="R894">
        <ns0:f>IF(AND(L894=1,O894*Calculations!$B$2&lt;=Calculations!$B$11*Calculations!$B$4),1,0)</ns0:f>
        <ns0:v>0</ns0:v>
      </ns0:c>
    </ns0:row>
    <ns0:row r="895">
      <ns0:c r="A895" t="inlineStr">
        <ns0:is>
          <ns0:t>case_0894</ns0:t>
        </ns0:is>
      </ns0:c>
      <ns0:c r="B895" t="inlineStr">
        <ns0:is>
          <ns0:t>function_0154</ns0:t>
        </ns0:is>
      </ns0:c>
      <ns0:c r="C895" t="inlineStr">
        <ns0:is>
          <ns0:t>run_009</ns0:t>
        </ns0:is>
      </ns0:c>
      <ns0:c r="D895" t="inlineStr">
        <ns0:is>
          <ns0:t>humantime</ns0:t>
        </ns0:is>
      </ns0:c>
      <ns0:c r="E895" t="inlineStr">
        <ns0:is>
          <ns0:t>gpt-5-nano</ns0:t>
        </ns0:is>
      </ns0:c>
      <ns0:c r="F895" t="inlineStr">
        <ns0:is>
          <ns0:t>E0063,E0308</ns0:t>
        </ns0:is>
      </ns0:c>
      <ns0:c r="G895" t="n">
        <ns0:v>1</ns0:v>
      </ns0:c>
      <ns0:c r="H895" t="n">
        <ns0:v>1758</ns0:v>
      </ns0:c>
      <ns0:c r="I895" t="n">
        <ns0:v>102</ns0:v>
      </ns0:c>
      <ns0:c r="J895" t="n">
        <ns0:v>1860</ns0:v>
      </ns0:c>
      <ns0:c r="K895" t="n">
        <ns0:v>1</ns0:v>
      </ns0:c>
      <ns0:c r="L895" t="n">
        <ns0:v>1</ns0:v>
      </ns0:c>
      <ns0:c r="M895" t="n">
        <ns0:v>38265</ns0:v>
      </ns0:c>
      <ns0:c r="N895" t="n">
        <ns0:v>661</ns0:v>
      </ns0:c>
      <ns0:c r="O895" t="n">
        <ns0:v>38926</ns0:v>
      </ns0:c>
      <ns0:c r="P895" t="n">
        <ns0:v>5</ns0:v>
      </ns0:c>
      <ns0:c r="Q895">
        <ns0:f>IF(AND(L895=1,O895*Calculations!$B$2&lt;=Calculations!$B$10*Calculations!$B$4),1,0)</ns0:f>
        <ns0:v>0</ns0:v>
      </ns0:c>
      <ns0:c r="R895">
        <ns0:f>IF(AND(L895=1,O895*Calculations!$B$2&lt;=Calculations!$B$11*Calculations!$B$4),1,0)</ns0:f>
        <ns0:v>1</ns0:v>
      </ns0:c>
    </ns0:row>
    <ns0:row r="896">
      <ns0:c r="A896" t="inlineStr">
        <ns0:is>
          <ns0:t>case_0895</ns0:t>
        </ns0:is>
      </ns0:c>
      <ns0:c r="B896" t="inlineStr">
        <ns0:is>
          <ns0:t>function_0154</ns0:t>
        </ns0:is>
      </ns0:c>
      <ns0:c r="C896" t="inlineStr">
        <ns0:is>
          <ns0:t>run_009</ns0:t>
        </ns0:is>
      </ns0:c>
      <ns0:c r="D896" t="inlineStr">
        <ns0:is>
          <ns0:t>humantime</ns0:t>
        </ns0:is>
      </ns0:c>
      <ns0:c r="E896" t="inlineStr">
        <ns0:is>
          <ns0:t>gpt-5-nano</ns0:t>
        </ns0:is>
      </ns0:c>
      <ns0:c r="F896" t="inlineStr">
        <ns0:is>
          <ns0:t>E0308</ns0:t>
        </ns0:is>
      </ns0:c>
      <ns0:c r="G896" t="n">
        <ns0:v>0</ns0:v>
      </ns0:c>
      <ns0:c r="H896" t="n">
        <ns0:v>2425</ns0:v>
      </ns0:c>
      <ns0:c r="I896" t="n">
        <ns0:v>206</ns0:v>
      </ns0:c>
      <ns0:c r="J896" t="n">
        <ns0:v>2631</ns0:v>
      </ns0:c>
      <ns0:c r="K896" t="n">
        <ns0:v>3</ns0:v>
      </ns0:c>
      <ns0:c r="L896" t="n">
        <ns0:v>1</ns0:v>
      </ns0:c>
      <ns0:c r="M896" t="n">
        <ns0:v>72916</ns0:v>
      </ns0:c>
      <ns0:c r="N896" t="n">
        <ns0:v>812</ns0:v>
      </ns0:c>
      <ns0:c r="O896" t="n">
        <ns0:v>73728</ns0:v>
      </ns0:c>
      <ns0:c r="P896" t="n">
        <ns0:v>7</ns0:v>
      </ns0:c>
      <ns0:c r="Q896">
        <ns0:f>IF(AND(L896=1,O896*Calculations!$B$2&lt;=Calculations!$B$10*Calculations!$B$4),1,0)</ns0:f>
        <ns0:v>0</ns0:v>
      </ns0:c>
      <ns0:c r="R896">
        <ns0:f>IF(AND(L896=1,O896*Calculations!$B$2&lt;=Calculations!$B$11*Calculations!$B$4),1,0)</ns0:f>
        <ns0:v>0</ns0:v>
      </ns0:c>
    </ns0:row>
    <ns0:row r="897">
      <ns0:c r="A897" t="inlineStr">
        <ns0:is>
          <ns0:t>case_0896</ns0:t>
        </ns0:is>
      </ns0:c>
      <ns0:c r="B897" t="inlineStr">
        <ns0:is>
          <ns0:t>function_0154</ns0:t>
        </ns0:is>
      </ns0:c>
      <ns0:c r="C897" t="inlineStr">
        <ns0:is>
          <ns0:t>run_009</ns0:t>
        </ns0:is>
      </ns0:c>
      <ns0:c r="D897" t="inlineStr">
        <ns0:is>
          <ns0:t>humantime</ns0:t>
        </ns0:is>
      </ns0:c>
      <ns0:c r="E897" t="inlineStr">
        <ns0:is>
          <ns0:t>gpt-5-nano</ns0:t>
        </ns0:is>
      </ns0:c>
      <ns0:c r="F897" t="inlineStr">
        <ns0:is>
          <ns0:t>E0599</ns0:t>
        </ns0:is>
      </ns0:c>
      <ns0:c r="G897" t="n">
        <ns0:v>0</ns0:v>
      </ns0:c>
      <ns0:c r="H897" t="n">
        <ns0:v>2343</ns0:v>
      </ns0:c>
      <ns0:c r="I897" t="n">
        <ns0:v>168</ns0:v>
      </ns0:c>
      <ns0:c r="J897" t="n">
        <ns0:v>2511</ns0:v>
      </ns0:c>
      <ns0:c r="K897" t="n">
        <ns0:v>3</ns0:v>
      </ns0:c>
      <ns0:c r="L897" t="n">
        <ns0:v>1</ns0:v>
      </ns0:c>
      <ns0:c r="M897" t="n">
        <ns0:v>56060</ns0:v>
      </ns0:c>
      <ns0:c r="N897" t="n">
        <ns0:v>762</ns0:v>
      </ns0:c>
      <ns0:c r="O897" t="n">
        <ns0:v>56822</ns0:v>
      </ns0:c>
      <ns0:c r="P897" t="n">
        <ns0:v>6</ns0:v>
      </ns0:c>
      <ns0:c r="Q897">
        <ns0:f>IF(AND(L897=1,O897*Calculations!$B$2&lt;=Calculations!$B$10*Calculations!$B$4),1,0)</ns0:f>
        <ns0:v>0</ns0:v>
      </ns0:c>
      <ns0:c r="R897">
        <ns0:f>IF(AND(L897=1,O897*Calculations!$B$2&lt;=Calculations!$B$11*Calculations!$B$4),1,0)</ns0:f>
        <ns0:v>0</ns0:v>
      </ns0:c>
    </ns0:row>
    <ns0:row r="898">
      <ns0:c r="A898" t="inlineStr">
        <ns0:is>
          <ns0:t>case_0897</ns0:t>
        </ns0:is>
      </ns0:c>
      <ns0:c r="B898" t="inlineStr">
        <ns0:is>
          <ns0:t>function_0154</ns0:t>
        </ns0:is>
      </ns0:c>
      <ns0:c r="C898" t="inlineStr">
        <ns0:is>
          <ns0:t>run_009</ns0:t>
        </ns0:is>
      </ns0:c>
      <ns0:c r="D898" t="inlineStr">
        <ns0:is>
          <ns0:t>humantime</ns0:t>
        </ns0:is>
      </ns0:c>
      <ns0:c r="E898" t="inlineStr">
        <ns0:is>
          <ns0:t>gpt-5-nano</ns0:t>
        </ns0:is>
      </ns0:c>
      <ns0:c r="F898" t="inlineStr">
        <ns0:is>
          <ns0:t>E0433</ns0:t>
        </ns0:is>
      </ns0:c>
      <ns0:c r="G898" t="n">
        <ns0:v>1</ns0:v>
      </ns0:c>
      <ns0:c r="H898" t="n">
        <ns0:v>2411</ns0:v>
      </ns0:c>
      <ns0:c r="I898" t="n">
        <ns0:v>77</ns0:v>
      </ns0:c>
      <ns0:c r="J898" t="n">
        <ns0:v>2488</ns0:v>
      </ns0:c>
      <ns0:c r="K898" t="n">
        <ns0:v>1</ns0:v>
      </ns0:c>
      <ns0:c r="L898" t="n">
        <ns0:v>1</ns0:v>
      </ns0:c>
      <ns0:c r="M898" t="n">
        <ns0:v>77842</ns0:v>
      </ns0:c>
      <ns0:c r="N898" t="n">
        <ns0:v>737</ns0:v>
      </ns0:c>
      <ns0:c r="O898" t="n">
        <ns0:v>78579</ns0:v>
      </ns0:c>
      <ns0:c r="P898" t="n">
        <ns0:v>10</ns0:v>
      </ns0:c>
      <ns0:c r="Q898">
        <ns0:f>IF(AND(L898=1,O898*Calculations!$B$2&lt;=Calculations!$B$10*Calculations!$B$4),1,0)</ns0:f>
        <ns0:v>0</ns0:v>
      </ns0:c>
      <ns0:c r="R898">
        <ns0:f>IF(AND(L898=1,O898*Calculations!$B$2&lt;=Calculations!$B$11*Calculations!$B$4),1,0)</ns0:f>
        <ns0:v>0</ns0:v>
      </ns0:c>
    </ns0:row>
    <ns0:row r="899">
      <ns0:c r="A899" t="inlineStr">
        <ns0:is>
          <ns0:t>case_0898</ns0:t>
        </ns0:is>
      </ns0:c>
      <ns0:c r="B899" t="inlineStr">
        <ns0:is>
          <ns0:t>function_0154</ns0:t>
        </ns0:is>
      </ns0:c>
      <ns0:c r="C899" t="inlineStr">
        <ns0:is>
          <ns0:t>run_009</ns0:t>
        </ns0:is>
      </ns0:c>
      <ns0:c r="D899" t="inlineStr">
        <ns0:is>
          <ns0:t>humantime</ns0:t>
        </ns0:is>
      </ns0:c>
      <ns0:c r="E899" t="inlineStr">
        <ns0:is>
          <ns0:t>gpt-5-nano</ns0:t>
        </ns0:is>
      </ns0:c>
      <ns0:c r="F899" t="inlineStr">
        <ns0:is>
          <ns0:t>E0433</ns0:t>
        </ns0:is>
      </ns0:c>
      <ns0:c r="G899" t="n">
        <ns0:v>1</ns0:v>
      </ns0:c>
      <ns0:c r="H899" t="n">
        <ns0:v>3000</ns0:v>
      </ns0:c>
      <ns0:c r="I899" t="n">
        <ns0:v>70</ns0:v>
      </ns0:c>
      <ns0:c r="J899" t="n">
        <ns0:v>3070</ns0:v>
      </ns0:c>
      <ns0:c r="K899" t="n">
        <ns0:v>1</ns0:v>
      </ns0:c>
      <ns0:c r="L899" t="n">
        <ns0:v>1</ns0:v>
      </ns0:c>
      <ns0:c r="M899" t="n">
        <ns0:v>125364</ns0:v>
      </ns0:c>
      <ns0:c r="N899" t="n">
        <ns0:v>1261</ns0:v>
      </ns0:c>
      <ns0:c r="O899" t="n">
        <ns0:v>126625</ns0:v>
      </ns0:c>
      <ns0:c r="P899" t="n">
        <ns0:v>8</ns0:v>
      </ns0:c>
      <ns0:c r="Q899">
        <ns0:f>IF(AND(L899=1,O899*Calculations!$B$2&lt;=Calculations!$B$10*Calculations!$B$4),1,0)</ns0:f>
        <ns0:v>0</ns0:v>
      </ns0:c>
      <ns0:c r="R899">
        <ns0:f>IF(AND(L899=1,O899*Calculations!$B$2&lt;=Calculations!$B$11*Calculations!$B$4),1,0)</ns0:f>
        <ns0:v>0</ns0:v>
      </ns0:c>
    </ns0:row>
    <ns0:row r="900">
      <ns0:c r="A900" t="inlineStr">
        <ns0:is>
          <ns0:t>case_0899</ns0:t>
        </ns0:is>
      </ns0:c>
      <ns0:c r="B900" t="inlineStr">
        <ns0:is>
          <ns0:t>function_0154</ns0:t>
        </ns0:is>
      </ns0:c>
      <ns0:c r="C900" t="inlineStr">
        <ns0:is>
          <ns0:t>run_009</ns0:t>
        </ns0:is>
      </ns0:c>
      <ns0:c r="D900" t="inlineStr">
        <ns0:is>
          <ns0:t>humantime</ns0:t>
        </ns0:is>
      </ns0:c>
      <ns0:c r="E900" t="inlineStr">
        <ns0:is>
          <ns0:t>gpt-5-nano</ns0:t>
        </ns0:is>
      </ns0:c>
      <ns0:c r="F900" t="inlineStr"/>
      <ns0:c r="G900" t="n">
        <ns0:v>0</ns0:v>
      </ns0:c>
      <ns0:c r="H900" t="n">
        <ns0:v>0</ns0:v>
      </ns0:c>
      <ns0:c r="I900" t="n">
        <ns0:v>0</ns0:v>
      </ns0:c>
      <ns0:c r="J900" t="n">
        <ns0:v>0</ns0:v>
      </ns0:c>
      <ns0:c r="K900" t="n">
        <ns0:v>0</ns0:v>
      </ns0:c>
      <ns0:c r="L900" t="n">
        <ns0:v>1</ns0:v>
      </ns0:c>
      <ns0:c r="M900" t="n">
        <ns0:v>138125</ns0:v>
      </ns0:c>
      <ns0:c r="N900" t="n">
        <ns0:v>1362</ns0:v>
      </ns0:c>
      <ns0:c r="O900" t="n">
        <ns0:v>139487</ns0:v>
      </ns0:c>
      <ns0:c r="P900" t="n">
        <ns0:v>13</ns0:v>
      </ns0:c>
      <ns0:c r="Q900">
        <ns0:f>IF(AND(L900=1,O900*Calculations!$B$2&lt;=Calculations!$B$10*Calculations!$B$4),1,0)</ns0:f>
        <ns0:v>0</ns0:v>
      </ns0:c>
      <ns0:c r="R900">
        <ns0:f>IF(AND(L900=1,O900*Calculations!$B$2&lt;=Calculations!$B$11*Calculations!$B$4),1,0)</ns0:f>
        <ns0:v>0</ns0:v>
      </ns0:c>
    </ns0:row>
    <ns0:row r="901">
      <ns0:c r="A901" t="inlineStr">
        <ns0:is>
          <ns0:t>case_0900</ns0:t>
        </ns0:is>
      </ns0:c>
      <ns0:c r="B901" t="inlineStr">
        <ns0:is>
          <ns0:t>function_0154</ns0:t>
        </ns0:is>
      </ns0:c>
      <ns0:c r="C901" t="inlineStr">
        <ns0:is>
          <ns0:t>run_009</ns0:t>
        </ns0:is>
      </ns0:c>
      <ns0:c r="D901" t="inlineStr">
        <ns0:is>
          <ns0:t>humantime</ns0:t>
        </ns0:is>
      </ns0:c>
      <ns0:c r="E901" t="inlineStr">
        <ns0:is>
          <ns0:t>gpt-5-nano</ns0:t>
        </ns0:is>
      </ns0:c>
      <ns0:c r="F901" t="inlineStr">
        <ns0:is>
          <ns0:t>E0433</ns0:t>
        </ns0:is>
      </ns0:c>
      <ns0:c r="G901" t="n">
        <ns0:v>0</ns0:v>
      </ns0:c>
      <ns0:c r="H901" t="n">
        <ns0:v>4261</ns0:v>
      </ns0:c>
      <ns0:c r="I901" t="n">
        <ns0:v>168</ns0:v>
      </ns0:c>
      <ns0:c r="J901" t="n">
        <ns0:v>4429</ns0:v>
      </ns0:c>
      <ns0:c r="K901" t="n">
        <ns0:v>3</ns0:v>
      </ns0:c>
      <ns0:c r="L901" t="n">
        <ns0:v>1</ns0:v>
      </ns0:c>
      <ns0:c r="M901" t="n">
        <ns0:v>80665</ns0:v>
      </ns0:c>
      <ns0:c r="N901" t="n">
        <ns0:v>1621</ns0:v>
      </ns0:c>
      <ns0:c r="O901" t="n">
        <ns0:v>82286</ns0:v>
      </ns0:c>
      <ns0:c r="P901" t="n">
        <ns0:v>7</ns0:v>
      </ns0:c>
      <ns0:c r="Q901">
        <ns0:f>IF(AND(L901=1,O901*Calculations!$B$2&lt;=Calculations!$B$10*Calculations!$B$4),1,0)</ns0:f>
        <ns0:v>0</ns0:v>
      </ns0:c>
      <ns0:c r="R901">
        <ns0:f>IF(AND(L901=1,O901*Calculations!$B$2&lt;=Calculations!$B$11*Calculations!$B$4),1,0)</ns0:f>
        <ns0:v>0</ns0:v>
      </ns0:c>
    </ns0:row>
    <ns0:row r="902">
      <ns0:c r="A902" t="inlineStr">
        <ns0:is>
          <ns0:t>case_0901</ns0:t>
        </ns0:is>
      </ns0:c>
      <ns0:c r="B902" t="inlineStr">
        <ns0:is>
          <ns0:t>function_0154</ns0:t>
        </ns0:is>
      </ns0:c>
      <ns0:c r="C902" t="inlineStr">
        <ns0:is>
          <ns0:t>run_009</ns0:t>
        </ns0:is>
      </ns0:c>
      <ns0:c r="D902" t="inlineStr">
        <ns0:is>
          <ns0:t>humantime</ns0:t>
        </ns0:is>
      </ns0:c>
      <ns0:c r="E902" t="inlineStr">
        <ns0:is>
          <ns0:t>gpt-5-nano</ns0:t>
        </ns0:is>
      </ns0:c>
      <ns0:c r="F902" t="inlineStr">
        <ns0:is>
          <ns0:t>E0433</ns0:t>
        </ns0:is>
      </ns0:c>
      <ns0:c r="G902" t="n">
        <ns0:v>0</ns0:v>
      </ns0:c>
      <ns0:c r="H902" t="n">
        <ns0:v>3825</ns0:v>
      </ns0:c>
      <ns0:c r="I902" t="n">
        <ns0:v>138</ns0:v>
      </ns0:c>
      <ns0:c r="J902" t="n">
        <ns0:v>3963</ns0:v>
      </ns0:c>
      <ns0:c r="K902" t="n">
        <ns0:v>3</ns0:v>
      </ns0:c>
      <ns0:c r="L902" t="n">
        <ns0:v>0</ns0:v>
      </ns0:c>
      <ns0:c r="M902" t="n">
        <ns0:v>131382</ns0:v>
      </ns0:c>
      <ns0:c r="N902" t="n">
        <ns0:v>4694</ns0:v>
      </ns0:c>
      <ns0:c r="O902" t="n">
        <ns0:v>136076</ns0:v>
      </ns0:c>
      <ns0:c r="P902" t="n">
        <ns0:v>13</ns0:v>
      </ns0:c>
      <ns0:c r="Q902">
        <ns0:f>IF(AND(L902=1,O902*Calculations!$B$2&lt;=Calculations!$B$10*Calculations!$B$4),1,0)</ns0:f>
        <ns0:v>0</ns0:v>
      </ns0:c>
      <ns0:c r="R902">
        <ns0:f>IF(AND(L902=1,O902*Calculations!$B$2&lt;=Calculations!$B$11*Calculations!$B$4),1,0)</ns0:f>
        <ns0:v>0</ns0:v>
      </ns0:c>
    </ns0:row>
    <ns0:row r="903">
      <ns0:c r="A903" t="inlineStr">
        <ns0:is>
          <ns0:t>case_0902</ns0:t>
        </ns0:is>
      </ns0:c>
      <ns0:c r="B903" t="inlineStr">
        <ns0:is>
          <ns0:t>function_0154</ns0:t>
        </ns0:is>
      </ns0:c>
      <ns0:c r="C903" t="inlineStr">
        <ns0:is>
          <ns0:t>run_009</ns0:t>
        </ns0:is>
      </ns0:c>
      <ns0:c r="D903" t="inlineStr">
        <ns0:is>
          <ns0:t>humantime</ns0:t>
        </ns0:is>
      </ns0:c>
      <ns0:c r="E903" t="inlineStr">
        <ns0:is>
          <ns0:t>gpt-5-nano</ns0:t>
        </ns0:is>
      </ns0:c>
      <ns0:c r="F903" t="inlineStr">
        <ns0:is>
          <ns0:t>E0433</ns0:t>
        </ns0:is>
      </ns0:c>
      <ns0:c r="G903" t="n">
        <ns0:v>0</ns0:v>
      </ns0:c>
      <ns0:c r="H903" t="n">
        <ns0:v>3467</ns0:v>
      </ns0:c>
      <ns0:c r="I903" t="n">
        <ns0:v>138</ns0:v>
      </ns0:c>
      <ns0:c r="J903" t="n">
        <ns0:v>3605</ns0:v>
      </ns0:c>
      <ns0:c r="K903" t="n">
        <ns0:v>3</ns0:v>
      </ns0:c>
      <ns0:c r="L903" t="n">
        <ns0:v>1</ns0:v>
      </ns0:c>
      <ns0:c r="M903" t="n">
        <ns0:v>157131</ns0:v>
      </ns0:c>
      <ns0:c r="N903" t="n">
        <ns0:v>1220</ns0:v>
      </ns0:c>
      <ns0:c r="O903" t="n">
        <ns0:v>158351</ns0:v>
      </ns0:c>
      <ns0:c r="P903" t="n">
        <ns0:v>16</ns0:v>
      </ns0:c>
      <ns0:c r="Q903">
        <ns0:f>IF(AND(L903=1,O903*Calculations!$B$2&lt;=Calculations!$B$10*Calculations!$B$4),1,0)</ns0:f>
        <ns0:v>0</ns0:v>
      </ns0:c>
      <ns0:c r="R903">
        <ns0:f>IF(AND(L903=1,O903*Calculations!$B$2&lt;=Calculations!$B$11*Calculations!$B$4),1,0)</ns0:f>
        <ns0:v>0</ns0:v>
      </ns0:c>
    </ns0:row>
    <ns0:row r="904">
      <ns0:c r="A904" t="inlineStr">
        <ns0:is>
          <ns0:t>case_0903</ns0:t>
        </ns0:is>
      </ns0:c>
      <ns0:c r="B904" t="inlineStr">
        <ns0:is>
          <ns0:t>function_0155</ns0:t>
        </ns0:is>
      </ns0:c>
      <ns0:c r="C904" t="inlineStr">
        <ns0:is>
          <ns0:t>run_009</ns0:t>
        </ns0:is>
      </ns0:c>
      <ns0:c r="D904" t="inlineStr">
        <ns0:is>
          <ns0:t>humantime</ns0:t>
        </ns0:is>
      </ns0:c>
      <ns0:c r="E904" t="inlineStr">
        <ns0:is>
          <ns0:t>gpt-5-nano</ns0:t>
        </ns0:is>
      </ns0:c>
      <ns0:c r="F904" t="inlineStr">
        <ns0:is>
          <ns0:t>E0433</ns0:t>
        </ns0:is>
      </ns0:c>
      <ns0:c r="G904" t="n">
        <ns0:v>0</ns0:v>
      </ns0:c>
      <ns0:c r="H904" t="n">
        <ns0:v>4650</ns0:v>
      </ns0:c>
      <ns0:c r="I904" t="n">
        <ns0:v>159</ns0:v>
      </ns0:c>
      <ns0:c r="J904" t="n">
        <ns0:v>4809</ns0:v>
      </ns0:c>
      <ns0:c r="K904" t="n">
        <ns0:v>3</ns0:v>
      </ns0:c>
      <ns0:c r="L904" t="n">
        <ns0:v>1</ns0:v>
      </ns0:c>
      <ns0:c r="M904" t="n">
        <ns0:v>81487</ns0:v>
      </ns0:c>
      <ns0:c r="N904" t="n">
        <ns0:v>749</ns0:v>
      </ns0:c>
      <ns0:c r="O904" t="n">
        <ns0:v>82236</ns0:v>
      </ns0:c>
      <ns0:c r="P904" t="n">
        <ns0:v>6</ns0:v>
      </ns0:c>
      <ns0:c r="Q904">
        <ns0:f>IF(AND(L904=1,O904*Calculations!$B$2&lt;=Calculations!$B$10*Calculations!$B$4),1,0)</ns0:f>
        <ns0:v>0</ns0:v>
      </ns0:c>
      <ns0:c r="R904">
        <ns0:f>IF(AND(L904=1,O904*Calculations!$B$2&lt;=Calculations!$B$11*Calculations!$B$4),1,0)</ns0:f>
        <ns0:v>0</ns0:v>
      </ns0:c>
    </ns0:row>
    <ns0:row r="905">
      <ns0:c r="A905" t="inlineStr">
        <ns0:is>
          <ns0:t>case_0904</ns0:t>
        </ns0:is>
      </ns0:c>
      <ns0:c r="B905" t="inlineStr">
        <ns0:is>
          <ns0:t>function_0155</ns0:t>
        </ns0:is>
      </ns0:c>
      <ns0:c r="C905" t="inlineStr">
        <ns0:is>
          <ns0:t>run_009</ns0:t>
        </ns0:is>
      </ns0:c>
      <ns0:c r="D905" t="inlineStr">
        <ns0:is>
          <ns0:t>humantime</ns0:t>
        </ns0:is>
      </ns0:c>
      <ns0:c r="E905" t="inlineStr">
        <ns0:is>
          <ns0:t>gpt-5-nano</ns0:t>
        </ns0:is>
      </ns0:c>
      <ns0:c r="F905" t="inlineStr">
        <ns0:is>
          <ns0:t>E0433</ns0:t>
        </ns0:is>
      </ns0:c>
      <ns0:c r="G905" t="n">
        <ns0:v>1</ns0:v>
      </ns0:c>
      <ns0:c r="H905" t="n">
        <ns0:v>2251</ns0:v>
      </ns0:c>
      <ns0:c r="I905" t="n">
        <ns0:v>91</ns0:v>
      </ns0:c>
      <ns0:c r="J905" t="n">
        <ns0:v>2342</ns0:v>
      </ns0:c>
      <ns0:c r="K905" t="n">
        <ns0:v>1</ns0:v>
      </ns0:c>
      <ns0:c r="L905" t="n">
        <ns0:v>0</ns0:v>
      </ns0:c>
      <ns0:c r="M905" t="n">
        <ns0:v>117270</ns0:v>
      </ns0:c>
      <ns0:c r="N905" t="n">
        <ns0:v>1257</ns0:v>
      </ns0:c>
      <ns0:c r="O905" t="n">
        <ns0:v>118527</ns0:v>
      </ns0:c>
      <ns0:c r="P905" t="n">
        <ns0:v>14</ns0:v>
      </ns0:c>
      <ns0:c r="Q905">
        <ns0:f>IF(AND(L905=1,O905*Calculations!$B$2&lt;=Calculations!$B$10*Calculations!$B$4),1,0)</ns0:f>
        <ns0:v>0</ns0:v>
      </ns0:c>
      <ns0:c r="R905">
        <ns0:f>IF(AND(L905=1,O905*Calculations!$B$2&lt;=Calculations!$B$11*Calculations!$B$4),1,0)</ns0:f>
        <ns0:v>0</ns0:v>
      </ns0:c>
    </ns0:row>
    <ns0:row r="906">
      <ns0:c r="A906" t="inlineStr">
        <ns0:is>
          <ns0:t>case_0905</ns0:t>
        </ns0:is>
      </ns0:c>
      <ns0:c r="B906" t="inlineStr">
        <ns0:is>
          <ns0:t>function_0155</ns0:t>
        </ns0:is>
      </ns0:c>
      <ns0:c r="C906" t="inlineStr">
        <ns0:is>
          <ns0:t>run_009</ns0:t>
        </ns0:is>
      </ns0:c>
      <ns0:c r="D906" t="inlineStr">
        <ns0:is>
          <ns0:t>humantime</ns0:t>
        </ns0:is>
      </ns0:c>
      <ns0:c r="E906" t="inlineStr">
        <ns0:is>
          <ns0:t>gpt-5-nano</ns0:t>
        </ns0:is>
      </ns0:c>
      <ns0:c r="F906" t="inlineStr">
        <ns0:is>
          <ns0:t>E0433</ns0:t>
        </ns0:is>
      </ns0:c>
      <ns0:c r="G906" t="n">
        <ns0:v>0</ns0:v>
      </ns0:c>
      <ns0:c r="H906" t="n">
        <ns0:v>0</ns0:v>
      </ns0:c>
      <ns0:c r="I906" t="n">
        <ns0:v>0</ns0:v>
      </ns0:c>
      <ns0:c r="J906" t="n">
        <ns0:v>0</ns0:v>
      </ns0:c>
      <ns0:c r="K906" t="n">
        <ns0:v>0</ns0:v>
      </ns0:c>
      <ns0:c r="L906" t="n">
        <ns0:v>1</ns0:v>
      </ns0:c>
      <ns0:c r="M906" t="n">
        <ns0:v>82845</ns0:v>
      </ns0:c>
      <ns0:c r="N906" t="n">
        <ns0:v>1014</ns0:v>
      </ns0:c>
      <ns0:c r="O906" t="n">
        <ns0:v>83859</ns0:v>
      </ns0:c>
      <ns0:c r="P906" t="n">
        <ns0:v>7</ns0:v>
      </ns0:c>
      <ns0:c r="Q906">
        <ns0:f>IF(AND(L906=1,O906*Calculations!$B$2&lt;=Calculations!$B$10*Calculations!$B$4),1,0)</ns0:f>
        <ns0:v>0</ns0:v>
      </ns0:c>
      <ns0:c r="R906">
        <ns0:f>IF(AND(L906=1,O906*Calculations!$B$2&lt;=Calculations!$B$11*Calculations!$B$4),1,0)</ns0:f>
        <ns0:v>0</ns0:v>
      </ns0:c>
    </ns0:row>
    <ns0:row r="907">
      <ns0:c r="A907" t="inlineStr">
        <ns0:is>
          <ns0:t>case_0906</ns0:t>
        </ns0:is>
      </ns0:c>
      <ns0:c r="B907" t="inlineStr">
        <ns0:is>
          <ns0:t>function_0155</ns0:t>
        </ns0:is>
      </ns0:c>
      <ns0:c r="C907" t="inlineStr">
        <ns0:is>
          <ns0:t>run_009</ns0:t>
        </ns0:is>
      </ns0:c>
      <ns0:c r="D907" t="inlineStr">
        <ns0:is>
          <ns0:t>humantime</ns0:t>
        </ns0:is>
      </ns0:c>
      <ns0:c r="E907" t="inlineStr">
        <ns0:is>
          <ns0:t>gpt-5-nano</ns0:t>
        </ns0:is>
      </ns0:c>
      <ns0:c r="F907" t="inlineStr"/>
      <ns0:c r="G907" t="n">
        <ns0:v>0</ns0:v>
      </ns0:c>
      <ns0:c r="H907" t="n">
        <ns0:v>0</ns0:v>
      </ns0:c>
      <ns0:c r="I907" t="n">
        <ns0:v>0</ns0:v>
      </ns0:c>
      <ns0:c r="J907" t="n">
        <ns0:v>0</ns0:v>
      </ns0:c>
      <ns0:c r="K907" t="n">
        <ns0:v>0</ns0:v>
      </ns0:c>
      <ns0:c r="L907" t="n">
        <ns0:v>0</ns0:v>
      </ns0:c>
      <ns0:c r="M907" t="n">
        <ns0:v>169462</ns0:v>
      </ns0:c>
      <ns0:c r="N907" t="n">
        <ns0:v>1331</ns0:v>
      </ns0:c>
      <ns0:c r="O907" t="n">
        <ns0:v>170793</ns0:v>
      </ns0:c>
      <ns0:c r="P907" t="n">
        <ns0:v>20</ns0:v>
      </ns0:c>
      <ns0:c r="Q907">
        <ns0:f>IF(AND(L907=1,O907*Calculations!$B$2&lt;=Calculations!$B$10*Calculations!$B$4),1,0)</ns0:f>
        <ns0:v>0</ns0:v>
      </ns0:c>
      <ns0:c r="R907">
        <ns0:f>IF(AND(L907=1,O907*Calculations!$B$2&lt;=Calculations!$B$11*Calculations!$B$4),1,0)</ns0:f>
        <ns0:v>0</ns0:v>
      </ns0:c>
    </ns0:row>
    <ns0:row r="908">
      <ns0:c r="A908" t="inlineStr">
        <ns0:is>
          <ns0:t>case_0907</ns0:t>
        </ns0:is>
      </ns0:c>
      <ns0:c r="B908" t="inlineStr">
        <ns0:is>
          <ns0:t>function_0155</ns0:t>
        </ns0:is>
      </ns0:c>
      <ns0:c r="C908" t="inlineStr">
        <ns0:is>
          <ns0:t>run_009</ns0:t>
        </ns0:is>
      </ns0:c>
      <ns0:c r="D908" t="inlineStr">
        <ns0:is>
          <ns0:t>humantime</ns0:t>
        </ns0:is>
      </ns0:c>
      <ns0:c r="E908" t="inlineStr">
        <ns0:is>
          <ns0:t>gpt-5-nano</ns0:t>
        </ns0:is>
      </ns0:c>
      <ns0:c r="F908" t="inlineStr">
        <ns0:is>
          <ns0:t>E0599</ns0:t>
        </ns0:is>
      </ns0:c>
      <ns0:c r="G908" t="n">
        <ns0:v>0</ns0:v>
      </ns0:c>
      <ns0:c r="H908" t="n">
        <ns0:v>2500</ns0:v>
      </ns0:c>
      <ns0:c r="I908" t="n">
        <ns0:v>186</ns0:v>
      </ns0:c>
      <ns0:c r="J908" t="n">
        <ns0:v>2686</ns0:v>
      </ns0:c>
      <ns0:c r="K908" t="n">
        <ns0:v>3</ns0:v>
      </ns0:c>
      <ns0:c r="L908" t="n">
        <ns0:v>1</ns0:v>
      </ns0:c>
      <ns0:c r="M908" t="n">
        <ns0:v>64159</ns0:v>
      </ns0:c>
      <ns0:c r="N908" t="n">
        <ns0:v>665</ns0:v>
      </ns0:c>
      <ns0:c r="O908" t="n">
        <ns0:v>64824</ns0:v>
      </ns0:c>
      <ns0:c r="P908" t="n">
        <ns0:v>5</ns0:v>
      </ns0:c>
      <ns0:c r="Q908">
        <ns0:f>IF(AND(L908=1,O908*Calculations!$B$2&lt;=Calculations!$B$10*Calculations!$B$4),1,0)</ns0:f>
        <ns0:v>0</ns0:v>
      </ns0:c>
      <ns0:c r="R908">
        <ns0:f>IF(AND(L908=1,O908*Calculations!$B$2&lt;=Calculations!$B$11*Calculations!$B$4),1,0)</ns0:f>
        <ns0:v>0</ns0:v>
      </ns0:c>
    </ns0:row>
    <ns0:row r="909">
      <ns0:c r="A909" t="inlineStr">
        <ns0:is>
          <ns0:t>case_0908</ns0:t>
        </ns0:is>
      </ns0:c>
      <ns0:c r="B909" t="inlineStr">
        <ns0:is>
          <ns0:t>function_0155</ns0:t>
        </ns0:is>
      </ns0:c>
      <ns0:c r="C909" t="inlineStr">
        <ns0:is>
          <ns0:t>run_009</ns0:t>
        </ns0:is>
      </ns0:c>
      <ns0:c r="D909" t="inlineStr">
        <ns0:is>
          <ns0:t>humantime</ns0:t>
        </ns0:is>
      </ns0:c>
      <ns0:c r="E909" t="inlineStr">
        <ns0:is>
          <ns0:t>gpt-5-nano</ns0:t>
        </ns0:is>
      </ns0:c>
      <ns0:c r="F909" t="inlineStr">
        <ns0:is>
          <ns0:t>E0599</ns0:t>
        </ns0:is>
      </ns0:c>
      <ns0:c r="G909" t="n">
        <ns0:v>0</ns0:v>
      </ns0:c>
      <ns0:c r="H909" t="n">
        <ns0:v>2614</ns0:v>
      </ns0:c>
      <ns0:c r="I909" t="n">
        <ns0:v>279</ns0:v>
      </ns0:c>
      <ns0:c r="J909" t="n">
        <ns0:v>2893</ns0:v>
      </ns0:c>
      <ns0:c r="K909" t="n">
        <ns0:v>3</ns0:v>
      </ns0:c>
      <ns0:c r="L909" t="n">
        <ns0:v>1</ns0:v>
      </ns0:c>
      <ns0:c r="M909" t="n">
        <ns0:v>62959</ns0:v>
      </ns0:c>
      <ns0:c r="N909" t="n">
        <ns0:v>2110</ns0:v>
      </ns0:c>
      <ns0:c r="O909" t="n">
        <ns0:v>65069</ns0:v>
      </ns0:c>
      <ns0:c r="P909" t="n">
        <ns0:v>8</ns0:v>
      </ns0:c>
      <ns0:c r="Q909">
        <ns0:f>IF(AND(L909=1,O909*Calculations!$B$2&lt;=Calculations!$B$10*Calculations!$B$4),1,0)</ns0:f>
        <ns0:v>0</ns0:v>
      </ns0:c>
      <ns0:c r="R909">
        <ns0:f>IF(AND(L909=1,O909*Calculations!$B$2&lt;=Calculations!$B$11*Calculations!$B$4),1,0)</ns0:f>
        <ns0:v>0</ns0:v>
      </ns0:c>
    </ns0:row>
    <ns0:row r="910">
      <ns0:c r="A910" t="inlineStr">
        <ns0:is>
          <ns0:t>case_0909</ns0:t>
        </ns0:is>
      </ns0:c>
      <ns0:c r="B910" t="inlineStr">
        <ns0:is>
          <ns0:t>function_0155</ns0:t>
        </ns0:is>
      </ns0:c>
      <ns0:c r="C910" t="inlineStr">
        <ns0:is>
          <ns0:t>run_009</ns0:t>
        </ns0:is>
      </ns0:c>
      <ns0:c r="D910" t="inlineStr">
        <ns0:is>
          <ns0:t>humantime</ns0:t>
        </ns0:is>
      </ns0:c>
      <ns0:c r="E910" t="inlineStr">
        <ns0:is>
          <ns0:t>gpt-5-nano</ns0:t>
        </ns0:is>
      </ns0:c>
      <ns0:c r="F910" t="inlineStr">
        <ns0:is>
          <ns0:t>E0433</ns0:t>
        </ns0:is>
      </ns0:c>
      <ns0:c r="G910" t="n">
        <ns0:v>0</ns0:v>
      </ns0:c>
      <ns0:c r="H910" t="n">
        <ns0:v>5064</ns0:v>
      </ns0:c>
      <ns0:c r="I910" t="n">
        <ns0:v>294</ns0:v>
      </ns0:c>
      <ns0:c r="J910" t="n">
        <ns0:v>5358</ns0:v>
      </ns0:c>
      <ns0:c r="K910" t="n">
        <ns0:v>3</ns0:v>
      </ns0:c>
      <ns0:c r="L910" t="n">
        <ns0:v>1</ns0:v>
      </ns0:c>
      <ns0:c r="M910" t="n">
        <ns0:v>122886</ns0:v>
      </ns0:c>
      <ns0:c r="N910" t="n">
        <ns0:v>987</ns0:v>
      </ns0:c>
      <ns0:c r="O910" t="n">
        <ns0:v>123873</ns0:v>
      </ns0:c>
      <ns0:c r="P910" t="n">
        <ns0:v>8</ns0:v>
      </ns0:c>
      <ns0:c r="Q910">
        <ns0:f>IF(AND(L910=1,O910*Calculations!$B$2&lt;=Calculations!$B$10*Calculations!$B$4),1,0)</ns0:f>
        <ns0:v>0</ns0:v>
      </ns0:c>
      <ns0:c r="R910">
        <ns0:f>IF(AND(L910=1,O910*Calculations!$B$2&lt;=Calculations!$B$11*Calculations!$B$4),1,0)</ns0:f>
        <ns0:v>0</ns0:v>
      </ns0:c>
    </ns0:row>
    <ns0:row r="911">
      <ns0:c r="A911" t="inlineStr">
        <ns0:is>
          <ns0:t>case_0910</ns0:t>
        </ns0:is>
      </ns0:c>
      <ns0:c r="B911" t="inlineStr">
        <ns0:is>
          <ns0:t>function_0155</ns0:t>
        </ns0:is>
      </ns0:c>
      <ns0:c r="C911" t="inlineStr">
        <ns0:is>
          <ns0:t>run_009</ns0:t>
        </ns0:is>
      </ns0:c>
      <ns0:c r="D911" t="inlineStr">
        <ns0:is>
          <ns0:t>humantime</ns0:t>
        </ns0:is>
      </ns0:c>
      <ns0:c r="E911" t="inlineStr">
        <ns0:is>
          <ns0:t>gpt-5-nano</ns0:t>
        </ns0:is>
      </ns0:c>
      <ns0:c r="F911" t="inlineStr">
        <ns0:is>
          <ns0:t>E0433</ns0:t>
        </ns0:is>
      </ns0:c>
      <ns0:c r="G911" t="n">
        <ns0:v>0</ns0:v>
      </ns0:c>
      <ns0:c r="H911" t="n">
        <ns0:v>4621</ns0:v>
      </ns0:c>
      <ns0:c r="I911" t="n">
        <ns0:v>232</ns0:v>
      </ns0:c>
      <ns0:c r="J911" t="n">
        <ns0:v>4853</ns0:v>
      </ns0:c>
      <ns0:c r="K911" t="n">
        <ns0:v>3</ns0:v>
      </ns0:c>
      <ns0:c r="L911" t="n">
        <ns0:v>0</ns0:v>
      </ns0:c>
      <ns0:c r="M911" t="n">
        <ns0:v>179043</ns0:v>
      </ns0:c>
      <ns0:c r="N911" t="n">
        <ns0:v>2653</ns0:v>
      </ns0:c>
      <ns0:c r="O911" t="n">
        <ns0:v>181696</ns0:v>
      </ns0:c>
      <ns0:c r="P911" t="n">
        <ns0:v>20</ns0:v>
      </ns0:c>
      <ns0:c r="Q911">
        <ns0:f>IF(AND(L911=1,O911*Calculations!$B$2&lt;=Calculations!$B$10*Calculations!$B$4),1,0)</ns0:f>
        <ns0:v>0</ns0:v>
      </ns0:c>
      <ns0:c r="R911">
        <ns0:f>IF(AND(L911=1,O911*Calculations!$B$2&lt;=Calculations!$B$11*Calculations!$B$4),1,0)</ns0:f>
        <ns0:v>0</ns0:v>
      </ns0:c>
    </ns0:row>
    <ns0:row r="912">
      <ns0:c r="A912" t="inlineStr">
        <ns0:is>
          <ns0:t>case_0911</ns0:t>
        </ns0:is>
      </ns0:c>
      <ns0:c r="B912" t="inlineStr">
        <ns0:is>
          <ns0:t>function_0155</ns0:t>
        </ns0:is>
      </ns0:c>
      <ns0:c r="C912" t="inlineStr">
        <ns0:is>
          <ns0:t>run_009</ns0:t>
        </ns0:is>
      </ns0:c>
      <ns0:c r="D912" t="inlineStr">
        <ns0:is>
          <ns0:t>humantime</ns0:t>
        </ns0:is>
      </ns0:c>
      <ns0:c r="E912" t="inlineStr">
        <ns0:is>
          <ns0:t>gpt-5-nano</ns0:t>
        </ns0:is>
      </ns0:c>
      <ns0:c r="F912" t="inlineStr">
        <ns0:is>
          <ns0:t>E0433</ns0:t>
        </ns0:is>
      </ns0:c>
      <ns0:c r="G912" t="n">
        <ns0:v>0</ns0:v>
      </ns0:c>
      <ns0:c r="H912" t="n">
        <ns0:v>4999</ns0:v>
      </ns0:c>
      <ns0:c r="I912" t="n">
        <ns0:v>342</ns0:v>
      </ns0:c>
      <ns0:c r="J912" t="n">
        <ns0:v>5341</ns0:v>
      </ns0:c>
      <ns0:c r="K912" t="n">
        <ns0:v>3</ns0:v>
      </ns0:c>
      <ns0:c r="L912" t="n">
        <ns0:v>1</ns0:v>
      </ns0:c>
      <ns0:c r="M912" t="n">
        <ns0:v>112115</ns0:v>
      </ns0:c>
      <ns0:c r="N912" t="n">
        <ns0:v>1098</ns0:v>
      </ns0:c>
      <ns0:c r="O912" t="n">
        <ns0:v>113213</ns0:v>
      </ns0:c>
      <ns0:c r="P912" t="n">
        <ns0:v>8</ns0:v>
      </ns0:c>
      <ns0:c r="Q912">
        <ns0:f>IF(AND(L912=1,O912*Calculations!$B$2&lt;=Calculations!$B$10*Calculations!$B$4),1,0)</ns0:f>
        <ns0:v>0</ns0:v>
      </ns0:c>
      <ns0:c r="R912">
        <ns0:f>IF(AND(L912=1,O912*Calculations!$B$2&lt;=Calculations!$B$11*Calculations!$B$4),1,0)</ns0:f>
        <ns0:v>0</ns0:v>
      </ns0:c>
    </ns0:row>
    <ns0:row r="913">
      <ns0:c r="A913" t="inlineStr">
        <ns0:is>
          <ns0:t>case_0912</ns0:t>
        </ns0:is>
      </ns0:c>
      <ns0:c r="B913" t="inlineStr">
        <ns0:is>
          <ns0:t>function_0155</ns0:t>
        </ns0:is>
      </ns0:c>
      <ns0:c r="C913" t="inlineStr">
        <ns0:is>
          <ns0:t>run_009</ns0:t>
        </ns0:is>
      </ns0:c>
      <ns0:c r="D913" t="inlineStr">
        <ns0:is>
          <ns0:t>humantime</ns0:t>
        </ns0:is>
      </ns0:c>
      <ns0:c r="E913" t="inlineStr">
        <ns0:is>
          <ns0:t>gpt-5-nano</ns0:t>
        </ns0:is>
      </ns0:c>
      <ns0:c r="F913" t="inlineStr">
        <ns0:is>
          <ns0:t>E0433</ns0:t>
        </ns0:is>
      </ns0:c>
      <ns0:c r="G913" t="n">
        <ns0:v>0</ns0:v>
      </ns0:c>
      <ns0:c r="H913" t="n">
        <ns0:v>3791</ns0:v>
      </ns0:c>
      <ns0:c r="I913" t="n">
        <ns0:v>231</ns0:v>
      </ns0:c>
      <ns0:c r="J913" t="n">
        <ns0:v>4022</ns0:v>
      </ns0:c>
      <ns0:c r="K913" t="n">
        <ns0:v>3</ns0:v>
      </ns0:c>
      <ns0:c r="L913" t="n">
        <ns0:v>1</ns0:v>
      </ns0:c>
      <ns0:c r="M913" t="n">
        <ns0:v>86504</ns0:v>
      </ns0:c>
      <ns0:c r="N913" t="n">
        <ns0:v>678</ns0:v>
      </ns0:c>
      <ns0:c r="O913" t="n">
        <ns0:v>87182</ns0:v>
      </ns0:c>
      <ns0:c r="P913" t="n">
        <ns0:v>6</ns0:v>
      </ns0:c>
      <ns0:c r="Q913">
        <ns0:f>IF(AND(L913=1,O913*Calculations!$B$2&lt;=Calculations!$B$10*Calculations!$B$4),1,0)</ns0:f>
        <ns0:v>0</ns0:v>
      </ns0:c>
      <ns0:c r="R913">
        <ns0:f>IF(AND(L913=1,O913*Calculations!$B$2&lt;=Calculations!$B$11*Calculations!$B$4),1,0)</ns0:f>
        <ns0:v>0</ns0:v>
      </ns0:c>
    </ns0:row>
    <ns0:row r="914">
      <ns0:c r="A914" t="inlineStr">
        <ns0:is>
          <ns0:t>case_0913</ns0:t>
        </ns0:is>
      </ns0:c>
      <ns0:c r="B914" t="inlineStr">
        <ns0:is>
          <ns0:t>function_0155</ns0:t>
        </ns0:is>
      </ns0:c>
      <ns0:c r="C914" t="inlineStr">
        <ns0:is>
          <ns0:t>run_009</ns0:t>
        </ns0:is>
      </ns0:c>
      <ns0:c r="D914" t="inlineStr">
        <ns0:is>
          <ns0:t>humantime</ns0:t>
        </ns0:is>
      </ns0:c>
      <ns0:c r="E914" t="inlineStr">
        <ns0:is>
          <ns0:t>gpt-5-nano</ns0:t>
        </ns0:is>
      </ns0:c>
      <ns0:c r="F914" t="inlineStr">
        <ns0:is>
          <ns0:t>E0107,E0599</ns0:t>
        </ns0:is>
      </ns0:c>
      <ns0:c r="G914" t="n">
        <ns0:v>1</ns0:v>
      </ns0:c>
      <ns0:c r="H914" t="n">
        <ns0:v>3736</ns0:v>
      </ns0:c>
      <ns0:c r="I914" t="n">
        <ns0:v>110</ns0:v>
      </ns0:c>
      <ns0:c r="J914" t="n">
        <ns0:v>3846</ns0:v>
      </ns0:c>
      <ns0:c r="K914" t="n">
        <ns0:v>2</ns0:v>
      </ns0:c>
      <ns0:c r="L914" t="n">
        <ns0:v>0</ns0:v>
      </ns0:c>
      <ns0:c r="M914" t="n">
        <ns0:v>35517</ns0:v>
      </ns0:c>
      <ns0:c r="N914" t="n">
        <ns0:v>1009</ns0:v>
      </ns0:c>
      <ns0:c r="O914" t="n">
        <ns0:v>36526</ns0:v>
      </ns0:c>
      <ns0:c r="P914" t="n">
        <ns0:v>5</ns0:v>
      </ns0:c>
      <ns0:c r="Q914">
        <ns0:f>IF(AND(L914=1,O914*Calculations!$B$2&lt;=Calculations!$B$10*Calculations!$B$4),1,0)</ns0:f>
        <ns0:v>0</ns0:v>
      </ns0:c>
      <ns0:c r="R914">
        <ns0:f>IF(AND(L914=1,O914*Calculations!$B$2&lt;=Calculations!$B$11*Calculations!$B$4),1,0)</ns0:f>
        <ns0:v>0</ns0:v>
      </ns0:c>
    </ns0:row>
    <ns0:row r="915">
      <ns0:c r="A915" t="inlineStr">
        <ns0:is>
          <ns0:t>case_0914</ns0:t>
        </ns0:is>
      </ns0:c>
      <ns0:c r="B915" t="inlineStr">
        <ns0:is>
          <ns0:t>function_0155</ns0:t>
        </ns0:is>
      </ns0:c>
      <ns0:c r="C915" t="inlineStr">
        <ns0:is>
          <ns0:t>run_009</ns0:t>
        </ns0:is>
      </ns0:c>
      <ns0:c r="D915" t="inlineStr">
        <ns0:is>
          <ns0:t>humantime</ns0:t>
        </ns0:is>
      </ns0:c>
      <ns0:c r="E915" t="inlineStr">
        <ns0:is>
          <ns0:t>gpt-5-nano</ns0:t>
        </ns0:is>
      </ns0:c>
      <ns0:c r="F915" t="inlineStr"/>
      <ns0:c r="G915" t="n">
        <ns0:v>0</ns0:v>
      </ns0:c>
      <ns0:c r="H915" t="n">
        <ns0:v>0</ns0:v>
      </ns0:c>
      <ns0:c r="I915" t="n">
        <ns0:v>0</ns0:v>
      </ns0:c>
      <ns0:c r="J915" t="n">
        <ns0:v>0</ns0:v>
      </ns0:c>
      <ns0:c r="K915" t="n">
        <ns0:v>0</ns0:v>
      </ns0:c>
      <ns0:c r="L915" t="n">
        <ns0:v>1</ns0:v>
      </ns0:c>
      <ns0:c r="M915" t="n">
        <ns0:v>101192</ns0:v>
      </ns0:c>
      <ns0:c r="N915" t="n">
        <ns0:v>1445</ns0:v>
      </ns0:c>
      <ns0:c r="O915" t="n">
        <ns0:v>102637</ns0:v>
      </ns0:c>
      <ns0:c r="P915" t="n">
        <ns0:v>12</ns0:v>
      </ns0:c>
      <ns0:c r="Q915">
        <ns0:f>IF(AND(L915=1,O915*Calculations!$B$2&lt;=Calculations!$B$10*Calculations!$B$4),1,0)</ns0:f>
        <ns0:v>0</ns0:v>
      </ns0:c>
      <ns0:c r="R915">
        <ns0:f>IF(AND(L915=1,O915*Calculations!$B$2&lt;=Calculations!$B$11*Calculations!$B$4),1,0)</ns0:f>
        <ns0:v>0</ns0:v>
      </ns0:c>
    </ns0:row>
    <ns0:row r="916">
      <ns0:c r="A916" t="inlineStr">
        <ns0:is>
          <ns0:t>case_0915</ns0:t>
        </ns0:is>
      </ns0:c>
      <ns0:c r="B916" t="inlineStr">
        <ns0:is>
          <ns0:t>function_0156</ns0:t>
        </ns0:is>
      </ns0:c>
      <ns0:c r="C916" t="inlineStr">
        <ns0:is>
          <ns0:t>run_009</ns0:t>
        </ns0:is>
      </ns0:c>
      <ns0:c r="D916" t="inlineStr">
        <ns0:is>
          <ns0:t>humantime</ns0:t>
        </ns0:is>
      </ns0:c>
      <ns0:c r="E916" t="inlineStr">
        <ns0:is>
          <ns0:t>gpt-5-nano</ns0:t>
        </ns0:is>
      </ns0:c>
      <ns0:c r="F916" t="inlineStr">
        <ns0:is>
          <ns0:t>E0433</ns0:t>
        </ns0:is>
      </ns0:c>
      <ns0:c r="G916" t="n">
        <ns0:v>0</ns0:v>
      </ns0:c>
      <ns0:c r="H916" t="n">
        <ns0:v>7353</ns0:v>
      </ns0:c>
      <ns0:c r="I916" t="n">
        <ns0:v>654</ns0:v>
      </ns0:c>
      <ns0:c r="J916" t="n">
        <ns0:v>8007</ns0:v>
      </ns0:c>
      <ns0:c r="K916" t="n">
        <ns0:v>3</ns0:v>
      </ns0:c>
      <ns0:c r="L916" t="n">
        <ns0:v>0</ns0:v>
      </ns0:c>
      <ns0:c r="M916" t="n">
        <ns0:v>157822</ns0:v>
      </ns0:c>
      <ns0:c r="N916" t="n">
        <ns0:v>1187</ns0:v>
      </ns0:c>
      <ns0:c r="O916" t="n">
        <ns0:v>159009</ns0:v>
      </ns0:c>
      <ns0:c r="P916" t="n">
        <ns0:v>16</ns0:v>
      </ns0:c>
      <ns0:c r="Q916">
        <ns0:f>IF(AND(L916=1,O916*Calculations!$B$2&lt;=Calculations!$B$10*Calculations!$B$4),1,0)</ns0:f>
        <ns0:v>0</ns0:v>
      </ns0:c>
      <ns0:c r="R916">
        <ns0:f>IF(AND(L916=1,O916*Calculations!$B$2&lt;=Calculations!$B$11*Calculations!$B$4),1,0)</ns0:f>
        <ns0:v>0</ns0:v>
      </ns0:c>
    </ns0:row>
    <ns0:row r="917">
      <ns0:c r="A917" t="inlineStr">
        <ns0:is>
          <ns0:t>case_0916</ns0:t>
        </ns0:is>
      </ns0:c>
      <ns0:c r="B917" t="inlineStr">
        <ns0:is>
          <ns0:t>function_0156</ns0:t>
        </ns0:is>
      </ns0:c>
      <ns0:c r="C917" t="inlineStr">
        <ns0:is>
          <ns0:t>run_009</ns0:t>
        </ns0:is>
      </ns0:c>
      <ns0:c r="D917" t="inlineStr">
        <ns0:is>
          <ns0:t>humantime</ns0:t>
        </ns0:is>
      </ns0:c>
      <ns0:c r="E917" t="inlineStr">
        <ns0:is>
          <ns0:t>gpt-5-nano</ns0:t>
        </ns0:is>
      </ns0:c>
      <ns0:c r="F917" t="inlineStr">
        <ns0:is>
          <ns0:t>E0433</ns0:t>
        </ns0:is>
      </ns0:c>
      <ns0:c r="G917" t="n">
        <ns0:v>0</ns0:v>
      </ns0:c>
      <ns0:c r="H917" t="n">
        <ns0:v>0</ns0:v>
      </ns0:c>
      <ns0:c r="I917" t="n">
        <ns0:v>0</ns0:v>
      </ns0:c>
      <ns0:c r="J917" t="n">
        <ns0:v>0</ns0:v>
      </ns0:c>
      <ns0:c r="K917" t="n">
        <ns0:v>0</ns0:v>
      </ns0:c>
      <ns0:c r="L917" t="n">
        <ns0:v>1</ns0:v>
      </ns0:c>
      <ns0:c r="M917" t="n">
        <ns0:v>125355</ns0:v>
      </ns0:c>
      <ns0:c r="N917" t="n">
        <ns0:v>881</ns0:v>
      </ns0:c>
      <ns0:c r="O917" t="n">
        <ns0:v>126236</ns0:v>
      </ns0:c>
      <ns0:c r="P917" t="n">
        <ns0:v>12</ns0:v>
      </ns0:c>
      <ns0:c r="Q917">
        <ns0:f>IF(AND(L917=1,O917*Calculations!$B$2&lt;=Calculations!$B$10*Calculations!$B$4),1,0)</ns0:f>
        <ns0:v>0</ns0:v>
      </ns0:c>
      <ns0:c r="R917">
        <ns0:f>IF(AND(L917=1,O917*Calculations!$B$2&lt;=Calculations!$B$11*Calculations!$B$4),1,0)</ns0:f>
        <ns0:v>0</ns0:v>
      </ns0:c>
    </ns0:row>
    <ns0:row r="918">
      <ns0:c r="A918" t="inlineStr">
        <ns0:is>
          <ns0:t>case_0917</ns0:t>
        </ns0:is>
      </ns0:c>
      <ns0:c r="B918" t="inlineStr">
        <ns0:is>
          <ns0:t>function_0156</ns0:t>
        </ns0:is>
      </ns0:c>
      <ns0:c r="C918" t="inlineStr">
        <ns0:is>
          <ns0:t>run_009</ns0:t>
        </ns0:is>
      </ns0:c>
      <ns0:c r="D918" t="inlineStr">
        <ns0:is>
          <ns0:t>humantime</ns0:t>
        </ns0:is>
      </ns0:c>
      <ns0:c r="E918" t="inlineStr">
        <ns0:is>
          <ns0:t>gpt-5-nano</ns0:t>
        </ns0:is>
      </ns0:c>
      <ns0:c r="F918" t="inlineStr">
        <ns0:is>
          <ns0:t>E0433</ns0:t>
        </ns0:is>
      </ns0:c>
      <ns0:c r="G918" t="n">
        <ns0:v>0</ns0:v>
      </ns0:c>
      <ns0:c r="H918" t="n">
        <ns0:v>10079</ns0:v>
      </ns0:c>
      <ns0:c r="I918" t="n">
        <ns0:v>1089</ns0:v>
      </ns0:c>
      <ns0:c r="J918" t="n">
        <ns0:v>11168</ns0:v>
      </ns0:c>
      <ns0:c r="K918" t="n">
        <ns0:v>3</ns0:v>
      </ns0:c>
      <ns0:c r="L918" t="n">
        <ns0:v>0</ns0:v>
      </ns0:c>
      <ns0:c r="M918" t="n">
        <ns0:v>251166</ns0:v>
      </ns0:c>
      <ns0:c r="N918" t="n">
        <ns0:v>3095</ns0:v>
      </ns0:c>
      <ns0:c r="O918" t="n">
        <ns0:v>254261</ns0:v>
      </ns0:c>
      <ns0:c r="P918" t="n">
        <ns0:v>20</ns0:v>
      </ns0:c>
      <ns0:c r="Q918">
        <ns0:f>IF(AND(L918=1,O918*Calculations!$B$2&lt;=Calculations!$B$10*Calculations!$B$4),1,0)</ns0:f>
        <ns0:v>0</ns0:v>
      </ns0:c>
      <ns0:c r="R918">
        <ns0:f>IF(AND(L918=1,O918*Calculations!$B$2&lt;=Calculations!$B$11*Calculations!$B$4),1,0)</ns0:f>
        <ns0:v>0</ns0:v>
      </ns0:c>
    </ns0:row>
    <ns0:row r="919">
      <ns0:c r="A919" t="inlineStr">
        <ns0:is>
          <ns0:t>case_0918</ns0:t>
        </ns0:is>
      </ns0:c>
      <ns0:c r="B919" t="inlineStr">
        <ns0:is>
          <ns0:t>function_0156</ns0:t>
        </ns0:is>
      </ns0:c>
      <ns0:c r="C919" t="inlineStr">
        <ns0:is>
          <ns0:t>run_009</ns0:t>
        </ns0:is>
      </ns0:c>
      <ns0:c r="D919" t="inlineStr">
        <ns0:is>
          <ns0:t>humantime</ns0:t>
        </ns0:is>
      </ns0:c>
      <ns0:c r="E919" t="inlineStr">
        <ns0:is>
          <ns0:t>gpt-5-nano</ns0:t>
        </ns0:is>
      </ns0:c>
      <ns0:c r="F919" t="inlineStr">
        <ns0:is>
          <ns0:t>E0599</ns0:t>
        </ns0:is>
      </ns0:c>
      <ns0:c r="G919" t="n">
        <ns0:v>0</ns0:v>
      </ns0:c>
      <ns0:c r="H919" t="n">
        <ns0:v>4223</ns0:v>
      </ns0:c>
      <ns0:c r="I919" t="n">
        <ns0:v>922</ns0:v>
      </ns0:c>
      <ns0:c r="J919" t="n">
        <ns0:v>5145</ns0:v>
      </ns0:c>
      <ns0:c r="K919" t="n">
        <ns0:v>3</ns0:v>
      </ns0:c>
      <ns0:c r="L919" t="n">
        <ns0:v>1</ns0:v>
      </ns0:c>
      <ns0:c r="M919" t="n">
        <ns0:v>89567</ns0:v>
      </ns0:c>
      <ns0:c r="N919" t="n">
        <ns0:v>810</ns0:v>
      </ns0:c>
      <ns0:c r="O919" t="n">
        <ns0:v>90377</ns0:v>
      </ns0:c>
      <ns0:c r="P919" t="n">
        <ns0:v>6</ns0:v>
      </ns0:c>
      <ns0:c r="Q919">
        <ns0:f>IF(AND(L919=1,O919*Calculations!$B$2&lt;=Calculations!$B$10*Calculations!$B$4),1,0)</ns0:f>
        <ns0:v>0</ns0:v>
      </ns0:c>
      <ns0:c r="R919">
        <ns0:f>IF(AND(L919=1,O919*Calculations!$B$2&lt;=Calculations!$B$11*Calculations!$B$4),1,0)</ns0:f>
        <ns0:v>0</ns0:v>
      </ns0:c>
    </ns0:row>
    <ns0:row r="920">
      <ns0:c r="A920" t="inlineStr">
        <ns0:is>
          <ns0:t>case_0919</ns0:t>
        </ns0:is>
      </ns0:c>
      <ns0:c r="B920" t="inlineStr">
        <ns0:is>
          <ns0:t>function_0156</ns0:t>
        </ns0:is>
      </ns0:c>
      <ns0:c r="C920" t="inlineStr">
        <ns0:is>
          <ns0:t>run_009</ns0:t>
        </ns0:is>
      </ns0:c>
      <ns0:c r="D920" t="inlineStr">
        <ns0:is>
          <ns0:t>humantime</ns0:t>
        </ns0:is>
      </ns0:c>
      <ns0:c r="E920" t="inlineStr">
        <ns0:is>
          <ns0:t>gpt-5-nano</ns0:t>
        </ns0:is>
      </ns0:c>
      <ns0:c r="F920" t="inlineStr">
        <ns0:is>
          <ns0:t>E0433</ns0:t>
        </ns0:is>
      </ns0:c>
      <ns0:c r="G920" t="n">
        <ns0:v>0</ns0:v>
      </ns0:c>
      <ns0:c r="H920" t="n">
        <ns0:v>3913</ns0:v>
      </ns0:c>
      <ns0:c r="I920" t="n">
        <ns0:v>243</ns0:v>
      </ns0:c>
      <ns0:c r="J920" t="n">
        <ns0:v>4156</ns0:v>
      </ns0:c>
      <ns0:c r="K920" t="n">
        <ns0:v>3</ns0:v>
      </ns0:c>
      <ns0:c r="L920" t="n">
        <ns0:v>0</ns0:v>
      </ns0:c>
      <ns0:c r="M920" t="n">
        <ns0:v>180681</ns0:v>
      </ns0:c>
      <ns0:c r="N920" t="n">
        <ns0:v>3882</ns0:v>
      </ns0:c>
      <ns0:c r="O920" t="n">
        <ns0:v>184563</ns0:v>
      </ns0:c>
      <ns0:c r="P920" t="n">
        <ns0:v>20</ns0:v>
      </ns0:c>
      <ns0:c r="Q920">
        <ns0:f>IF(AND(L920=1,O920*Calculations!$B$2&lt;=Calculations!$B$10*Calculations!$B$4),1,0)</ns0:f>
        <ns0:v>0</ns0:v>
      </ns0:c>
      <ns0:c r="R920">
        <ns0:f>IF(AND(L920=1,O920*Calculations!$B$2&lt;=Calculations!$B$11*Calculations!$B$4),1,0)</ns0:f>
        <ns0:v>0</ns0:v>
      </ns0:c>
    </ns0:row>
    <ns0:row r="921">
      <ns0:c r="A921" t="inlineStr">
        <ns0:is>
          <ns0:t>case_0920</ns0:t>
        </ns0:is>
      </ns0:c>
      <ns0:c r="B921" t="inlineStr">
        <ns0:is>
          <ns0:t>function_0156</ns0:t>
        </ns0:is>
      </ns0:c>
      <ns0:c r="C921" t="inlineStr">
        <ns0:is>
          <ns0:t>run_009</ns0:t>
        </ns0:is>
      </ns0:c>
      <ns0:c r="D921" t="inlineStr">
        <ns0:is>
          <ns0:t>humantime</ns0:t>
        </ns0:is>
      </ns0:c>
      <ns0:c r="E921" t="inlineStr">
        <ns0:is>
          <ns0:t>gpt-5-nano</ns0:t>
        </ns0:is>
      </ns0:c>
      <ns0:c r="F921" t="inlineStr">
        <ns0:is>
          <ns0:t>E0599</ns0:t>
        </ns0:is>
      </ns0:c>
      <ns0:c r="G921" t="n">
        <ns0:v>0</ns0:v>
      </ns0:c>
      <ns0:c r="H921" t="n">
        <ns0:v>4318</ns0:v>
      </ns0:c>
      <ns0:c r="I921" t="n">
        <ns0:v>969</ns0:v>
      </ns0:c>
      <ns0:c r="J921" t="n">
        <ns0:v>5287</ns0:v>
      </ns0:c>
      <ns0:c r="K921" t="n">
        <ns0:v>3</ns0:v>
      </ns0:c>
      <ns0:c r="L921" t="n">
        <ns0:v>0</ns0:v>
      </ns0:c>
      <ns0:c r="M921" t="n">
        <ns0:v>109581</ns0:v>
      </ns0:c>
      <ns0:c r="N921" t="n">
        <ns0:v>1124</ns0:v>
      </ns0:c>
      <ns0:c r="O921" t="n">
        <ns0:v>110705</ns0:v>
      </ns0:c>
      <ns0:c r="P921" t="n">
        <ns0:v>12</ns0:v>
      </ns0:c>
      <ns0:c r="Q921">
        <ns0:f>IF(AND(L921=1,O921*Calculations!$B$2&lt;=Calculations!$B$10*Calculations!$B$4),1,0)</ns0:f>
        <ns0:v>0</ns0:v>
      </ns0:c>
      <ns0:c r="R921">
        <ns0:f>IF(AND(L921=1,O921*Calculations!$B$2&lt;=Calculations!$B$11*Calculations!$B$4),1,0)</ns0:f>
        <ns0:v>0</ns0:v>
      </ns0:c>
    </ns0:row>
    <ns0:row r="922">
      <ns0:c r="A922" t="inlineStr">
        <ns0:is>
          <ns0:t>case_0921</ns0:t>
        </ns0:is>
      </ns0:c>
      <ns0:c r="B922" t="inlineStr">
        <ns0:is>
          <ns0:t>function_0156</ns0:t>
        </ns0:is>
      </ns0:c>
      <ns0:c r="C922" t="inlineStr">
        <ns0:is>
          <ns0:t>run_009</ns0:t>
        </ns0:is>
      </ns0:c>
      <ns0:c r="D922" t="inlineStr">
        <ns0:is>
          <ns0:t>humantime</ns0:t>
        </ns0:is>
      </ns0:c>
      <ns0:c r="E922" t="inlineStr">
        <ns0:is>
          <ns0:t>gpt-5-nano</ns0:t>
        </ns0:is>
      </ns0:c>
      <ns0:c r="F922" t="inlineStr">
        <ns0:is>
          <ns0:t>E0433</ns0:t>
        </ns0:is>
      </ns0:c>
      <ns0:c r="G922" t="n">
        <ns0:v>0</ns0:v>
      </ns0:c>
      <ns0:c r="H922" t="n">
        <ns0:v>8130</ns0:v>
      </ns0:c>
      <ns0:c r="I922" t="n">
        <ns0:v>838</ns0:v>
      </ns0:c>
      <ns0:c r="J922" t="n">
        <ns0:v>8968</ns0:v>
      </ns0:c>
      <ns0:c r="K922" t="n">
        <ns0:v>3</ns0:v>
      </ns0:c>
      <ns0:c r="L922" t="n">
        <ns0:v>1</ns0:v>
      </ns0:c>
      <ns0:c r="M922" t="n">
        <ns0:v>192659</ns0:v>
      </ns0:c>
      <ns0:c r="N922" t="n">
        <ns0:v>2363</ns0:v>
      </ns0:c>
      <ns0:c r="O922" t="n">
        <ns0:v>195022</ns0:v>
      </ns0:c>
      <ns0:c r="P922" t="n">
        <ns0:v>13</ns0:v>
      </ns0:c>
      <ns0:c r="Q922">
        <ns0:f>IF(AND(L922=1,O922*Calculations!$B$2&lt;=Calculations!$B$10*Calculations!$B$4),1,0)</ns0:f>
        <ns0:v>0</ns0:v>
      </ns0:c>
      <ns0:c r="R922">
        <ns0:f>IF(AND(L922=1,O922*Calculations!$B$2&lt;=Calculations!$B$11*Calculations!$B$4),1,0)</ns0:f>
        <ns0:v>0</ns0:v>
      </ns0:c>
    </ns0:row>
    <ns0:row r="923">
      <ns0:c r="A923" t="inlineStr">
        <ns0:is>
          <ns0:t>case_0922</ns0:t>
        </ns0:is>
      </ns0:c>
      <ns0:c r="B923" t="inlineStr">
        <ns0:is>
          <ns0:t>function_0156</ns0:t>
        </ns0:is>
      </ns0:c>
      <ns0:c r="C923" t="inlineStr">
        <ns0:is>
          <ns0:t>run_009</ns0:t>
        </ns0:is>
      </ns0:c>
      <ns0:c r="D923" t="inlineStr">
        <ns0:is>
          <ns0:t>humantime</ns0:t>
        </ns0:is>
      </ns0:c>
      <ns0:c r="E923" t="inlineStr">
        <ns0:is>
          <ns0:t>gpt-5-nano</ns0:t>
        </ns0:is>
      </ns0:c>
      <ns0:c r="F923" t="inlineStr">
        <ns0:is>
          <ns0:t>E0433</ns0:t>
        </ns0:is>
      </ns0:c>
      <ns0:c r="G923" t="n">
        <ns0:v>0</ns0:v>
      </ns0:c>
      <ns0:c r="H923" t="n">
        <ns0:v>10356</ns0:v>
      </ns0:c>
      <ns0:c r="I923" t="n">
        <ns0:v>1128</ns0:v>
      </ns0:c>
      <ns0:c r="J923" t="n">
        <ns0:v>11484</ns0:v>
      </ns0:c>
      <ns0:c r="K923" t="n">
        <ns0:v>3</ns0:v>
      </ns0:c>
      <ns0:c r="L923" t="n">
        <ns0:v>0</ns0:v>
      </ns0:c>
      <ns0:c r="M923" t="n">
        <ns0:v>250531</ns0:v>
      </ns0:c>
      <ns0:c r="N923" t="n">
        <ns0:v>1381</ns0:v>
      </ns0:c>
      <ns0:c r="O923" t="n">
        <ns0:v>251912</ns0:v>
      </ns0:c>
      <ns0:c r="P923" t="n">
        <ns0:v>20</ns0:v>
      </ns0:c>
      <ns0:c r="Q923">
        <ns0:f>IF(AND(L923=1,O923*Calculations!$B$2&lt;=Calculations!$B$10*Calculations!$B$4),1,0)</ns0:f>
        <ns0:v>0</ns0:v>
      </ns0:c>
      <ns0:c r="R923">
        <ns0:f>IF(AND(L923=1,O923*Calculations!$B$2&lt;=Calculations!$B$11*Calculations!$B$4),1,0)</ns0:f>
        <ns0:v>0</ns0:v>
      </ns0:c>
    </ns0:row>
    <ns0:row r="924">
      <ns0:c r="A924" t="inlineStr">
        <ns0:is>
          <ns0:t>case_0923</ns0:t>
        </ns0:is>
      </ns0:c>
      <ns0:c r="B924" t="inlineStr">
        <ns0:is>
          <ns0:t>function_0156</ns0:t>
        </ns0:is>
      </ns0:c>
      <ns0:c r="C924" t="inlineStr">
        <ns0:is>
          <ns0:t>run_009</ns0:t>
        </ns0:is>
      </ns0:c>
      <ns0:c r="D924" t="inlineStr">
        <ns0:is>
          <ns0:t>humantime</ns0:t>
        </ns0:is>
      </ns0:c>
      <ns0:c r="E924" t="inlineStr">
        <ns0:is>
          <ns0:t>gpt-5-nano</ns0:t>
        </ns0:is>
      </ns0:c>
      <ns0:c r="F924" t="inlineStr">
        <ns0:is>
          <ns0:t>E0433</ns0:t>
        </ns0:is>
      </ns0:c>
      <ns0:c r="G924" t="n">
        <ns0:v>0</ns0:v>
      </ns0:c>
      <ns0:c r="H924" t="n">
        <ns0:v>7251</ns0:v>
      </ns0:c>
      <ns0:c r="I924" t="n">
        <ns0:v>648</ns0:v>
      </ns0:c>
      <ns0:c r="J924" t="n">
        <ns0:v>7899</ns0:v>
      </ns0:c>
      <ns0:c r="K924" t="n">
        <ns0:v>3</ns0:v>
      </ns0:c>
      <ns0:c r="L924" t="n">
        <ns0:v>0</ns0:v>
      </ns0:c>
      <ns0:c r="M924" t="n">
        <ns0:v>222483</ns0:v>
      </ns0:c>
      <ns0:c r="N924" t="n">
        <ns0:v>1517</ns0:v>
      </ns0:c>
      <ns0:c r="O924" t="n">
        <ns0:v>224000</ns0:v>
      </ns0:c>
      <ns0:c r="P924" t="n">
        <ns0:v>20</ns0:v>
      </ns0:c>
      <ns0:c r="Q924">
        <ns0:f>IF(AND(L924=1,O924*Calculations!$B$2&lt;=Calculations!$B$10*Calculations!$B$4),1,0)</ns0:f>
        <ns0:v>0</ns0:v>
      </ns0:c>
      <ns0:c r="R924">
        <ns0:f>IF(AND(L924=1,O924*Calculations!$B$2&lt;=Calculations!$B$11*Calculations!$B$4),1,0)</ns0:f>
        <ns0:v>0</ns0:v>
      </ns0:c>
    </ns0:row>
    <ns0:row r="925">
      <ns0:c r="A925" t="inlineStr">
        <ns0:is>
          <ns0:t>case_0924</ns0:t>
        </ns0:is>
      </ns0:c>
      <ns0:c r="B925" t="inlineStr">
        <ns0:is>
          <ns0:t>function_0156</ns0:t>
        </ns0:is>
      </ns0:c>
      <ns0:c r="C925" t="inlineStr">
        <ns0:is>
          <ns0:t>run_009</ns0:t>
        </ns0:is>
      </ns0:c>
      <ns0:c r="D925" t="inlineStr">
        <ns0:is>
          <ns0:t>humantime</ns0:t>
        </ns0:is>
      </ns0:c>
      <ns0:c r="E925" t="inlineStr">
        <ns0:is>
          <ns0:t>gpt-5-nano</ns0:t>
        </ns0:is>
      </ns0:c>
      <ns0:c r="F925" t="inlineStr">
        <ns0:is>
          <ns0:t>E0599</ns0:t>
        </ns0:is>
      </ns0:c>
      <ns0:c r="G925" t="n">
        <ns0:v>0</ns0:v>
      </ns0:c>
      <ns0:c r="H925" t="n">
        <ns0:v>3899</ns0:v>
      </ns0:c>
      <ns0:c r="I925" t="n">
        <ns0:v>726</ns0:v>
      </ns0:c>
      <ns0:c r="J925" t="n">
        <ns0:v>4625</ns0:v>
      </ns0:c>
      <ns0:c r="K925" t="n">
        <ns0:v>3</ns0:v>
      </ns0:c>
      <ns0:c r="L925" t="n">
        <ns0:v>0</ns0:v>
      </ns0:c>
      <ns0:c r="M925" t="n">
        <ns0:v>30409</ns0:v>
      </ns0:c>
      <ns0:c r="N925" t="n">
        <ns0:v>383</ns0:v>
      </ns0:c>
      <ns0:c r="O925" t="n">
        <ns0:v>30792</ns0:v>
      </ns0:c>
      <ns0:c r="P925" t="n">
        <ns0:v>4</ns0:v>
      </ns0:c>
      <ns0:c r="Q925">
        <ns0:f>IF(AND(L925=1,O925*Calculations!$B$2&lt;=Calculations!$B$10*Calculations!$B$4),1,0)</ns0:f>
        <ns0:v>0</ns0:v>
      </ns0:c>
      <ns0:c r="R925">
        <ns0:f>IF(AND(L925=1,O925*Calculations!$B$2&lt;=Calculations!$B$11*Calculations!$B$4),1,0)</ns0:f>
        <ns0:v>0</ns0:v>
      </ns0:c>
    </ns0:row>
    <ns0:row r="926">
      <ns0:c r="A926" t="inlineStr">
        <ns0:is>
          <ns0:t>case_0925</ns0:t>
        </ns0:is>
      </ns0:c>
      <ns0:c r="B926" t="inlineStr">
        <ns0:is>
          <ns0:t>function_0156</ns0:t>
        </ns0:is>
      </ns0:c>
      <ns0:c r="C926" t="inlineStr">
        <ns0:is>
          <ns0:t>run_009</ns0:t>
        </ns0:is>
      </ns0:c>
      <ns0:c r="D926" t="inlineStr">
        <ns0:is>
          <ns0:t>humantime</ns0:t>
        </ns0:is>
      </ns0:c>
      <ns0:c r="E926" t="inlineStr">
        <ns0:is>
          <ns0:t>gpt-5-nano</ns0:t>
        </ns0:is>
      </ns0:c>
      <ns0:c r="F926" t="inlineStr">
        <ns0:is>
          <ns0:t>E0433</ns0:t>
        </ns0:is>
      </ns0:c>
      <ns0:c r="G926" t="n">
        <ns0:v>0</ns0:v>
      </ns0:c>
      <ns0:c r="H926" t="n">
        <ns0:v>8323</ns0:v>
      </ns0:c>
      <ns0:c r="I926" t="n">
        <ns0:v>570</ns0:v>
      </ns0:c>
      <ns0:c r="J926" t="n">
        <ns0:v>8893</ns0:v>
      </ns0:c>
      <ns0:c r="K926" t="n">
        <ns0:v>3</ns0:v>
      </ns0:c>
      <ns0:c r="L926" t="n">
        <ns0:v>1</ns0:v>
      </ns0:c>
      <ns0:c r="M926" t="n">
        <ns0:v>80364</ns0:v>
      </ns0:c>
      <ns0:c r="N926" t="n">
        <ns0:v>1279</ns0:v>
      </ns0:c>
      <ns0:c r="O926" t="n">
        <ns0:v>81643</ns0:v>
      </ns0:c>
      <ns0:c r="P926" t="n">
        <ns0:v>8</ns0:v>
      </ns0:c>
      <ns0:c r="Q926">
        <ns0:f>IF(AND(L926=1,O926*Calculations!$B$2&lt;=Calculations!$B$10*Calculations!$B$4),1,0)</ns0:f>
        <ns0:v>0</ns0:v>
      </ns0:c>
      <ns0:c r="R926">
        <ns0:f>IF(AND(L926=1,O926*Calculations!$B$2&lt;=Calculations!$B$11*Calculations!$B$4),1,0)</ns0:f>
        <ns0:v>0</ns0:v>
      </ns0:c>
    </ns0:row>
    <ns0:row r="927">
      <ns0:c r="A927" t="inlineStr">
        <ns0:is>
          <ns0:t>case_0926</ns0:t>
        </ns0:is>
      </ns0:c>
      <ns0:c r="B927" t="inlineStr">
        <ns0:is>
          <ns0:t>function_0156</ns0:t>
        </ns0:is>
      </ns0:c>
      <ns0:c r="C927" t="inlineStr">
        <ns0:is>
          <ns0:t>run_009</ns0:t>
        </ns0:is>
      </ns0:c>
      <ns0:c r="D927" t="inlineStr">
        <ns0:is>
          <ns0:t>humantime</ns0:t>
        </ns0:is>
      </ns0:c>
      <ns0:c r="E927" t="inlineStr">
        <ns0:is>
          <ns0:t>gpt-5-nano</ns0:t>
        </ns0:is>
      </ns0:c>
      <ns0:c r="F927" t="inlineStr">
        <ns0:is>
          <ns0:t>E0433</ns0:t>
        </ns0:is>
      </ns0:c>
      <ns0:c r="G927" t="n">
        <ns0:v>0</ns0:v>
      </ns0:c>
      <ns0:c r="H927" t="n">
        <ns0:v>7433</ns0:v>
      </ns0:c>
      <ns0:c r="I927" t="n">
        <ns0:v>711</ns0:v>
      </ns0:c>
      <ns0:c r="J927" t="n">
        <ns0:v>8144</ns0:v>
      </ns0:c>
      <ns0:c r="K927" t="n">
        <ns0:v>3</ns0:v>
      </ns0:c>
      <ns0:c r="L927" t="n">
        <ns0:v>1</ns0:v>
      </ns0:c>
      <ns0:c r="M927" t="n">
        <ns0:v>121004</ns0:v>
      </ns0:c>
      <ns0:c r="N927" t="n">
        <ns0:v>1332</ns0:v>
      </ns0:c>
      <ns0:c r="O927" t="n">
        <ns0:v>122336</ns0:v>
      </ns0:c>
      <ns0:c r="P927" t="n">
        <ns0:v>10</ns0:v>
      </ns0:c>
      <ns0:c r="Q927">
        <ns0:f>IF(AND(L927=1,O927*Calculations!$B$2&lt;=Calculations!$B$10*Calculations!$B$4),1,0)</ns0:f>
        <ns0:v>0</ns0:v>
      </ns0:c>
      <ns0:c r="R927">
        <ns0:f>IF(AND(L927=1,O927*Calculations!$B$2&lt;=Calculations!$B$11*Calculations!$B$4),1,0)</ns0:f>
        <ns0:v>0</ns0:v>
      </ns0:c>
    </ns0:row>
    <ns0:row r="928">
      <ns0:c r="A928" t="inlineStr">
        <ns0:is>
          <ns0:t>case_0927</ns0:t>
        </ns0:is>
      </ns0:c>
      <ns0:c r="B928" t="inlineStr">
        <ns0:is>
          <ns0:t>function_0157</ns0:t>
        </ns0:is>
      </ns0:c>
      <ns0:c r="C928" t="inlineStr">
        <ns0:is>
          <ns0:t>run_009</ns0:t>
        </ns0:is>
      </ns0:c>
      <ns0:c r="D928" t="inlineStr">
        <ns0:is>
          <ns0:t>humantime</ns0:t>
        </ns0:is>
      </ns0:c>
      <ns0:c r="E928" t="inlineStr">
        <ns0:is>
          <ns0:t>gpt-5-nano</ns0:t>
        </ns0:is>
      </ns0:c>
      <ns0:c r="F928" t="inlineStr">
        <ns0:is>
          <ns0:t>E0433</ns0:t>
        </ns0:is>
      </ns0:c>
      <ns0:c r="G928" t="n">
        <ns0:v>0</ns0:v>
      </ns0:c>
      <ns0:c r="H928" t="n">
        <ns0:v>5453</ns0:v>
      </ns0:c>
      <ns0:c r="I928" t="n">
        <ns0:v>430</ns0:v>
      </ns0:c>
      <ns0:c r="J928" t="n">
        <ns0:v>5883</ns0:v>
      </ns0:c>
      <ns0:c r="K928" t="n">
        <ns0:v>3</ns0:v>
      </ns0:c>
      <ns0:c r="L928" t="n">
        <ns0:v>0</ns0:v>
      </ns0:c>
      <ns0:c r="M928" t="n">
        <ns0:v>82333</ns0:v>
      </ns0:c>
      <ns0:c r="N928" t="n">
        <ns0:v>1431</ns0:v>
      </ns0:c>
      <ns0:c r="O928" t="n">
        <ns0:v>83764</ns0:v>
      </ns0:c>
      <ns0:c r="P928" t="n">
        <ns0:v>9</ns0:v>
      </ns0:c>
      <ns0:c r="Q928">
        <ns0:f>IF(AND(L928=1,O928*Calculations!$B$2&lt;=Calculations!$B$10*Calculations!$B$4),1,0)</ns0:f>
        <ns0:v>0</ns0:v>
      </ns0:c>
      <ns0:c r="R928">
        <ns0:f>IF(AND(L928=1,O928*Calculations!$B$2&lt;=Calculations!$B$11*Calculations!$B$4),1,0)</ns0:f>
        <ns0:v>0</ns0:v>
      </ns0:c>
    </ns0:row>
    <ns0:row r="929">
      <ns0:c r="A929" t="inlineStr">
        <ns0:is>
          <ns0:t>case_0928</ns0:t>
        </ns0:is>
      </ns0:c>
      <ns0:c r="B929" t="inlineStr">
        <ns0:is>
          <ns0:t>function_0157</ns0:t>
        </ns0:is>
      </ns0:c>
      <ns0:c r="C929" t="inlineStr">
        <ns0:is>
          <ns0:t>run_009</ns0:t>
        </ns0:is>
      </ns0:c>
      <ns0:c r="D929" t="inlineStr">
        <ns0:is>
          <ns0:t>humantime</ns0:t>
        </ns0:is>
      </ns0:c>
      <ns0:c r="E929" t="inlineStr">
        <ns0:is>
          <ns0:t>gpt-5-nano</ns0:t>
        </ns0:is>
      </ns0:c>
      <ns0:c r="F929" t="inlineStr">
        <ns0:is>
          <ns0:t>E0433</ns0:t>
        </ns0:is>
      </ns0:c>
      <ns0:c r="G929" t="n">
        <ns0:v>0</ns0:v>
      </ns0:c>
      <ns0:c r="H929" t="n">
        <ns0:v>4787</ns0:v>
      </ns0:c>
      <ns0:c r="I929" t="n">
        <ns0:v>348</ns0:v>
      </ns0:c>
      <ns0:c r="J929" t="n">
        <ns0:v>5135</ns0:v>
      </ns0:c>
      <ns0:c r="K929" t="n">
        <ns0:v>3</ns0:v>
      </ns0:c>
      <ns0:c r="L929" t="n">
        <ns0:v>1</ns0:v>
      </ns0:c>
      <ns0:c r="M929" t="n">
        <ns0:v>175027</ns0:v>
      </ns0:c>
      <ns0:c r="N929" t="n">
        <ns0:v>1455</ns0:v>
      </ns0:c>
      <ns0:c r="O929" t="n">
        <ns0:v>176482</ns0:v>
      </ns0:c>
      <ns0:c r="P929" t="n">
        <ns0:v>11</ns0:v>
      </ns0:c>
      <ns0:c r="Q929">
        <ns0:f>IF(AND(L929=1,O929*Calculations!$B$2&lt;=Calculations!$B$10*Calculations!$B$4),1,0)</ns0:f>
        <ns0:v>0</ns0:v>
      </ns0:c>
      <ns0:c r="R929">
        <ns0:f>IF(AND(L929=1,O929*Calculations!$B$2&lt;=Calculations!$B$11*Calculations!$B$4),1,0)</ns0:f>
        <ns0:v>0</ns0:v>
      </ns0:c>
    </ns0:row>
    <ns0:row r="930">
      <ns0:c r="A930" t="inlineStr">
        <ns0:is>
          <ns0:t>case_0929</ns0:t>
        </ns0:is>
      </ns0:c>
      <ns0:c r="B930" t="inlineStr">
        <ns0:is>
          <ns0:t>function_0157</ns0:t>
        </ns0:is>
      </ns0:c>
      <ns0:c r="C930" t="inlineStr">
        <ns0:is>
          <ns0:t>run_009</ns0:t>
        </ns0:is>
      </ns0:c>
      <ns0:c r="D930" t="inlineStr">
        <ns0:is>
          <ns0:t>humantime</ns0:t>
        </ns0:is>
      </ns0:c>
      <ns0:c r="E930" t="inlineStr">
        <ns0:is>
          <ns0:t>gpt-5-nano</ns0:t>
        </ns0:is>
      </ns0:c>
      <ns0:c r="F930" t="inlineStr">
        <ns0:is>
          <ns0:t>E0433</ns0:t>
        </ns0:is>
      </ns0:c>
      <ns0:c r="G930" t="n">
        <ns0:v>0</ns0:v>
      </ns0:c>
      <ns0:c r="H930" t="n">
        <ns0:v>4617</ns0:v>
      </ns0:c>
      <ns0:c r="I930" t="n">
        <ns0:v>324</ns0:v>
      </ns0:c>
      <ns0:c r="J930" t="n">
        <ns0:v>4941</ns0:v>
      </ns0:c>
      <ns0:c r="K930" t="n">
        <ns0:v>3</ns0:v>
      </ns0:c>
      <ns0:c r="L930" t="n">
        <ns0:v>1</ns0:v>
      </ns0:c>
      <ns0:c r="M930" t="n">
        <ns0:v>137239</ns0:v>
      </ns0:c>
      <ns0:c r="N930" t="n">
        <ns0:v>1813</ns0:v>
      </ns0:c>
      <ns0:c r="O930" t="n">
        <ns0:v>139052</ns0:v>
      </ns0:c>
      <ns0:c r="P930" t="n">
        <ns0:v>16</ns0:v>
      </ns0:c>
      <ns0:c r="Q930">
        <ns0:f>IF(AND(L930=1,O930*Calculations!$B$2&lt;=Calculations!$B$10*Calculations!$B$4),1,0)</ns0:f>
        <ns0:v>0</ns0:v>
      </ns0:c>
      <ns0:c r="R930">
        <ns0:f>IF(AND(L930=1,O930*Calculations!$B$2&lt;=Calculations!$B$11*Calculations!$B$4),1,0)</ns0:f>
        <ns0:v>0</ns0:v>
      </ns0:c>
    </ns0:row>
    <ns0:row r="931">
      <ns0:c r="A931" t="inlineStr">
        <ns0:is>
          <ns0:t>case_0930</ns0:t>
        </ns0:is>
      </ns0:c>
      <ns0:c r="B931" t="inlineStr">
        <ns0:is>
          <ns0:t>function_0157</ns0:t>
        </ns0:is>
      </ns0:c>
      <ns0:c r="C931" t="inlineStr">
        <ns0:is>
          <ns0:t>run_009</ns0:t>
        </ns0:is>
      </ns0:c>
      <ns0:c r="D931" t="inlineStr">
        <ns0:is>
          <ns0:t>humantime</ns0:t>
        </ns0:is>
      </ns0:c>
      <ns0:c r="E931" t="inlineStr">
        <ns0:is>
          <ns0:t>gpt-5-nano</ns0:t>
        </ns0:is>
      </ns0:c>
      <ns0:c r="F931" t="inlineStr">
        <ns0:is>
          <ns0:t>E0061,E0308</ns0:t>
        </ns0:is>
      </ns0:c>
      <ns0:c r="G931" t="n">
        <ns0:v>0</ns0:v>
      </ns0:c>
      <ns0:c r="H931" t="n">
        <ns0:v>3315</ns0:v>
      </ns0:c>
      <ns0:c r="I931" t="n">
        <ns0:v>744</ns0:v>
      </ns0:c>
      <ns0:c r="J931" t="n">
        <ns0:v>4059</ns0:v>
      </ns0:c>
      <ns0:c r="K931" t="n">
        <ns0:v>3</ns0:v>
      </ns0:c>
      <ns0:c r="L931" t="n">
        <ns0:v>0</ns0:v>
      </ns0:c>
      <ns0:c r="M931" t="n">
        <ns0:v>94917</ns0:v>
      </ns0:c>
      <ns0:c r="N931" t="n">
        <ns0:v>2528</ns0:v>
      </ns0:c>
      <ns0:c r="O931" t="n">
        <ns0:v>97445</ns0:v>
      </ns0:c>
      <ns0:c r="P931" t="n">
        <ns0:v>10</ns0:v>
      </ns0:c>
      <ns0:c r="Q931">
        <ns0:f>IF(AND(L931=1,O931*Calculations!$B$2&lt;=Calculations!$B$10*Calculations!$B$4),1,0)</ns0:f>
        <ns0:v>0</ns0:v>
      </ns0:c>
      <ns0:c r="R931">
        <ns0:f>IF(AND(L931=1,O931*Calculations!$B$2&lt;=Calculations!$B$11*Calculations!$B$4),1,0)</ns0:f>
        <ns0:v>0</ns0:v>
      </ns0:c>
    </ns0:row>
    <ns0:row r="932">
      <ns0:c r="A932" t="inlineStr">
        <ns0:is>
          <ns0:t>case_0931</ns0:t>
        </ns0:is>
      </ns0:c>
      <ns0:c r="B932" t="inlineStr">
        <ns0:is>
          <ns0:t>function_0157</ns0:t>
        </ns0:is>
      </ns0:c>
      <ns0:c r="C932" t="inlineStr">
        <ns0:is>
          <ns0:t>run_009</ns0:t>
        </ns0:is>
      </ns0:c>
      <ns0:c r="D932" t="inlineStr">
        <ns0:is>
          <ns0:t>humantime</ns0:t>
        </ns0:is>
      </ns0:c>
      <ns0:c r="E932" t="inlineStr">
        <ns0:is>
          <ns0:t>gpt-5-nano</ns0:t>
        </ns0:is>
      </ns0:c>
      <ns0:c r="F932" t="inlineStr">
        <ns0:is>
          <ns0:t>E0061,E0107,E0308</ns0:t>
        </ns0:is>
      </ns0:c>
      <ns0:c r="G932" t="n">
        <ns0:v>0</ns0:v>
      </ns0:c>
      <ns0:c r="H932" t="n">
        <ns0:v>2729</ns0:v>
      </ns0:c>
      <ns0:c r="I932" t="n">
        <ns0:v>297</ns0:v>
      </ns0:c>
      <ns0:c r="J932" t="n">
        <ns0:v>3026</ns0:v>
      </ns0:c>
      <ns0:c r="K932" t="n">
        <ns0:v>3</ns0:v>
      </ns0:c>
      <ns0:c r="L932" t="n">
        <ns0:v>1</ns0:v>
      </ns0:c>
      <ns0:c r="M932" t="n">
        <ns0:v>46453</ns0:v>
      </ns0:c>
      <ns0:c r="N932" t="n">
        <ns0:v>1069</ns0:v>
      </ns0:c>
      <ns0:c r="O932" t="n">
        <ns0:v>47522</ns0:v>
      </ns0:c>
      <ns0:c r="P932" t="n">
        <ns0:v>6</ns0:v>
      </ns0:c>
      <ns0:c r="Q932">
        <ns0:f>IF(AND(L932=1,O932*Calculations!$B$2&lt;=Calculations!$B$10*Calculations!$B$4),1,0)</ns0:f>
        <ns0:v>0</ns0:v>
      </ns0:c>
      <ns0:c r="R932">
        <ns0:f>IF(AND(L932=1,O932*Calculations!$B$2&lt;=Calculations!$B$11*Calculations!$B$4),1,0)</ns0:f>
        <ns0:v>0</ns0:v>
      </ns0:c>
    </ns0:row>
    <ns0:row r="933">
      <ns0:c r="A933" t="inlineStr">
        <ns0:is>
          <ns0:t>case_0932</ns0:t>
        </ns0:is>
      </ns0:c>
      <ns0:c r="B933" t="inlineStr">
        <ns0:is>
          <ns0:t>function_0157</ns0:t>
        </ns0:is>
      </ns0:c>
      <ns0:c r="C933" t="inlineStr">
        <ns0:is>
          <ns0:t>run_009</ns0:t>
        </ns0:is>
      </ns0:c>
      <ns0:c r="D933" t="inlineStr">
        <ns0:is>
          <ns0:t>humantime</ns0:t>
        </ns0:is>
      </ns0:c>
      <ns0:c r="E933" t="inlineStr">
        <ns0:is>
          <ns0:t>gpt-5-nano</ns0:t>
        </ns0:is>
      </ns0:c>
      <ns0:c r="F933" t="inlineStr">
        <ns0:is>
          <ns0:t>E0061,E0107,E0308</ns0:t>
        </ns0:is>
      </ns0:c>
      <ns0:c r="G933" t="n">
        <ns0:v>0</ns0:v>
      </ns0:c>
      <ns0:c r="H933" t="n">
        <ns0:v>2971</ns0:v>
      </ns0:c>
      <ns0:c r="I933" t="n">
        <ns0:v>294</ns0:v>
      </ns0:c>
      <ns0:c r="J933" t="n">
        <ns0:v>3265</ns0:v>
      </ns0:c>
      <ns0:c r="K933" t="n">
        <ns0:v>3</ns0:v>
      </ns0:c>
      <ns0:c r="L933" t="n">
        <ns0:v>1</ns0:v>
      </ns0:c>
      <ns0:c r="M933" t="n">
        <ns0:v>49700</ns0:v>
      </ns0:c>
      <ns0:c r="N933" t="n">
        <ns0:v>1784</ns0:v>
      </ns0:c>
      <ns0:c r="O933" t="n">
        <ns0:v>51484</ns0:v>
      </ns0:c>
      <ns0:c r="P933" t="n">
        <ns0:v>6</ns0:v>
      </ns0:c>
      <ns0:c r="Q933">
        <ns0:f>IF(AND(L933=1,O933*Calculations!$B$2&lt;=Calculations!$B$10*Calculations!$B$4),1,0)</ns0:f>
        <ns0:v>0</ns0:v>
      </ns0:c>
      <ns0:c r="R933">
        <ns0:f>IF(AND(L933=1,O933*Calculations!$B$2&lt;=Calculations!$B$11*Calculations!$B$4),1,0)</ns0:f>
        <ns0:v>0</ns0:v>
      </ns0:c>
    </ns0:row>
    <ns0:row r="934">
      <ns0:c r="A934" t="inlineStr">
        <ns0:is>
          <ns0:t>case_0933</ns0:t>
        </ns0:is>
      </ns0:c>
      <ns0:c r="B934" t="inlineStr">
        <ns0:is>
          <ns0:t>function_0157</ns0:t>
        </ns0:is>
      </ns0:c>
      <ns0:c r="C934" t="inlineStr">
        <ns0:is>
          <ns0:t>run_009</ns0:t>
        </ns0:is>
      </ns0:c>
      <ns0:c r="D934" t="inlineStr">
        <ns0:is>
          <ns0:t>humantime</ns0:t>
        </ns0:is>
      </ns0:c>
      <ns0:c r="E934" t="inlineStr">
        <ns0:is>
          <ns0:t>gpt-5-nano</ns0:t>
        </ns0:is>
      </ns0:c>
      <ns0:c r="F934" t="inlineStr">
        <ns0:is>
          <ns0:t>E0433</ns0:t>
        </ns0:is>
      </ns0:c>
      <ns0:c r="G934" t="n">
        <ns0:v>0</ns0:v>
      </ns0:c>
      <ns0:c r="H934" t="n">
        <ns0:v>8165</ns0:v>
      </ns0:c>
      <ns0:c r="I934" t="n">
        <ns0:v>849</ns0:v>
      </ns0:c>
      <ns0:c r="J934" t="n">
        <ns0:v>9014</ns0:v>
      </ns0:c>
      <ns0:c r="K934" t="n">
        <ns0:v>3</ns0:v>
      </ns0:c>
      <ns0:c r="L934" t="n">
        <ns0:v>1</ns0:v>
      </ns0:c>
      <ns0:c r="M934" t="n">
        <ns0:v>112023</ns0:v>
      </ns0:c>
      <ns0:c r="N934" t="n">
        <ns0:v>3367</ns0:v>
      </ns0:c>
      <ns0:c r="O934" t="n">
        <ns0:v>115390</ns0:v>
      </ns0:c>
      <ns0:c r="P934" t="n">
        <ns0:v>12</ns0:v>
      </ns0:c>
      <ns0:c r="Q934">
        <ns0:f>IF(AND(L934=1,O934*Calculations!$B$2&lt;=Calculations!$B$10*Calculations!$B$4),1,0)</ns0:f>
        <ns0:v>0</ns0:v>
      </ns0:c>
      <ns0:c r="R934">
        <ns0:f>IF(AND(L934=1,O934*Calculations!$B$2&lt;=Calculations!$B$11*Calculations!$B$4),1,0)</ns0:f>
        <ns0:v>0</ns0:v>
      </ns0:c>
    </ns0:row>
    <ns0:row r="935">
      <ns0:c r="A935" t="inlineStr">
        <ns0:is>
          <ns0:t>case_0934</ns0:t>
        </ns0:is>
      </ns0:c>
      <ns0:c r="B935" t="inlineStr">
        <ns0:is>
          <ns0:t>function_0157</ns0:t>
        </ns0:is>
      </ns0:c>
      <ns0:c r="C935" t="inlineStr">
        <ns0:is>
          <ns0:t>run_009</ns0:t>
        </ns0:is>
      </ns0:c>
      <ns0:c r="D935" t="inlineStr">
        <ns0:is>
          <ns0:t>humantime</ns0:t>
        </ns0:is>
      </ns0:c>
      <ns0:c r="E935" t="inlineStr">
        <ns0:is>
          <ns0:t>gpt-5-nano</ns0:t>
        </ns0:is>
      </ns0:c>
      <ns0:c r="F935" t="inlineStr">
        <ns0:is>
          <ns0:t>E0433</ns0:t>
        </ns0:is>
      </ns0:c>
      <ns0:c r="G935" t="n">
        <ns0:v>0</ns0:v>
      </ns0:c>
      <ns0:c r="H935" t="n">
        <ns0:v>5138</ns0:v>
      </ns0:c>
      <ns0:c r="I935" t="n">
        <ns0:v>285</ns0:v>
      </ns0:c>
      <ns0:c r="J935" t="n">
        <ns0:v>5423</ns0:v>
      </ns0:c>
      <ns0:c r="K935" t="n">
        <ns0:v>3</ns0:v>
      </ns0:c>
      <ns0:c r="L935" t="n">
        <ns0:v>1</ns0:v>
      </ns0:c>
      <ns0:c r="M935" t="n">
        <ns0:v>124417</ns0:v>
      </ns0:c>
      <ns0:c r="N935" t="n">
        <ns0:v>1465</ns0:v>
      </ns0:c>
      <ns0:c r="O935" t="n">
        <ns0:v>125882</ns0:v>
      </ns0:c>
      <ns0:c r="P935" t="n">
        <ns0:v>12</ns0:v>
      </ns0:c>
      <ns0:c r="Q935">
        <ns0:f>IF(AND(L935=1,O935*Calculations!$B$2&lt;=Calculations!$B$10*Calculations!$B$4),1,0)</ns0:f>
        <ns0:v>0</ns0:v>
      </ns0:c>
      <ns0:c r="R935">
        <ns0:f>IF(AND(L935=1,O935*Calculations!$B$2&lt;=Calculations!$B$11*Calculations!$B$4),1,0)</ns0:f>
        <ns0:v>0</ns0:v>
      </ns0:c>
    </ns0:row>
    <ns0:row r="936">
      <ns0:c r="A936" t="inlineStr">
        <ns0:is>
          <ns0:t>case_0935</ns0:t>
        </ns0:is>
      </ns0:c>
      <ns0:c r="B936" t="inlineStr">
        <ns0:is>
          <ns0:t>function_0157</ns0:t>
        </ns0:is>
      </ns0:c>
      <ns0:c r="C936" t="inlineStr">
        <ns0:is>
          <ns0:t>run_009</ns0:t>
        </ns0:is>
      </ns0:c>
      <ns0:c r="D936" t="inlineStr">
        <ns0:is>
          <ns0:t>humantime</ns0:t>
        </ns0:is>
      </ns0:c>
      <ns0:c r="E936" t="inlineStr">
        <ns0:is>
          <ns0:t>gpt-5-nano</ns0:t>
        </ns0:is>
      </ns0:c>
      <ns0:c r="F936" t="inlineStr">
        <ns0:is>
          <ns0:t>E0433</ns0:t>
        </ns0:is>
      </ns0:c>
      <ns0:c r="G936" t="n">
        <ns0:v>0</ns0:v>
      </ns0:c>
      <ns0:c r="H936" t="n">
        <ns0:v>5203</ns0:v>
      </ns0:c>
      <ns0:c r="I936" t="n">
        <ns0:v>303</ns0:v>
      </ns0:c>
      <ns0:c r="J936" t="n">
        <ns0:v>5506</ns0:v>
      </ns0:c>
      <ns0:c r="K936" t="n">
        <ns0:v>3</ns0:v>
      </ns0:c>
      <ns0:c r="L936" t="n">
        <ns0:v>1</ns0:v>
      </ns0:c>
      <ns0:c r="M936" t="n">
        <ns0:v>119323</ns0:v>
      </ns0:c>
      <ns0:c r="N936" t="n">
        <ns0:v>3177</ns0:v>
      </ns0:c>
      <ns0:c r="O936" t="n">
        <ns0:v>122500</ns0:v>
      </ns0:c>
      <ns0:c r="P936" t="n">
        <ns0:v>11</ns0:v>
      </ns0:c>
      <ns0:c r="Q936">
        <ns0:f>IF(AND(L936=1,O936*Calculations!$B$2&lt;=Calculations!$B$10*Calculations!$B$4),1,0)</ns0:f>
        <ns0:v>0</ns0:v>
      </ns0:c>
      <ns0:c r="R936">
        <ns0:f>IF(AND(L936=1,O936*Calculations!$B$2&lt;=Calculations!$B$11*Calculations!$B$4),1,0)</ns0:f>
        <ns0:v>0</ns0:v>
      </ns0:c>
    </ns0:row>
    <ns0:row r="937">
      <ns0:c r="A937" t="inlineStr">
        <ns0:is>
          <ns0:t>case_0936</ns0:t>
        </ns0:is>
      </ns0:c>
      <ns0:c r="B937" t="inlineStr">
        <ns0:is>
          <ns0:t>function_0157</ns0:t>
        </ns0:is>
      </ns0:c>
      <ns0:c r="C937" t="inlineStr">
        <ns0:is>
          <ns0:t>run_009</ns0:t>
        </ns0:is>
      </ns0:c>
      <ns0:c r="D937" t="inlineStr">
        <ns0:is>
          <ns0:t>humantime</ns0:t>
        </ns0:is>
      </ns0:c>
      <ns0:c r="E937" t="inlineStr">
        <ns0:is>
          <ns0:t>gpt-5-nano</ns0:t>
        </ns0:is>
      </ns0:c>
      <ns0:c r="F937" t="inlineStr">
        <ns0:is>
          <ns0:t>E0433</ns0:t>
        </ns0:is>
      </ns0:c>
      <ns0:c r="G937" t="n">
        <ns0:v>0</ns0:v>
      </ns0:c>
      <ns0:c r="H937" t="n">
        <ns0:v>4354</ns0:v>
      </ns0:c>
      <ns0:c r="I937" t="n">
        <ns0:v>270</ns0:v>
      </ns0:c>
      <ns0:c r="J937" t="n">
        <ns0:v>4624</ns0:v>
      </ns0:c>
      <ns0:c r="K937" t="n">
        <ns0:v>3</ns0:v>
      </ns0:c>
      <ns0:c r="L937" t="n">
        <ns0:v>1</ns0:v>
      </ns0:c>
      <ns0:c r="M937" t="n">
        <ns0:v>81019</ns0:v>
      </ns0:c>
      <ns0:c r="N937" t="n">
        <ns0:v>1137</ns0:v>
      </ns0:c>
      <ns0:c r="O937" t="n">
        <ns0:v>82156</ns0:v>
      </ns0:c>
      <ns0:c r="P937" t="n">
        <ns0:v>6</ns0:v>
      </ns0:c>
      <ns0:c r="Q937">
        <ns0:f>IF(AND(L937=1,O937*Calculations!$B$2&lt;=Calculations!$B$10*Calculations!$B$4),1,0)</ns0:f>
        <ns0:v>0</ns0:v>
      </ns0:c>
      <ns0:c r="R937">
        <ns0:f>IF(AND(L937=1,O937*Calculations!$B$2&lt;=Calculations!$B$11*Calculations!$B$4),1,0)</ns0:f>
        <ns0:v>0</ns0:v>
      </ns0:c>
    </ns0:row>
    <ns0:row r="938">
      <ns0:c r="A938" t="inlineStr">
        <ns0:is>
          <ns0:t>case_0937</ns0:t>
        </ns0:is>
      </ns0:c>
      <ns0:c r="B938" t="inlineStr">
        <ns0:is>
          <ns0:t>function_0157</ns0:t>
        </ns0:is>
      </ns0:c>
      <ns0:c r="C938" t="inlineStr">
        <ns0:is>
          <ns0:t>run_009</ns0:t>
        </ns0:is>
      </ns0:c>
      <ns0:c r="D938" t="inlineStr">
        <ns0:is>
          <ns0:t>humantime</ns0:t>
        </ns0:is>
      </ns0:c>
      <ns0:c r="E938" t="inlineStr">
        <ns0:is>
          <ns0:t>gpt-5-nano</ns0:t>
        </ns0:is>
      </ns0:c>
      <ns0:c r="F938" t="inlineStr">
        <ns0:is>
          <ns0:t>E0061,E0107,E0599</ns0:t>
        </ns0:is>
      </ns0:c>
      <ns0:c r="G938" t="n">
        <ns0:v>0</ns0:v>
      </ns0:c>
      <ns0:c r="H938" t="n">
        <ns0:v>2806</ns0:v>
      </ns0:c>
      <ns0:c r="I938" t="n">
        <ns0:v>282</ns0:v>
      </ns0:c>
      <ns0:c r="J938" t="n">
        <ns0:v>3088</ns0:v>
      </ns0:c>
      <ns0:c r="K938" t="n">
        <ns0:v>3</ns0:v>
      </ns0:c>
      <ns0:c r="L938" t="n">
        <ns0:v>1</ns0:v>
      </ns0:c>
      <ns0:c r="M938" t="n">
        <ns0:v>88084</ns0:v>
      </ns0:c>
      <ns0:c r="N938" t="n">
        <ns0:v>1780</ns0:v>
      </ns0:c>
      <ns0:c r="O938" t="n">
        <ns0:v>89864</ns0:v>
      </ns0:c>
      <ns0:c r="P938" t="n">
        <ns0:v>11</ns0:v>
      </ns0:c>
      <ns0:c r="Q938">
        <ns0:f>IF(AND(L938=1,O938*Calculations!$B$2&lt;=Calculations!$B$10*Calculations!$B$4),1,0)</ns0:f>
        <ns0:v>0</ns0:v>
      </ns0:c>
      <ns0:c r="R938">
        <ns0:f>IF(AND(L938=1,O938*Calculations!$B$2&lt;=Calculations!$B$11*Calculations!$B$4),1,0)</ns0:f>
        <ns0:v>0</ns0:v>
      </ns0:c>
    </ns0:row>
    <ns0:row r="939">
      <ns0:c r="A939" t="inlineStr">
        <ns0:is>
          <ns0:t>case_0938</ns0:t>
        </ns0:is>
      </ns0:c>
      <ns0:c r="B939" t="inlineStr">
        <ns0:is>
          <ns0:t>function_0157</ns0:t>
        </ns0:is>
      </ns0:c>
      <ns0:c r="C939" t="inlineStr">
        <ns0:is>
          <ns0:t>run_009</ns0:t>
        </ns0:is>
      </ns0:c>
      <ns0:c r="D939" t="inlineStr">
        <ns0:is>
          <ns0:t>humantime</ns0:t>
        </ns0:is>
      </ns0:c>
      <ns0:c r="E939" t="inlineStr">
        <ns0:is>
          <ns0:t>gpt-5-nano</ns0:t>
        </ns0:is>
      </ns0:c>
      <ns0:c r="F939" t="inlineStr">
        <ns0:is>
          <ns0:t>E0433</ns0:t>
        </ns0:is>
      </ns0:c>
      <ns0:c r="G939" t="n">
        <ns0:v>0</ns0:v>
      </ns0:c>
      <ns0:c r="H939" t="n">
        <ns0:v>5068</ns0:v>
      </ns0:c>
      <ns0:c r="I939" t="n">
        <ns0:v>522</ns0:v>
      </ns0:c>
      <ns0:c r="J939" t="n">
        <ns0:v>5590</ns0:v>
      </ns0:c>
      <ns0:c r="K939" t="n">
        <ns0:v>3</ns0:v>
      </ns0:c>
      <ns0:c r="L939" t="n">
        <ns0:v>1</ns0:v>
      </ns0:c>
      <ns0:c r="M939" t="n">
        <ns0:v>91708</ns0:v>
      </ns0:c>
      <ns0:c r="N939" t="n">
        <ns0:v>1498</ns0:v>
      </ns0:c>
      <ns0:c r="O939" t="n">
        <ns0:v>93206</ns0:v>
      </ns0:c>
      <ns0:c r="P939" t="n">
        <ns0:v>9</ns0:v>
      </ns0:c>
      <ns0:c r="Q939">
        <ns0:f>IF(AND(L939=1,O939*Calculations!$B$2&lt;=Calculations!$B$10*Calculations!$B$4),1,0)</ns0:f>
        <ns0:v>0</ns0:v>
      </ns0:c>
      <ns0:c r="R939">
        <ns0:f>IF(AND(L939=1,O939*Calculations!$B$2&lt;=Calculations!$B$11*Calculations!$B$4),1,0)</ns0:f>
        <ns0:v>0</ns0:v>
      </ns0:c>
    </ns0:row>
    <ns0:row r="940">
      <ns0:c r="A940" t="inlineStr">
        <ns0:is>
          <ns0:t>case_0939</ns0:t>
        </ns0:is>
      </ns0:c>
      <ns0:c r="B940" t="inlineStr">
        <ns0:is>
          <ns0:t>function_0158</ns0:t>
        </ns0:is>
      </ns0:c>
      <ns0:c r="C940" t="inlineStr">
        <ns0:is>
          <ns0:t>run_009</ns0:t>
        </ns0:is>
      </ns0:c>
      <ns0:c r="D940" t="inlineStr">
        <ns0:is>
          <ns0:t>humantime</ns0:t>
        </ns0:is>
      </ns0:c>
      <ns0:c r="E940" t="inlineStr">
        <ns0:is>
          <ns0:t>gpt-5-nano</ns0:t>
        </ns0:is>
      </ns0:c>
      <ns0:c r="F940" t="inlineStr">
        <ns0:is>
          <ns0:t>E0061,E0658</ns0:t>
        </ns0:is>
      </ns0:c>
      <ns0:c r="G940" t="n">
        <ns0:v>0</ns0:v>
      </ns0:c>
      <ns0:c r="H940" t="n">
        <ns0:v>2522</ns0:v>
      </ns0:c>
      <ns0:c r="I940" t="n">
        <ns0:v>457</ns0:v>
      </ns0:c>
      <ns0:c r="J940" t="n">
        <ns0:v>2979</ns0:v>
      </ns0:c>
      <ns0:c r="K940" t="n">
        <ns0:v>3</ns0:v>
      </ns0:c>
      <ns0:c r="L940" t="n">
        <ns0:v>0</ns0:v>
      </ns0:c>
      <ns0:c r="M940" t="n">
        <ns0:v>413916</ns0:v>
      </ns0:c>
      <ns0:c r="N940" t="n">
        <ns0:v>38745</ns0:v>
      </ns0:c>
      <ns0:c r="O940" t="n">
        <ns0:v>452661</ns0:v>
      </ns0:c>
      <ns0:c r="P940" t="n">
        <ns0:v>20</ns0:v>
      </ns0:c>
      <ns0:c r="Q940">
        <ns0:f>IF(AND(L940=1,O940*Calculations!$B$2&lt;=Calculations!$B$10*Calculations!$B$4),1,0)</ns0:f>
        <ns0:v>0</ns0:v>
      </ns0:c>
      <ns0:c r="R940">
        <ns0:f>IF(AND(L940=1,O940*Calculations!$B$2&lt;=Calculations!$B$11*Calculations!$B$4),1,0)</ns0:f>
        <ns0:v>0</ns0:v>
      </ns0:c>
    </ns0:row>
    <ns0:row r="941">
      <ns0:c r="A941" t="inlineStr">
        <ns0:is>
          <ns0:t>case_0940</ns0:t>
        </ns0:is>
      </ns0:c>
      <ns0:c r="B941" t="inlineStr">
        <ns0:is>
          <ns0:t>function_0158</ns0:t>
        </ns0:is>
      </ns0:c>
      <ns0:c r="C941" t="inlineStr">
        <ns0:is>
          <ns0:t>run_009</ns0:t>
        </ns0:is>
      </ns0:c>
      <ns0:c r="D941" t="inlineStr">
        <ns0:is>
          <ns0:t>humantime</ns0:t>
        </ns0:is>
      </ns0:c>
      <ns0:c r="E941" t="inlineStr">
        <ns0:is>
          <ns0:t>gpt-5-nano</ns0:t>
        </ns0:is>
      </ns0:c>
      <ns0:c r="F941" t="inlineStr"/>
      <ns0:c r="G941" t="n">
        <ns0:v>0</ns0:v>
      </ns0:c>
      <ns0:c r="H941" t="n">
        <ns0:v>2199</ns0:v>
      </ns0:c>
      <ns0:c r="I941" t="n">
        <ns0:v>1198</ns0:v>
      </ns0:c>
      <ns0:c r="J941" t="n">
        <ns0:v>3397</ns0:v>
      </ns0:c>
      <ns0:c r="K941" t="n">
        <ns0:v>3</ns0:v>
      </ns0:c>
      <ns0:c r="L941" t="n">
        <ns0:v>1</ns0:v>
      </ns0:c>
      <ns0:c r="M941" t="n">
        <ns0:v>83578</ns0:v>
      </ns0:c>
      <ns0:c r="N941" t="n">
        <ns0:v>5951</ns0:v>
      </ns0:c>
      <ns0:c r="O941" t="n">
        <ns0:v>89529</ns0:v>
      </ns0:c>
      <ns0:c r="P941" t="n">
        <ns0:v>10</ns0:v>
      </ns0:c>
      <ns0:c r="Q941">
        <ns0:f>IF(AND(L941=1,O941*Calculations!$B$2&lt;=Calculations!$B$10*Calculations!$B$4),1,0)</ns0:f>
        <ns0:v>0</ns0:v>
      </ns0:c>
      <ns0:c r="R941">
        <ns0:f>IF(AND(L941=1,O941*Calculations!$B$2&lt;=Calculations!$B$11*Calculations!$B$4),1,0)</ns0:f>
        <ns0:v>0</ns0:v>
      </ns0:c>
    </ns0:row>
    <ns0:row r="942">
      <ns0:c r="A942" t="inlineStr">
        <ns0:is>
          <ns0:t>case_0941</ns0:t>
        </ns0:is>
      </ns0:c>
      <ns0:c r="B942" t="inlineStr">
        <ns0:is>
          <ns0:t>function_0158</ns0:t>
        </ns0:is>
      </ns0:c>
      <ns0:c r="C942" t="inlineStr">
        <ns0:is>
          <ns0:t>run_009</ns0:t>
        </ns0:is>
      </ns0:c>
      <ns0:c r="D942" t="inlineStr">
        <ns0:is>
          <ns0:t>humantime</ns0:t>
        </ns0:is>
      </ns0:c>
      <ns0:c r="E942" t="inlineStr">
        <ns0:is>
          <ns0:t>gpt-5-nano</ns0:t>
        </ns0:is>
      </ns0:c>
      <ns0:c r="F942" t="inlineStr">
        <ns0:is>
          <ns0:t>E0061,E0658</ns0:t>
        </ns0:is>
      </ns0:c>
      <ns0:c r="G942" t="n">
        <ns0:v>0</ns0:v>
      </ns0:c>
      <ns0:c r="H942" t="n">
        <ns0:v>2239</ns0:v>
      </ns0:c>
      <ns0:c r="I942" t="n">
        <ns0:v>267</ns0:v>
      </ns0:c>
      <ns0:c r="J942" t="n">
        <ns0:v>2506</ns0:v>
      </ns0:c>
      <ns0:c r="K942" t="n">
        <ns0:v>3</ns0:v>
      </ns0:c>
      <ns0:c r="L942" t="n">
        <ns0:v>0</ns0:v>
      </ns0:c>
      <ns0:c r="M942" t="n">
        <ns0:v>284928</ns0:v>
      </ns0:c>
      <ns0:c r="N942" t="n">
        <ns0:v>6836</ns0:v>
      </ns0:c>
      <ns0:c r="O942" t="n">
        <ns0:v>291764</ns0:v>
      </ns0:c>
      <ns0:c r="P942" t="n">
        <ns0:v>20</ns0:v>
      </ns0:c>
      <ns0:c r="Q942">
        <ns0:f>IF(AND(L942=1,O942*Calculations!$B$2&lt;=Calculations!$B$10*Calculations!$B$4),1,0)</ns0:f>
        <ns0:v>0</ns0:v>
      </ns0:c>
      <ns0:c r="R942">
        <ns0:f>IF(AND(L942=1,O942*Calculations!$B$2&lt;=Calculations!$B$11*Calculations!$B$4),1,0)</ns0:f>
        <ns0:v>0</ns0:v>
      </ns0:c>
    </ns0:row>
    <ns0:row r="943">
      <ns0:c r="A943" t="inlineStr">
        <ns0:is>
          <ns0:t>case_0942</ns0:t>
        </ns0:is>
      </ns0:c>
      <ns0:c r="B943" t="inlineStr">
        <ns0:is>
          <ns0:t>function_0158</ns0:t>
        </ns0:is>
      </ns0:c>
      <ns0:c r="C943" t="inlineStr">
        <ns0:is>
          <ns0:t>run_009</ns0:t>
        </ns0:is>
      </ns0:c>
      <ns0:c r="D943" t="inlineStr">
        <ns0:is>
          <ns0:t>humantime</ns0:t>
        </ns0:is>
      </ns0:c>
      <ns0:c r="E943" t="inlineStr">
        <ns0:is>
          <ns0:t>gpt-5-nano</ns0:t>
        </ns0:is>
      </ns0:c>
      <ns0:c r="F943" t="inlineStr">
        <ns0:is>
          <ns0:t>E0433</ns0:t>
        </ns0:is>
      </ns0:c>
      <ns0:c r="G943" t="n">
        <ns0:v>1</ns0:v>
      </ns0:c>
      <ns0:c r="H943" t="n">
        <ns0:v>0</ns0:v>
      </ns0:c>
      <ns0:c r="I943" t="n">
        <ns0:v>0</ns0:v>
      </ns0:c>
      <ns0:c r="J943" t="n">
        <ns0:v>0</ns0:v>
      </ns0:c>
      <ns0:c r="K943" t="n">
        <ns0:v>0</ns0:v>
      </ns0:c>
      <ns0:c r="L943" t="n">
        <ns0:v>1</ns0:v>
      </ns0:c>
      <ns0:c r="M943" t="n">
        <ns0:v>23062</ns0:v>
      </ns0:c>
      <ns0:c r="N943" t="n">
        <ns0:v>404</ns0:v>
      </ns0:c>
      <ns0:c r="O943" t="n">
        <ns0:v>23466</ns0:v>
      </ns0:c>
      <ns0:c r="P943" t="n">
        <ns0:v>3</ns0:v>
      </ns0:c>
      <ns0:c r="Q943">
        <ns0:f>IF(AND(L943=1,O943*Calculations!$B$2&lt;=Calculations!$B$10*Calculations!$B$4),1,0)</ns0:f>
        <ns0:v>0</ns0:v>
      </ns0:c>
      <ns0:c r="R943">
        <ns0:f>IF(AND(L943=1,O943*Calculations!$B$2&lt;=Calculations!$B$11*Calculations!$B$4),1,0)</ns0:f>
        <ns0:v>1</ns0:v>
      </ns0:c>
    </ns0:row>
    <ns0:row r="944">
      <ns0:c r="A944" t="inlineStr">
        <ns0:is>
          <ns0:t>case_0943</ns0:t>
        </ns0:is>
      </ns0:c>
      <ns0:c r="B944" t="inlineStr">
        <ns0:is>
          <ns0:t>function_0158</ns0:t>
        </ns0:is>
      </ns0:c>
      <ns0:c r="C944" t="inlineStr">
        <ns0:is>
          <ns0:t>run_009</ns0:t>
        </ns0:is>
      </ns0:c>
      <ns0:c r="D944" t="inlineStr">
        <ns0:is>
          <ns0:t>humantime</ns0:t>
        </ns0:is>
      </ns0:c>
      <ns0:c r="E944" t="inlineStr">
        <ns0:is>
          <ns0:t>gpt-5-nano</ns0:t>
        </ns0:is>
      </ns0:c>
      <ns0:c r="F944" t="inlineStr">
        <ns0:is>
          <ns0:t>E0061,E0433,E0658</ns0:t>
        </ns0:is>
      </ns0:c>
      <ns0:c r="G944" t="n">
        <ns0:v>0</ns0:v>
      </ns0:c>
      <ns0:c r="H944" t="n">
        <ns0:v>2801</ns0:v>
      </ns0:c>
      <ns0:c r="I944" t="n">
        <ns0:v>594</ns0:v>
      </ns0:c>
      <ns0:c r="J944" t="n">
        <ns0:v>3395</ns0:v>
      </ns0:c>
      <ns0:c r="K944" t="n">
        <ns0:v>3</ns0:v>
      </ns0:c>
      <ns0:c r="L944" t="n">
        <ns0:v>1</ns0:v>
      </ns0:c>
      <ns0:c r="M944" t="n">
        <ns0:v>72075</ns0:v>
      </ns0:c>
      <ns0:c r="N944" t="n">
        <ns0:v>11460</ns0:v>
      </ns0:c>
      <ns0:c r="O944" t="n">
        <ns0:v>83535</ns0:v>
      </ns0:c>
      <ns0:c r="P944" t="n">
        <ns0:v>6</ns0:v>
      </ns0:c>
      <ns0:c r="Q944">
        <ns0:f>IF(AND(L944=1,O944*Calculations!$B$2&lt;=Calculations!$B$10*Calculations!$B$4),1,0)</ns0:f>
        <ns0:v>0</ns0:v>
      </ns0:c>
      <ns0:c r="R944">
        <ns0:f>IF(AND(L944=1,O944*Calculations!$B$2&lt;=Calculations!$B$11*Calculations!$B$4),1,0)</ns0:f>
        <ns0:v>0</ns0:v>
      </ns0:c>
    </ns0:row>
    <ns0:row r="945">
      <ns0:c r="A945" t="inlineStr">
        <ns0:is>
          <ns0:t>case_0944</ns0:t>
        </ns0:is>
      </ns0:c>
      <ns0:c r="B945" t="inlineStr">
        <ns0:is>
          <ns0:t>function_0158</ns0:t>
        </ns0:is>
      </ns0:c>
      <ns0:c r="C945" t="inlineStr">
        <ns0:is>
          <ns0:t>run_009</ns0:t>
        </ns0:is>
      </ns0:c>
      <ns0:c r="D945" t="inlineStr">
        <ns0:is>
          <ns0:t>humantime</ns0:t>
        </ns0:is>
      </ns0:c>
      <ns0:c r="E945" t="inlineStr">
        <ns0:is>
          <ns0:t>gpt-5-nano</ns0:t>
        </ns0:is>
      </ns0:c>
      <ns0:c r="F945" t="inlineStr">
        <ns0:is>
          <ns0:t>E0433,E0658</ns0:t>
        </ns0:is>
      </ns0:c>
      <ns0:c r="G945" t="n">
        <ns0:v>0</ns0:v>
      </ns0:c>
      <ns0:c r="H945" t="n">
        <ns0:v>2711</ns0:v>
      </ns0:c>
      <ns0:c r="I945" t="n">
        <ns0:v>474</ns0:v>
      </ns0:c>
      <ns0:c r="J945" t="n">
        <ns0:v>3185</ns0:v>
      </ns0:c>
      <ns0:c r="K945" t="n">
        <ns0:v>3</ns0:v>
      </ns0:c>
      <ns0:c r="L945" t="n">
        <ns0:v>0</ns0:v>
      </ns0:c>
      <ns0:c r="M945" t="n">
        <ns0:v>220727</ns0:v>
      </ns0:c>
      <ns0:c r="N945" t="n">
        <ns0:v>4036</ns0:v>
      </ns0:c>
      <ns0:c r="O945" t="n">
        <ns0:v>224763</ns0:v>
      </ns0:c>
      <ns0:c r="P945" t="n">
        <ns0:v>20</ns0:v>
      </ns0:c>
      <ns0:c r="Q945">
        <ns0:f>IF(AND(L945=1,O945*Calculations!$B$2&lt;=Calculations!$B$10*Calculations!$B$4),1,0)</ns0:f>
        <ns0:v>0</ns0:v>
      </ns0:c>
      <ns0:c r="R945">
        <ns0:f>IF(AND(L945=1,O945*Calculations!$B$2&lt;=Calculations!$B$11*Calculations!$B$4),1,0)</ns0:f>
        <ns0:v>0</ns0:v>
      </ns0:c>
    </ns0:row>
    <ns0:row r="946">
      <ns0:c r="A946" t="inlineStr">
        <ns0:is>
          <ns0:t>case_0945</ns0:t>
        </ns0:is>
      </ns0:c>
      <ns0:c r="B946" t="inlineStr">
        <ns0:is>
          <ns0:t>function_0159</ns0:t>
        </ns0:is>
      </ns0:c>
      <ns0:c r="C946" t="inlineStr">
        <ns0:is>
          <ns0:t>run_010</ns0:t>
        </ns0:is>
      </ns0:c>
      <ns0:c r="D946" t="inlineStr">
        <ns0:is>
          <ns0:t>itoa</ns0:t>
        </ns0:is>
      </ns0:c>
      <ns0:c r="E946" t="inlineStr">
        <ns0:is>
          <ns0:t>gemini-2.5-flash-nothinking</ns0:t>
        </ns0:is>
      </ns0:c>
      <ns0:c r="F946" t="inlineStr">
        <ns0:is>
          <ns0:t>E0308</ns0:t>
        </ns0:is>
      </ns0:c>
      <ns0:c r="G946" t="n">
        <ns0:v>0</ns0:v>
      </ns0:c>
      <ns0:c r="H946" t="n">
        <ns0:v>13318</ns0:v>
      </ns0:c>
      <ns0:c r="I946" t="n">
        <ns0:v>2776</ns0:v>
      </ns0:c>
      <ns0:c r="J946" t="n">
        <ns0:v>16094</ns0:v>
      </ns0:c>
      <ns0:c r="K946" t="n">
        <ns0:v>14</ns0:v>
      </ns0:c>
      <ns0:c r="L946" t="n">
        <ns0:v>1</ns0:v>
      </ns0:c>
      <ns0:c r="M946" t="n">
        <ns0:v>29522</ns0:v>
      </ns0:c>
      <ns0:c r="N946" t="n">
        <ns0:v>357</ns0:v>
      </ns0:c>
      <ns0:c r="O946" t="n">
        <ns0:v>29879</ns0:v>
      </ns0:c>
      <ns0:c r="P946" t="n">
        <ns0:v>3</ns0:v>
      </ns0:c>
      <ns0:c r="Q946">
        <ns0:f>IF(AND(L946=1,O946*Calculations!$B$2&lt;=Calculations!$B$10*Calculations!$B$4),1,0)</ns0:f>
        <ns0:v>0</ns0:v>
      </ns0:c>
      <ns0:c r="R946">
        <ns0:f>IF(AND(L946=1,O946*Calculations!$B$2&lt;=Calculations!$B$11*Calculations!$B$4),1,0)</ns0:f>
        <ns0:v>1</ns0:v>
      </ns0:c>
    </ns0:row>
    <ns0:row r="947">
      <ns0:c r="A947" t="inlineStr">
        <ns0:is>
          <ns0:t>case_0946</ns0:t>
        </ns0:is>
      </ns0:c>
      <ns0:c r="B947" t="inlineStr">
        <ns0:is>
          <ns0:t>function_0159</ns0:t>
        </ns0:is>
      </ns0:c>
      <ns0:c r="C947" t="inlineStr">
        <ns0:is>
          <ns0:t>run_010</ns0:t>
        </ns0:is>
      </ns0:c>
      <ns0:c r="D947" t="inlineStr">
        <ns0:is>
          <ns0:t>itoa</ns0:t>
        </ns0:is>
      </ns0:c>
      <ns0:c r="E947" t="inlineStr">
        <ns0:is>
          <ns0:t>gemini-2.5-flash-nothinking</ns0:t>
        </ns0:is>
      </ns0:c>
      <ns0:c r="F947" t="inlineStr">
        <ns0:is>
          <ns0:t>E0308</ns0:t>
        </ns0:is>
      </ns0:c>
      <ns0:c r="G947" t="n">
        <ns0:v>1</ns0:v>
      </ns0:c>
      <ns0:c r="H947" t="n">
        <ns0:v>5452</ns0:v>
      </ns0:c>
      <ns0:c r="I947" t="n">
        <ns0:v>905</ns0:v>
      </ns0:c>
      <ns0:c r="J947" t="n">
        <ns0:v>6357</ns0:v>
      </ns0:c>
      <ns0:c r="K947" t="n">
        <ns0:v>7</ns0:v>
      </ns0:c>
      <ns0:c r="L947" t="n">
        <ns0:v>1</ns0:v>
      </ns0:c>
      <ns0:c r="M947" t="n">
        <ns0:v>43040</ns0:v>
      </ns0:c>
      <ns0:c r="N947" t="n">
        <ns0:v>550</ns0:v>
      </ns0:c>
      <ns0:c r="O947" t="n">
        <ns0:v>43590</ns0:v>
      </ns0:c>
      <ns0:c r="P947" t="n">
        <ns0:v>4</ns0:v>
      </ns0:c>
      <ns0:c r="Q947">
        <ns0:f>IF(AND(L947=1,O947*Calculations!$B$2&lt;=Calculations!$B$10*Calculations!$B$4),1,0)</ns0:f>
        <ns0:v>0</ns0:v>
      </ns0:c>
      <ns0:c r="R947">
        <ns0:f>IF(AND(L947=1,O947*Calculations!$B$2&lt;=Calculations!$B$11*Calculations!$B$4),1,0)</ns0:f>
        <ns0:v>1</ns0:v>
      </ns0:c>
    </ns0:row>
    <ns0:row r="948">
      <ns0:c r="A948" t="inlineStr">
        <ns0:is>
          <ns0:t>case_0947</ns0:t>
        </ns0:is>
      </ns0:c>
      <ns0:c r="B948" t="inlineStr">
        <ns0:is>
          <ns0:t>function_0160</ns0:t>
        </ns0:is>
      </ns0:c>
      <ns0:c r="C948" t="inlineStr">
        <ns0:is>
          <ns0:t>run_010</ns0:t>
        </ns0:is>
      </ns0:c>
      <ns0:c r="D948" t="inlineStr">
        <ns0:is>
          <ns0:t>itoa</ns0:t>
        </ns0:is>
      </ns0:c>
      <ns0:c r="E948" t="inlineStr">
        <ns0:is>
          <ns0:t>gemini-2.5-flash-nothinking</ns0:t>
        </ns0:is>
      </ns0:c>
      <ns0:c r="F948" t="inlineStr">
        <ns0:is>
          <ns0:t>E0308</ns0:t>
        </ns0:is>
      </ns0:c>
      <ns0:c r="G948" t="n">
        <ns0:v>1</ns0:v>
      </ns0:c>
      <ns0:c r="H948" t="n">
        <ns0:v>1449</ns0:v>
      </ns0:c>
      <ns0:c r="I948" t="n">
        <ns0:v>542</ns0:v>
      </ns0:c>
      <ns0:c r="J948" t="n">
        <ns0:v>1991</ns0:v>
      </ns0:c>
      <ns0:c r="K948" t="n">
        <ns0:v>1</ns0:v>
      </ns0:c>
      <ns0:c r="L948" t="n">
        <ns0:v>1</ns0:v>
      </ns0:c>
      <ns0:c r="M948" t="n">
        <ns0:v>24727</ns0:v>
      </ns0:c>
      <ns0:c r="N948" t="n">
        <ns0:v>687</ns0:v>
      </ns0:c>
      <ns0:c r="O948" t="n">
        <ns0:v>25414</ns0:v>
      </ns0:c>
      <ns0:c r="P948" t="n">
        <ns0:v>3</ns0:v>
      </ns0:c>
      <ns0:c r="Q948">
        <ns0:f>IF(AND(L948=1,O948*Calculations!$B$2&lt;=Calculations!$B$10*Calculations!$B$4),1,0)</ns0:f>
        <ns0:v>0</ns0:v>
      </ns0:c>
      <ns0:c r="R948">
        <ns0:f>IF(AND(L948=1,O948*Calculations!$B$2&lt;=Calculations!$B$11*Calculations!$B$4),1,0)</ns0:f>
        <ns0:v>1</ns0:v>
      </ns0:c>
    </ns0:row>
    <ns0:row r="949">
      <ns0:c r="A949" t="inlineStr">
        <ns0:is>
          <ns0:t>case_0948</ns0:t>
        </ns0:is>
      </ns0:c>
      <ns0:c r="B949" t="inlineStr">
        <ns0:is>
          <ns0:t>function_0161</ns0:t>
        </ns0:is>
      </ns0:c>
      <ns0:c r="C949" t="inlineStr">
        <ns0:is>
          <ns0:t>run_010</ns0:t>
        </ns0:is>
      </ns0:c>
      <ns0:c r="D949" t="inlineStr">
        <ns0:is>
          <ns0:t>itoa</ns0:t>
        </ns0:is>
      </ns0:c>
      <ns0:c r="E949" t="inlineStr">
        <ns0:is>
          <ns0:t>gemini-2.5-flash-nothinking</ns0:t>
        </ns0:is>
      </ns0:c>
      <ns0:c r="F949" t="inlineStr">
        <ns0:is>
          <ns0:t>E0308,E0599</ns0:t>
        </ns0:is>
      </ns0:c>
      <ns0:c r="G949" t="n">
        <ns0:v>0</ns0:v>
      </ns0:c>
      <ns0:c r="H949" t="n">
        <ns0:v>4959</ns0:v>
      </ns0:c>
      <ns0:c r="I949" t="n">
        <ns0:v>2281</ns0:v>
      </ns0:c>
      <ns0:c r="J949" t="n">
        <ns0:v>7240</ns0:v>
      </ns0:c>
      <ns0:c r="K949" t="n">
        <ns0:v>3</ns0:v>
      </ns0:c>
      <ns0:c r="L949" t="n">
        <ns0:v>0</ns0:v>
      </ns0:c>
      <ns0:c r="M949" t="n">
        <ns0:v>93346</ns0:v>
      </ns0:c>
      <ns0:c r="N949" t="n">
        <ns0:v>1209</ns0:v>
      </ns0:c>
      <ns0:c r="O949" t="n">
        <ns0:v>94555</ns0:v>
      </ns0:c>
      <ns0:c r="P949" t="n">
        <ns0:v>10</ns0:v>
      </ns0:c>
      <ns0:c r="Q949">
        <ns0:f>IF(AND(L949=1,O949*Calculations!$B$2&lt;=Calculations!$B$10*Calculations!$B$4),1,0)</ns0:f>
        <ns0:v>0</ns0:v>
      </ns0:c>
      <ns0:c r="R949">
        <ns0:f>IF(AND(L949=1,O949*Calculations!$B$2&lt;=Calculations!$B$11*Calculations!$B$4),1,0)</ns0:f>
        <ns0:v>0</ns0:v>
      </ns0:c>
    </ns0:row>
    <ns0:row r="950">
      <ns0:c r="A950" t="inlineStr">
        <ns0:is>
          <ns0:t>case_0949</ns0:t>
        </ns0:is>
      </ns0:c>
      <ns0:c r="B950" t="inlineStr">
        <ns0:is>
          <ns0:t>function_0161</ns0:t>
        </ns0:is>
      </ns0:c>
      <ns0:c r="C950" t="inlineStr">
        <ns0:is>
          <ns0:t>run_010</ns0:t>
        </ns0:is>
      </ns0:c>
      <ns0:c r="D950" t="inlineStr">
        <ns0:is>
          <ns0:t>itoa</ns0:t>
        </ns0:is>
      </ns0:c>
      <ns0:c r="E950" t="inlineStr">
        <ns0:is>
          <ns0:t>gemini-2.5-flash-nothinking</ns0:t>
        </ns0:is>
      </ns0:c>
      <ns0:c r="F950" t="inlineStr">
        <ns0:is>
          <ns0:t>E0599</ns0:t>
        </ns0:is>
      </ns0:c>
      <ns0:c r="G950" t="n">
        <ns0:v>1</ns0:v>
      </ns0:c>
      <ns0:c r="H950" t="n">
        <ns0:v>2877</ns0:v>
      </ns0:c>
      <ns0:c r="I950" t="n">
        <ns0:v>1252</ns0:v>
      </ns0:c>
      <ns0:c r="J950" t="n">
        <ns0:v>4129</ns0:v>
      </ns0:c>
      <ns0:c r="K950" t="n">
        <ns0:v>2</ns0:v>
      </ns0:c>
      <ns0:c r="L950" t="n">
        <ns0:v>1</ns0:v>
      </ns0:c>
      <ns0:c r="M950" t="n">
        <ns0:v>62687</ns0:v>
      </ns0:c>
      <ns0:c r="N950" t="n">
        <ns0:v>535</ns0:v>
      </ns0:c>
      <ns0:c r="O950" t="n">
        <ns0:v>63222</ns0:v>
      </ns0:c>
      <ns0:c r="P950" t="n">
        <ns0:v>6</ns0:v>
      </ns0:c>
      <ns0:c r="Q950">
        <ns0:f>IF(AND(L950=1,O950*Calculations!$B$2&lt;=Calculations!$B$10*Calculations!$B$4),1,0)</ns0:f>
        <ns0:v>0</ns0:v>
      </ns0:c>
      <ns0:c r="R950">
        <ns0:f>IF(AND(L950=1,O950*Calculations!$B$2&lt;=Calculations!$B$11*Calculations!$B$4),1,0)</ns0:f>
        <ns0:v>0</ns0:v>
      </ns0:c>
    </ns0:row>
    <ns0:row r="951">
      <ns0:c r="A951" t="inlineStr">
        <ns0:is>
          <ns0:t>case_0950</ns0:t>
        </ns0:is>
      </ns0:c>
      <ns0:c r="B951" t="inlineStr">
        <ns0:is>
          <ns0:t>function_0162</ns0:t>
        </ns0:is>
      </ns0:c>
      <ns0:c r="C951" t="inlineStr">
        <ns0:is>
          <ns0:t>run_010</ns0:t>
        </ns0:is>
      </ns0:c>
      <ns0:c r="D951" t="inlineStr">
        <ns0:is>
          <ns0:t>itoa</ns0:t>
        </ns0:is>
      </ns0:c>
      <ns0:c r="E951" t="inlineStr">
        <ns0:is>
          <ns0:t>gemini-2.5-flash-nothinking</ns0:t>
        </ns0:is>
      </ns0:c>
      <ns0:c r="F951" t="inlineStr">
        <ns0:is>
          <ns0:t>E0308</ns0:t>
        </ns0:is>
      </ns0:c>
      <ns0:c r="G951" t="n">
        <ns0:v>1</ns0:v>
      </ns0:c>
      <ns0:c r="H951" t="n">
        <ns0:v>732</ns0:v>
      </ns0:c>
      <ns0:c r="I951" t="n">
        <ns0:v>127</ns0:v>
      </ns0:c>
      <ns0:c r="J951" t="n">
        <ns0:v>859</ns0:v>
      </ns0:c>
      <ns0:c r="K951" t="n">
        <ns0:v>1</ns0:v>
      </ns0:c>
      <ns0:c r="L951" t="n">
        <ns0:v>1</ns0:v>
      </ns0:c>
      <ns0:c r="M951" t="n">
        <ns0:v>20798</ns0:v>
      </ns0:c>
      <ns0:c r="N951" t="n">
        <ns0:v>267</ns0:v>
      </ns0:c>
      <ns0:c r="O951" t="n">
        <ns0:v>21065</ns0:v>
      </ns0:c>
      <ns0:c r="P951" t="n">
        <ns0:v>3</ns0:v>
      </ns0:c>
      <ns0:c r="Q951">
        <ns0:f>IF(AND(L951=1,O951*Calculations!$B$2&lt;=Calculations!$B$10*Calculations!$B$4),1,0)</ns0:f>
        <ns0:v>1</ns0:v>
      </ns0:c>
      <ns0:c r="R951">
        <ns0:f>IF(AND(L951=1,O951*Calculations!$B$2&lt;=Calculations!$B$11*Calculations!$B$4),1,0)</ns0:f>
        <ns0:v>1</ns0:v>
      </ns0:c>
    </ns0:row>
    <ns0:row r="952">
      <ns0:c r="A952" t="inlineStr">
        <ns0:is>
          <ns0:t>case_0951</ns0:t>
        </ns0:is>
      </ns0:c>
      <ns0:c r="B952" t="inlineStr">
        <ns0:is>
          <ns0:t>function_0163</ns0:t>
        </ns0:is>
      </ns0:c>
      <ns0:c r="C952" t="inlineStr">
        <ns0:is>
          <ns0:t>run_010</ns0:t>
        </ns0:is>
      </ns0:c>
      <ns0:c r="D952" t="inlineStr">
        <ns0:is>
          <ns0:t>itoa</ns0:t>
        </ns0:is>
      </ns0:c>
      <ns0:c r="E952" t="inlineStr">
        <ns0:is>
          <ns0:t>gemini-2.5-flash-nothinking</ns0:t>
        </ns0:is>
      </ns0:c>
      <ns0:c r="F952" t="inlineStr">
        <ns0:is>
          <ns0:t>E0308</ns0:t>
        </ns0:is>
      </ns0:c>
      <ns0:c r="G952" t="n">
        <ns0:v>1</ns0:v>
      </ns0:c>
      <ns0:c r="H952" t="n">
        <ns0:v>4385</ns0:v>
      </ns0:c>
      <ns0:c r="I952" t="n">
        <ns0:v>612</ns0:v>
      </ns0:c>
      <ns0:c r="J952" t="n">
        <ns0:v>4997</ns0:v>
      </ns0:c>
      <ns0:c r="K952" t="n">
        <ns0:v>6</ns0:v>
      </ns0:c>
      <ns0:c r="L952" t="n">
        <ns0:v>1</ns0:v>
      </ns0:c>
      <ns0:c r="M952" t="n">
        <ns0:v>43075</ns0:v>
      </ns0:c>
      <ns0:c r="N952" t="n">
        <ns0:v>1196</ns0:v>
      </ns0:c>
      <ns0:c r="O952" t="n">
        <ns0:v>44271</ns0:v>
      </ns0:c>
      <ns0:c r="P952" t="n">
        <ns0:v>4</ns0:v>
      </ns0:c>
      <ns0:c r="Q952">
        <ns0:f>IF(AND(L952=1,O952*Calculations!$B$2&lt;=Calculations!$B$10*Calculations!$B$4),1,0)</ns0:f>
        <ns0:v>0</ns0:v>
      </ns0:c>
      <ns0:c r="R952">
        <ns0:f>IF(AND(L952=1,O952*Calculations!$B$2&lt;=Calculations!$B$11*Calculations!$B$4),1,0)</ns0:f>
        <ns0:v>1</ns0:v>
      </ns0:c>
    </ns0:row>
    <ns0:row r="953">
      <ns0:c r="A953" t="inlineStr">
        <ns0:is>
          <ns0:t>case_0952</ns0:t>
        </ns0:is>
      </ns0:c>
      <ns0:c r="B953" t="inlineStr">
        <ns0:is>
          <ns0:t>function_0164</ns0:t>
        </ns0:is>
      </ns0:c>
      <ns0:c r="C953" t="inlineStr">
        <ns0:is>
          <ns0:t>run_010</ns0:t>
        </ns0:is>
      </ns0:c>
      <ns0:c r="D953" t="inlineStr">
        <ns0:is>
          <ns0:t>itoa</ns0:t>
        </ns0:is>
      </ns0:c>
      <ns0:c r="E953" t="inlineStr">
        <ns0:is>
          <ns0:t>gemini-2.5-flash-nothinking</ns0:t>
        </ns0:is>
      </ns0:c>
      <ns0:c r="F953" t="inlineStr">
        <ns0:is>
          <ns0:t>E0308</ns0:t>
        </ns0:is>
      </ns0:c>
      <ns0:c r="G953" t="n">
        <ns0:v>1</ns0:v>
      </ns0:c>
      <ns0:c r="H953" t="n">
        <ns0:v>689</ns0:v>
      </ns0:c>
      <ns0:c r="I953" t="n">
        <ns0:v>84</ns0:v>
      </ns0:c>
      <ns0:c r="J953" t="n">
        <ns0:v>773</ns0:v>
      </ns0:c>
      <ns0:c r="K953" t="n">
        <ns0:v>1</ns0:v>
      </ns0:c>
      <ns0:c r="L953" t="n">
        <ns0:v>1</ns0:v>
      </ns0:c>
      <ns0:c r="M953" t="n">
        <ns0:v>21842</ns0:v>
      </ns0:c>
      <ns0:c r="N953" t="n">
        <ns0:v>303</ns0:v>
      </ns0:c>
      <ns0:c r="O953" t="n">
        <ns0:v>22145</ns0:v>
      </ns0:c>
      <ns0:c r="P953" t="n">
        <ns0:v>3</ns0:v>
      </ns0:c>
      <ns0:c r="Q953">
        <ns0:f>IF(AND(L953=1,O953*Calculations!$B$2&lt;=Calculations!$B$10*Calculations!$B$4),1,0)</ns0:f>
        <ns0:v>1</ns0:v>
      </ns0:c>
      <ns0:c r="R953">
        <ns0:f>IF(AND(L953=1,O953*Calculations!$B$2&lt;=Calculations!$B$11*Calculations!$B$4),1,0)</ns0:f>
        <ns0:v>1</ns0:v>
      </ns0:c>
    </ns0:row>
    <ns0:row r="954">
      <ns0:c r="A954" t="inlineStr">
        <ns0:is>
          <ns0:t>case_0953</ns0:t>
        </ns0:is>
      </ns0:c>
      <ns0:c r="B954" t="inlineStr">
        <ns0:is>
          <ns0:t>function_0164</ns0:t>
        </ns0:is>
      </ns0:c>
      <ns0:c r="C954" t="inlineStr">
        <ns0:is>
          <ns0:t>run_010</ns0:t>
        </ns0:is>
      </ns0:c>
      <ns0:c r="D954" t="inlineStr">
        <ns0:is>
          <ns0:t>itoa</ns0:t>
        </ns0:is>
      </ns0:c>
      <ns0:c r="E954" t="inlineStr">
        <ns0:is>
          <ns0:t>gemini-2.5-flash-nothinking</ns0:t>
        </ns0:is>
      </ns0:c>
      <ns0:c r="F954" t="inlineStr">
        <ns0:is>
          <ns0:t>E0308</ns0:t>
        </ns0:is>
      </ns0:c>
      <ns0:c r="G954" t="n">
        <ns0:v>1</ns0:v>
      </ns0:c>
      <ns0:c r="H954" t="n">
        <ns0:v>680</ns0:v>
      </ns0:c>
      <ns0:c r="I954" t="n">
        <ns0:v>76</ns0:v>
      </ns0:c>
      <ns0:c r="J954" t="n">
        <ns0:v>756</ns0:v>
      </ns0:c>
      <ns0:c r="K954" t="n">
        <ns0:v>1</ns0:v>
      </ns0:c>
      <ns0:c r="L954" t="n">
        <ns0:v>1</ns0:v>
      </ns0:c>
      <ns0:c r="M954" t="n">
        <ns0:v>20579</ns0:v>
      </ns0:c>
      <ns0:c r="N954" t="n">
        <ns0:v>350</ns0:v>
      </ns0:c>
      <ns0:c r="O954" t="n">
        <ns0:v>20929</ns0:v>
      </ns0:c>
      <ns0:c r="P954" t="n">
        <ns0:v>3</ns0:v>
      </ns0:c>
      <ns0:c r="Q954">
        <ns0:f>IF(AND(L954=1,O954*Calculations!$B$2&lt;=Calculations!$B$10*Calculations!$B$4),1,0)</ns0:f>
        <ns0:v>1</ns0:v>
      </ns0:c>
      <ns0:c r="R954">
        <ns0:f>IF(AND(L954=1,O954*Calculations!$B$2&lt;=Calculations!$B$11*Calculations!$B$4),1,0)</ns0:f>
        <ns0:v>1</ns0:v>
      </ns0:c>
    </ns0:row>
    <ns0:row r="955">
      <ns0:c r="A955" t="inlineStr">
        <ns0:is>
          <ns0:t>case_0954</ns0:t>
        </ns0:is>
      </ns0:c>
      <ns0:c r="B955" t="inlineStr">
        <ns0:is>
          <ns0:t>function_0165</ns0:t>
        </ns0:is>
      </ns0:c>
      <ns0:c r="C955" t="inlineStr">
        <ns0:is>
          <ns0:t>run_010</ns0:t>
        </ns0:is>
      </ns0:c>
      <ns0:c r="D955" t="inlineStr">
        <ns0:is>
          <ns0:t>itoa</ns0:t>
        </ns0:is>
      </ns0:c>
      <ns0:c r="E955" t="inlineStr">
        <ns0:is>
          <ns0:t>gemini-2.5-flash-nothinking</ns0:t>
        </ns0:is>
      </ns0:c>
      <ns0:c r="F955" t="inlineStr">
        <ns0:is>
          <ns0:t>E0599</ns0:t>
        </ns0:is>
      </ns0:c>
      <ns0:c r="G955" t="n">
        <ns0:v>1</ns0:v>
      </ns0:c>
      <ns0:c r="H955" t="n">
        <ns0:v>3196</ns0:v>
      </ns0:c>
      <ns0:c r="I955" t="n">
        <ns0:v>2229</ns0:v>
      </ns0:c>
      <ns0:c r="J955" t="n">
        <ns0:v>5425</ns0:v>
      </ns0:c>
      <ns0:c r="K955" t="n">
        <ns0:v>3</ns0:v>
      </ns0:c>
      <ns0:c r="L955" t="n">
        <ns0:v>1</ns0:v>
      </ns0:c>
      <ns0:c r="M955" t="n">
        <ns0:v>38588</ns0:v>
      </ns0:c>
      <ns0:c r="N955" t="n">
        <ns0:v>385</ns0:v>
      </ns0:c>
      <ns0:c r="O955" t="n">
        <ns0:v>38973</ns0:v>
      </ns0:c>
      <ns0:c r="P955" t="n">
        <ns0:v>5</ns0:v>
      </ns0:c>
      <ns0:c r="Q955">
        <ns0:f>IF(AND(L955=1,O955*Calculations!$B$2&lt;=Calculations!$B$10*Calculations!$B$4),1,0)</ns0:f>
        <ns0:v>0</ns0:v>
      </ns0:c>
      <ns0:c r="R955">
        <ns0:f>IF(AND(L955=1,O955*Calculations!$B$2&lt;=Calculations!$B$11*Calculations!$B$4),1,0)</ns0:f>
        <ns0:v>1</ns0:v>
      </ns0:c>
    </ns0:row>
    <ns0:row r="956">
      <ns0:c r="A956" t="inlineStr">
        <ns0:is>
          <ns0:t>case_0955</ns0:t>
        </ns0:is>
      </ns0:c>
      <ns0:c r="B956" t="inlineStr">
        <ns0:is>
          <ns0:t>function_0165</ns0:t>
        </ns0:is>
      </ns0:c>
      <ns0:c r="C956" t="inlineStr">
        <ns0:is>
          <ns0:t>run_010</ns0:t>
        </ns0:is>
      </ns0:c>
      <ns0:c r="D956" t="inlineStr">
        <ns0:is>
          <ns0:t>itoa</ns0:t>
        </ns0:is>
      </ns0:c>
      <ns0:c r="E956" t="inlineStr">
        <ns0:is>
          <ns0:t>gemini-2.5-flash-nothinking</ns0:t>
        </ns0:is>
      </ns0:c>
      <ns0:c r="F956" t="inlineStr">
        <ns0:is>
          <ns0:t>E0308,E0599</ns0:t>
        </ns0:is>
      </ns0:c>
      <ns0:c r="G956" t="n">
        <ns0:v>0</ns0:v>
      </ns0:c>
      <ns0:c r="H956" t="n">
        <ns0:v>3335</ns0:v>
      </ns0:c>
      <ns0:c r="I956" t="n">
        <ns0:v>597</ns0:v>
      </ns0:c>
      <ns0:c r="J956" t="n">
        <ns0:v>3932</ns0:v>
      </ns0:c>
      <ns0:c r="K956" t="n">
        <ns0:v>3</ns0:v>
      </ns0:c>
      <ns0:c r="L956" t="n">
        <ns0:v>0</ns0:v>
      </ns0:c>
      <ns0:c r="M956" t="n">
        <ns0:v>227759</ns0:v>
      </ns0:c>
      <ns0:c r="N956" t="n">
        <ns0:v>3018</ns0:v>
      </ns0:c>
      <ns0:c r="O956" t="n">
        <ns0:v>230777</ns0:v>
      </ns0:c>
      <ns0:c r="P956" t="n">
        <ns0:v>20</ns0:v>
      </ns0:c>
      <ns0:c r="Q956">
        <ns0:f>IF(AND(L956=1,O956*Calculations!$B$2&lt;=Calculations!$B$10*Calculations!$B$4),1,0)</ns0:f>
        <ns0:v>0</ns0:v>
      </ns0:c>
      <ns0:c r="R956">
        <ns0:f>IF(AND(L956=1,O956*Calculations!$B$2&lt;=Calculations!$B$11*Calculations!$B$4),1,0)</ns0:f>
        <ns0:v>0</ns0:v>
      </ns0:c>
    </ns0:row>
    <ns0:row r="957">
      <ns0:c r="A957" t="inlineStr">
        <ns0:is>
          <ns0:t>case_0956</ns0:t>
        </ns0:is>
      </ns0:c>
      <ns0:c r="B957" t="inlineStr">
        <ns0:is>
          <ns0:t>function_0166</ns0:t>
        </ns0:is>
      </ns0:c>
      <ns0:c r="C957" t="inlineStr">
        <ns0:is>
          <ns0:t>run_011</ns0:t>
        </ns0:is>
      </ns0:c>
      <ns0:c r="D957" t="inlineStr">
        <ns0:is>
          <ns0:t>log</ns0:t>
        </ns0:is>
      </ns0:c>
      <ns0:c r="E957" t="inlineStr">
        <ns0:is>
          <ns0:t>gemini-2.5-flash-nothinking</ns0:t>
        </ns0:is>
      </ns0:c>
      <ns0:c r="F957" t="inlineStr">
        <ns0:is>
          <ns0:t>E0308</ns0:t>
        </ns0:is>
      </ns0:c>
      <ns0:c r="G957" t="n">
        <ns0:v>1</ns0:v>
      </ns0:c>
      <ns0:c r="H957" t="n">
        <ns0:v>3183</ns0:v>
      </ns0:c>
      <ns0:c r="I957" t="n">
        <ns0:v>122</ns0:v>
      </ns0:c>
      <ns0:c r="J957" t="n">
        <ns0:v>3305</ns0:v>
      </ns0:c>
      <ns0:c r="K957" t="n">
        <ns0:v>2</ns0:v>
      </ns0:c>
      <ns0:c r="L957" t="n">
        <ns0:v>1</ns0:v>
      </ns0:c>
      <ns0:c r="M957" t="n">
        <ns0:v>20352</ns0:v>
      </ns0:c>
      <ns0:c r="N957" t="n">
        <ns0:v>437</ns0:v>
      </ns0:c>
      <ns0:c r="O957" t="n">
        <ns0:v>20789</ns0:v>
      </ns0:c>
      <ns0:c r="P957" t="n">
        <ns0:v>3</ns0:v>
      </ns0:c>
      <ns0:c r="Q957">
        <ns0:f>IF(AND(L957=1,O957*Calculations!$B$2&lt;=Calculations!$B$10*Calculations!$B$4),1,0)</ns0:f>
        <ns0:v>1</ns0:v>
      </ns0:c>
      <ns0:c r="R957">
        <ns0:f>IF(AND(L957=1,O957*Calculations!$B$2&lt;=Calculations!$B$11*Calculations!$B$4),1,0)</ns0:f>
        <ns0:v>1</ns0:v>
      </ns0:c>
    </ns0:row>
    <ns0:row r="958">
      <ns0:c r="A958" t="inlineStr">
        <ns0:is>
          <ns0:t>case_0957</ns0:t>
        </ns0:is>
      </ns0:c>
      <ns0:c r="B958" t="inlineStr">
        <ns0:is>
          <ns0:t>function_0167</ns0:t>
        </ns0:is>
      </ns0:c>
      <ns0:c r="C958" t="inlineStr">
        <ns0:is>
          <ns0:t>run_011</ns0:t>
        </ns0:is>
      </ns0:c>
      <ns0:c r="D958" t="inlineStr">
        <ns0:is>
          <ns0:t>log</ns0:t>
        </ns0:is>
      </ns0:c>
      <ns0:c r="E958" t="inlineStr">
        <ns0:is>
          <ns0:t>gemini-2.5-flash-nothinking</ns0:t>
        </ns0:is>
      </ns0:c>
      <ns0:c r="F958" t="inlineStr">
        <ns0:is>
          <ns0:t>E0308</ns0:t>
        </ns0:is>
      </ns0:c>
      <ns0:c r="G958" t="n">
        <ns0:v>0</ns0:v>
      </ns0:c>
      <ns0:c r="H958" t="n">
        <ns0:v>3150</ns0:v>
      </ns0:c>
      <ns0:c r="I958" t="n">
        <ns0:v>135</ns0:v>
      </ns0:c>
      <ns0:c r="J958" t="n">
        <ns0:v>3285</ns0:v>
      </ns0:c>
      <ns0:c r="K958" t="n">
        <ns0:v>3</ns0:v>
      </ns0:c>
      <ns0:c r="L958" t="n">
        <ns0:v>1</ns0:v>
      </ns0:c>
      <ns0:c r="M958" t="n">
        <ns0:v>107202</ns0:v>
      </ns0:c>
      <ns0:c r="N958" t="n">
        <ns0:v>308</ns0:v>
      </ns0:c>
      <ns0:c r="O958" t="n">
        <ns0:v>107510</ns0:v>
      </ns0:c>
      <ns0:c r="P958" t="n">
        <ns0:v>4</ns0:v>
      </ns0:c>
      <ns0:c r="Q958">
        <ns0:f>IF(AND(L958=1,O958*Calculations!$B$2&lt;=Calculations!$B$10*Calculations!$B$4),1,0)</ns0:f>
        <ns0:v>0</ns0:v>
      </ns0:c>
      <ns0:c r="R958">
        <ns0:f>IF(AND(L958=1,O958*Calculations!$B$2&lt;=Calculations!$B$11*Calculations!$B$4),1,0)</ns0:f>
        <ns0:v>0</ns0:v>
      </ns0:c>
    </ns0:row>
    <ns0:row r="959">
      <ns0:c r="A959" t="inlineStr">
        <ns0:is>
          <ns0:t>case_0958</ns0:t>
        </ns0:is>
      </ns0:c>
      <ns0:c r="B959" t="inlineStr">
        <ns0:is>
          <ns0:t>function_0168</ns0:t>
        </ns0:is>
      </ns0:c>
      <ns0:c r="C959" t="inlineStr">
        <ns0:is>
          <ns0:t>run_011</ns0:t>
        </ns0:is>
      </ns0:c>
      <ns0:c r="D959" t="inlineStr">
        <ns0:is>
          <ns0:t>log</ns0:t>
        </ns0:is>
      </ns0:c>
      <ns0:c r="E959" t="inlineStr">
        <ns0:is>
          <ns0:t>gemini-2.5-flash-nothinking</ns0:t>
        </ns0:is>
      </ns0:c>
      <ns0:c r="F959" t="inlineStr">
        <ns0:is>
          <ns0:t>E0308,E0432</ns0:t>
        </ns0:is>
      </ns0:c>
      <ns0:c r="G959" t="n">
        <ns0:v>0</ns0:v>
      </ns0:c>
      <ns0:c r="H959" t="n">
        <ns0:v>10445</ns0:v>
      </ns0:c>
      <ns0:c r="I959" t="n">
        <ns0:v>459</ns0:v>
      </ns0:c>
      <ns0:c r="J959" t="n">
        <ns0:v>10904</ns0:v>
      </ns0:c>
      <ns0:c r="K959" t="n">
        <ns0:v>3</ns0:v>
      </ns0:c>
      <ns0:c r="L959" t="n">
        <ns0:v>1</ns0:v>
      </ns0:c>
      <ns0:c r="M959" t="n">
        <ns0:v>58684</ns0:v>
      </ns0:c>
      <ns0:c r="N959" t="n">
        <ns0:v>1159</ns0:v>
      </ns0:c>
      <ns0:c r="O959" t="n">
        <ns0:v>59843</ns0:v>
      </ns0:c>
      <ns0:c r="P959" t="n">
        <ns0:v>8</ns0:v>
      </ns0:c>
      <ns0:c r="Q959">
        <ns0:f>IF(AND(L959=1,O959*Calculations!$B$2&lt;=Calculations!$B$10*Calculations!$B$4),1,0)</ns0:f>
        <ns0:v>0</ns0:v>
      </ns0:c>
      <ns0:c r="R959">
        <ns0:f>IF(AND(L959=1,O959*Calculations!$B$2&lt;=Calculations!$B$11*Calculations!$B$4),1,0)</ns0:f>
        <ns0:v>0</ns0:v>
      </ns0:c>
    </ns0:row>
    <ns0:row r="960">
      <ns0:c r="A960" t="inlineStr">
        <ns0:is>
          <ns0:t>case_0959</ns0:t>
        </ns0:is>
      </ns0:c>
      <ns0:c r="B960" t="inlineStr">
        <ns0:is>
          <ns0:t>function_0168</ns0:t>
        </ns0:is>
      </ns0:c>
      <ns0:c r="C960" t="inlineStr">
        <ns0:is>
          <ns0:t>run_011</ns0:t>
        </ns0:is>
      </ns0:c>
      <ns0:c r="D960" t="inlineStr">
        <ns0:is>
          <ns0:t>log</ns0:t>
        </ns0:is>
      </ns0:c>
      <ns0:c r="E960" t="inlineStr">
        <ns0:is>
          <ns0:t>gemini-2.5-flash-nothinking</ns0:t>
        </ns0:is>
      </ns0:c>
      <ns0:c r="F960" t="inlineStr">
        <ns0:is>
          <ns0:t>E0432</ns0:t>
        </ns0:is>
      </ns0:c>
      <ns0:c r="G960" t="n">
        <ns0:v>1</ns0:v>
      </ns0:c>
      <ns0:c r="H960" t="n">
        <ns0:v>0</ns0:v>
      </ns0:c>
      <ns0:c r="I960" t="n">
        <ns0:v>0</ns0:v>
      </ns0:c>
      <ns0:c r="J960" t="n">
        <ns0:v>0</ns0:v>
      </ns0:c>
      <ns0:c r="K960" t="n">
        <ns0:v>0</ns0:v>
      </ns0:c>
      <ns0:c r="L960" t="n">
        <ns0:v>1</ns0:v>
      </ns0:c>
      <ns0:c r="M960" t="n">
        <ns0:v>68523</ns0:v>
      </ns0:c>
      <ns0:c r="N960" t="n">
        <ns0:v>1265</ns0:v>
      </ns0:c>
      <ns0:c r="O960" t="n">
        <ns0:v>69788</ns0:v>
      </ns0:c>
      <ns0:c r="P960" t="n">
        <ns0:v>9</ns0:v>
      </ns0:c>
      <ns0:c r="Q960">
        <ns0:f>IF(AND(L960=1,O960*Calculations!$B$2&lt;=Calculations!$B$10*Calculations!$B$4),1,0)</ns0:f>
        <ns0:v>0</ns0:v>
      </ns0:c>
      <ns0:c r="R960">
        <ns0:f>IF(AND(L960=1,O960*Calculations!$B$2&lt;=Calculations!$B$11*Calculations!$B$4),1,0)</ns0:f>
        <ns0:v>0</ns0:v>
      </ns0:c>
    </ns0:row>
    <ns0:row r="961">
      <ns0:c r="A961" t="inlineStr">
        <ns0:is>
          <ns0:t>case_0960</ns0:t>
        </ns0:is>
      </ns0:c>
      <ns0:c r="B961" t="inlineStr">
        <ns0:is>
          <ns0:t>function_0169</ns0:t>
        </ns0:is>
      </ns0:c>
      <ns0:c r="C961" t="inlineStr">
        <ns0:is>
          <ns0:t>run_011</ns0:t>
        </ns0:is>
      </ns0:c>
      <ns0:c r="D961" t="inlineStr">
        <ns0:is>
          <ns0:t>log</ns0:t>
        </ns0:is>
      </ns0:c>
      <ns0:c r="E961" t="inlineStr">
        <ns0:is>
          <ns0:t>gemini-2.5-flash-nothinking</ns0:t>
        </ns0:is>
      </ns0:c>
      <ns0:c r="F961" t="inlineStr">
        <ns0:is>
          <ns0:t>E0433</ns0:t>
        </ns0:is>
      </ns0:c>
      <ns0:c r="G961" t="n">
        <ns0:v>0</ns0:v>
      </ns0:c>
      <ns0:c r="H961" t="n">
        <ns0:v>5966</ns0:v>
      </ns0:c>
      <ns0:c r="I961" t="n">
        <ns0:v>159</ns0:v>
      </ns0:c>
      <ns0:c r="J961" t="n">
        <ns0:v>6125</ns0:v>
      </ns0:c>
      <ns0:c r="K961" t="n">
        <ns0:v>3</ns0:v>
      </ns0:c>
      <ns0:c r="L961" t="n">
        <ns0:v>1</ns0:v>
      </ns0:c>
      <ns0:c r="M961" t="n">
        <ns0:v>20118</ns0:v>
      </ns0:c>
      <ns0:c r="N961" t="n">
        <ns0:v>214</ns0:v>
      </ns0:c>
      <ns0:c r="O961" t="n">
        <ns0:v>20332</ns0:v>
      </ns0:c>
      <ns0:c r="P961" t="n">
        <ns0:v>3</ns0:v>
      </ns0:c>
      <ns0:c r="Q961">
        <ns0:f>IF(AND(L961=1,O961*Calculations!$B$2&lt;=Calculations!$B$10*Calculations!$B$4),1,0)</ns0:f>
        <ns0:v>1</ns0:v>
      </ns0:c>
      <ns0:c r="R961">
        <ns0:f>IF(AND(L961=1,O961*Calculations!$B$2&lt;=Calculations!$B$11*Calculations!$B$4),1,0)</ns0:f>
        <ns0:v>1</ns0:v>
      </ns0:c>
    </ns0:row>
    <ns0:row r="962">
      <ns0:c r="A962" t="inlineStr">
        <ns0:is>
          <ns0:t>case_0961</ns0:t>
        </ns0:is>
      </ns0:c>
      <ns0:c r="B962" t="inlineStr">
        <ns0:is>
          <ns0:t>function_0169</ns0:t>
        </ns0:is>
      </ns0:c>
      <ns0:c r="C962" t="inlineStr">
        <ns0:is>
          <ns0:t>run_011</ns0:t>
        </ns0:is>
      </ns0:c>
      <ns0:c r="D962" t="inlineStr">
        <ns0:is>
          <ns0:t>log</ns0:t>
        </ns0:is>
      </ns0:c>
      <ns0:c r="E962" t="inlineStr">
        <ns0:is>
          <ns0:t>gemini-2.5-flash-nothinking</ns0:t>
        </ns0:is>
      </ns0:c>
      <ns0:c r="F962" t="inlineStr">
        <ns0:is>
          <ns0:t>E0433</ns0:t>
        </ns0:is>
      </ns0:c>
      <ns0:c r="G962" t="n">
        <ns0:v>0</ns0:v>
      </ns0:c>
      <ns0:c r="H962" t="n">
        <ns0:v>5939</ns0:v>
      </ns0:c>
      <ns0:c r="I962" t="n">
        <ns0:v>213</ns0:v>
      </ns0:c>
      <ns0:c r="J962" t="n">
        <ns0:v>6152</ns0:v>
      </ns0:c>
      <ns0:c r="K962" t="n">
        <ns0:v>3</ns0:v>
      </ns0:c>
      <ns0:c r="L962" t="n">
        <ns0:v>1</ns0:v>
      </ns0:c>
      <ns0:c r="M962" t="n">
        <ns0:v>20140</ns0:v>
      </ns0:c>
      <ns0:c r="N962" t="n">
        <ns0:v>156</ns0:v>
      </ns0:c>
      <ns0:c r="O962" t="n">
        <ns0:v>20296</ns0:v>
      </ns0:c>
      <ns0:c r="P962" t="n">
        <ns0:v>3</ns0:v>
      </ns0:c>
      <ns0:c r="Q962">
        <ns0:f>IF(AND(L962=1,O962*Calculations!$B$2&lt;=Calculations!$B$10*Calculations!$B$4),1,0)</ns0:f>
        <ns0:v>1</ns0:v>
      </ns0:c>
      <ns0:c r="R962">
        <ns0:f>IF(AND(L962=1,O962*Calculations!$B$2&lt;=Calculations!$B$11*Calculations!$B$4),1,0)</ns0:f>
        <ns0:v>1</ns0:v>
      </ns0:c>
    </ns0:row>
    <ns0:row r="963">
      <ns0:c r="A963" t="inlineStr">
        <ns0:is>
          <ns0:t>case_0962</ns0:t>
        </ns0:is>
      </ns0:c>
      <ns0:c r="B963" t="inlineStr">
        <ns0:is>
          <ns0:t>function_0170</ns0:t>
        </ns0:is>
      </ns0:c>
      <ns0:c r="C963" t="inlineStr">
        <ns0:is>
          <ns0:t>run_011</ns0:t>
        </ns0:is>
      </ns0:c>
      <ns0:c r="D963" t="inlineStr">
        <ns0:is>
          <ns0:t>log</ns0:t>
        </ns0:is>
      </ns0:c>
      <ns0:c r="E963" t="inlineStr">
        <ns0:is>
          <ns0:t>gemini-2.5-flash-nothinking</ns0:t>
        </ns0:is>
      </ns0:c>
      <ns0:c r="F963" t="inlineStr">
        <ns0:is>
          <ns0:t>E0433,E0599</ns0:t>
        </ns0:is>
      </ns0:c>
      <ns0:c r="G963" t="n">
        <ns0:v>0</ns0:v>
      </ns0:c>
      <ns0:c r="H963" t="n">
        <ns0:v>7278</ns0:v>
      </ns0:c>
      <ns0:c r="I963" t="n">
        <ns0:v>543</ns0:v>
      </ns0:c>
      <ns0:c r="J963" t="n">
        <ns0:v>7821</ns0:v>
      </ns0:c>
      <ns0:c r="K963" t="n">
        <ns0:v>3</ns0:v>
      </ns0:c>
      <ns0:c r="L963" t="n">
        <ns0:v>1</ns0:v>
      </ns0:c>
      <ns0:c r="M963" t="n">
        <ns0:v>59283</ns0:v>
      </ns0:c>
      <ns0:c r="N963" t="n">
        <ns0:v>596</ns0:v>
      </ns0:c>
      <ns0:c r="O963" t="n">
        <ns0:v>59879</ns0:v>
      </ns0:c>
      <ns0:c r="P963" t="n">
        <ns0:v>8</ns0:v>
      </ns0:c>
      <ns0:c r="Q963">
        <ns0:f>IF(AND(L963=1,O963*Calculations!$B$2&lt;=Calculations!$B$10*Calculations!$B$4),1,0)</ns0:f>
        <ns0:v>0</ns0:v>
      </ns0:c>
      <ns0:c r="R963">
        <ns0:f>IF(AND(L963=1,O963*Calculations!$B$2&lt;=Calculations!$B$11*Calculations!$B$4),1,0)</ns0:f>
        <ns0:v>0</ns0:v>
      </ns0:c>
    </ns0:row>
    <ns0:row r="964">
      <ns0:c r="A964" t="inlineStr">
        <ns0:is>
          <ns0:t>case_0963</ns0:t>
        </ns0:is>
      </ns0:c>
      <ns0:c r="B964" t="inlineStr">
        <ns0:is>
          <ns0:t>function_0170</ns0:t>
        </ns0:is>
      </ns0:c>
      <ns0:c r="C964" t="inlineStr">
        <ns0:is>
          <ns0:t>run_011</ns0:t>
        </ns0:is>
      </ns0:c>
      <ns0:c r="D964" t="inlineStr">
        <ns0:is>
          <ns0:t>log</ns0:t>
        </ns0:is>
      </ns0:c>
      <ns0:c r="E964" t="inlineStr">
        <ns0:is>
          <ns0:t>gemini-2.5-flash-nothinking</ns0:t>
        </ns0:is>
      </ns0:c>
      <ns0:c r="F964" t="inlineStr">
        <ns0:is>
          <ns0:t>E0433</ns0:t>
        </ns0:is>
      </ns0:c>
      <ns0:c r="G964" t="n">
        <ns0:v>0</ns0:v>
      </ns0:c>
      <ns0:c r="H964" t="n">
        <ns0:v>5858</ns0:v>
      </ns0:c>
      <ns0:c r="I964" t="n">
        <ns0:v>168</ns0:v>
      </ns0:c>
      <ns0:c r="J964" t="n">
        <ns0:v>6026</ns0:v>
      </ns0:c>
      <ns0:c r="K964" t="n">
        <ns0:v>3</ns0:v>
      </ns0:c>
      <ns0:c r="L964" t="n">
        <ns0:v>1</ns0:v>
      </ns0:c>
      <ns0:c r="M964" t="n">
        <ns0:v>265552</ns0:v>
      </ns0:c>
      <ns0:c r="N964" t="n">
        <ns0:v>2231</ns0:v>
      </ns0:c>
      <ns0:c r="O964" t="n">
        <ns0:v>267783</ns0:v>
      </ns0:c>
      <ns0:c r="P964" t="n">
        <ns0:v>15</ns0:v>
      </ns0:c>
      <ns0:c r="Q964">
        <ns0:f>IF(AND(L964=1,O964*Calculations!$B$2&lt;=Calculations!$B$10*Calculations!$B$4),1,0)</ns0:f>
        <ns0:v>0</ns0:v>
      </ns0:c>
      <ns0:c r="R964">
        <ns0:f>IF(AND(L964=1,O964*Calculations!$B$2&lt;=Calculations!$B$11*Calculations!$B$4),1,0)</ns0:f>
        <ns0:v>0</ns0:v>
      </ns0:c>
    </ns0:row>
    <ns0:row r="965">
      <ns0:c r="A965" t="inlineStr">
        <ns0:is>
          <ns0:t>case_0964</ns0:t>
        </ns0:is>
      </ns0:c>
      <ns0:c r="B965" t="inlineStr">
        <ns0:is>
          <ns0:t>function_0171</ns0:t>
        </ns0:is>
      </ns0:c>
      <ns0:c r="C965" t="inlineStr">
        <ns0:is>
          <ns0:t>run_011</ns0:t>
        </ns0:is>
      </ns0:c>
      <ns0:c r="D965" t="inlineStr">
        <ns0:is>
          <ns0:t>log</ns0:t>
        </ns0:is>
      </ns0:c>
      <ns0:c r="E965" t="inlineStr">
        <ns0:is>
          <ns0:t>gemini-2.5-flash-nothinking</ns0:t>
        </ns0:is>
      </ns0:c>
      <ns0:c r="F965" t="inlineStr">
        <ns0:is>
          <ns0:t>E0433</ns0:t>
        </ns0:is>
      </ns0:c>
      <ns0:c r="G965" t="n">
        <ns0:v>0</ns0:v>
      </ns0:c>
      <ns0:c r="H965" t="n">
        <ns0:v>9760</ns0:v>
      </ns0:c>
      <ns0:c r="I965" t="n">
        <ns0:v>174</ns0:v>
      </ns0:c>
      <ns0:c r="J965" t="n">
        <ns0:v>9934</ns0:v>
      </ns0:c>
      <ns0:c r="K965" t="n">
        <ns0:v>3</ns0:v>
      </ns0:c>
      <ns0:c r="L965" t="n">
        <ns0:v>1</ns0:v>
      </ns0:c>
      <ns0:c r="M965" t="n">
        <ns0:v>20146</ns0:v>
      </ns0:c>
      <ns0:c r="N965" t="n">
        <ns0:v>183</ns0:v>
      </ns0:c>
      <ns0:c r="O965" t="n">
        <ns0:v>20329</ns0:v>
      </ns0:c>
      <ns0:c r="P965" t="n">
        <ns0:v>3</ns0:v>
      </ns0:c>
      <ns0:c r="Q965">
        <ns0:f>IF(AND(L965=1,O965*Calculations!$B$2&lt;=Calculations!$B$10*Calculations!$B$4),1,0)</ns0:f>
        <ns0:v>1</ns0:v>
      </ns0:c>
      <ns0:c r="R965">
        <ns0:f>IF(AND(L965=1,O965*Calculations!$B$2&lt;=Calculations!$B$11*Calculations!$B$4),1,0)</ns0:f>
        <ns0:v>1</ns0:v>
      </ns0:c>
    </ns0:row>
    <ns0:row r="966">
      <ns0:c r="A966" t="inlineStr">
        <ns0:is>
          <ns0:t>case_0965</ns0:t>
        </ns0:is>
      </ns0:c>
      <ns0:c r="B966" t="inlineStr">
        <ns0:is>
          <ns0:t>function_0171</ns0:t>
        </ns0:is>
      </ns0:c>
      <ns0:c r="C966" t="inlineStr">
        <ns0:is>
          <ns0:t>run_011</ns0:t>
        </ns0:is>
      </ns0:c>
      <ns0:c r="D966" t="inlineStr">
        <ns0:is>
          <ns0:t>log</ns0:t>
        </ns0:is>
      </ns0:c>
      <ns0:c r="E966" t="inlineStr">
        <ns0:is>
          <ns0:t>gemini-2.5-flash-nothinking</ns0:t>
        </ns0:is>
      </ns0:c>
      <ns0:c r="F966" t="inlineStr">
        <ns0:is>
          <ns0:t>E0433</ns0:t>
        </ns0:is>
      </ns0:c>
      <ns0:c r="G966" t="n">
        <ns0:v>0</ns0:v>
      </ns0:c>
      <ns0:c r="H966" t="n">
        <ns0:v>9866</ns0:v>
      </ns0:c>
      <ns0:c r="I966" t="n">
        <ns0:v>174</ns0:v>
      </ns0:c>
      <ns0:c r="J966" t="n">
        <ns0:v>10040</ns0:v>
      </ns0:c>
      <ns0:c r="K966" t="n">
        <ns0:v>3</ns0:v>
      </ns0:c>
      <ns0:c r="L966" t="n">
        <ns0:v>1</ns0:v>
      </ns0:c>
      <ns0:c r="M966" t="n">
        <ns0:v>20175</ns0:v>
      </ns0:c>
      <ns0:c r="N966" t="n">
        <ns0:v>222</ns0:v>
      </ns0:c>
      <ns0:c r="O966" t="n">
        <ns0:v>20397</ns0:v>
      </ns0:c>
      <ns0:c r="P966" t="n">
        <ns0:v>3</ns0:v>
      </ns0:c>
      <ns0:c r="Q966">
        <ns0:f>IF(AND(L966=1,O966*Calculations!$B$2&lt;=Calculations!$B$10*Calculations!$B$4),1,0)</ns0:f>
        <ns0:v>1</ns0:v>
      </ns0:c>
      <ns0:c r="R966">
        <ns0:f>IF(AND(L966=1,O966*Calculations!$B$2&lt;=Calculations!$B$11*Calculations!$B$4),1,0)</ns0:f>
        <ns0:v>1</ns0:v>
      </ns0:c>
    </ns0:row>
    <ns0:row r="967">
      <ns0:c r="A967" t="inlineStr">
        <ns0:is>
          <ns0:t>case_0966</ns0:t>
        </ns0:is>
      </ns0:c>
      <ns0:c r="B967" t="inlineStr">
        <ns0:is>
          <ns0:t>function_0172</ns0:t>
        </ns0:is>
      </ns0:c>
      <ns0:c r="C967" t="inlineStr">
        <ns0:is>
          <ns0:t>run_011</ns0:t>
        </ns0:is>
      </ns0:c>
      <ns0:c r="D967" t="inlineStr">
        <ns0:is>
          <ns0:t>log</ns0:t>
        </ns0:is>
      </ns0:c>
      <ns0:c r="E967" t="inlineStr">
        <ns0:is>
          <ns0:t>gemini-2.5-flash-nothinking</ns0:t>
        </ns0:is>
      </ns0:c>
      <ns0:c r="F967" t="inlineStr">
        <ns0:is>
          <ns0:t>E0433</ns0:t>
        </ns0:is>
      </ns0:c>
      <ns0:c r="G967" t="n">
        <ns0:v>0</ns0:v>
      </ns0:c>
      <ns0:c r="H967" t="n">
        <ns0:v>5931</ns0:v>
      </ns0:c>
      <ns0:c r="I967" t="n">
        <ns0:v>168</ns0:v>
      </ns0:c>
      <ns0:c r="J967" t="n">
        <ns0:v>6099</ns0:v>
      </ns0:c>
      <ns0:c r="K967" t="n">
        <ns0:v>3</ns0:v>
      </ns0:c>
      <ns0:c r="L967" t="n">
        <ns0:v>1</ns0:v>
      </ns0:c>
      <ns0:c r="M967" t="n">
        <ns0:v>29462</ns0:v>
      </ns0:c>
      <ns0:c r="N967" t="n">
        <ns0:v>491</ns0:v>
      </ns0:c>
      <ns0:c r="O967" t="n">
        <ns0:v>29953</ns0:v>
      </ns0:c>
      <ns0:c r="P967" t="n">
        <ns0:v>4</ns0:v>
      </ns0:c>
      <ns0:c r="Q967">
        <ns0:f>IF(AND(L967=1,O967*Calculations!$B$2&lt;=Calculations!$B$10*Calculations!$B$4),1,0)</ns0:f>
        <ns0:v>0</ns0:v>
      </ns0:c>
      <ns0:c r="R967">
        <ns0:f>IF(AND(L967=1,O967*Calculations!$B$2&lt;=Calculations!$B$11*Calculations!$B$4),1,0)</ns0:f>
        <ns0:v>1</ns0:v>
      </ns0:c>
    </ns0:row>
    <ns0:row r="968">
      <ns0:c r="A968" t="inlineStr">
        <ns0:is>
          <ns0:t>case_0967</ns0:t>
        </ns0:is>
      </ns0:c>
      <ns0:c r="B968" t="inlineStr">
        <ns0:is>
          <ns0:t>function_0172</ns0:t>
        </ns0:is>
      </ns0:c>
      <ns0:c r="C968" t="inlineStr">
        <ns0:is>
          <ns0:t>run_011</ns0:t>
        </ns0:is>
      </ns0:c>
      <ns0:c r="D968" t="inlineStr">
        <ns0:is>
          <ns0:t>log</ns0:t>
        </ns0:is>
      </ns0:c>
      <ns0:c r="E968" t="inlineStr">
        <ns0:is>
          <ns0:t>gemini-2.5-flash-nothinking</ns0:t>
        </ns0:is>
      </ns0:c>
      <ns0:c r="F968" t="inlineStr">
        <ns0:is>
          <ns0:t>E0433</ns0:t>
        </ns0:is>
      </ns0:c>
      <ns0:c r="G968" t="n">
        <ns0:v>0</ns0:v>
      </ns0:c>
      <ns0:c r="H968" t="n">
        <ns0:v>5832</ns0:v>
      </ns0:c>
      <ns0:c r="I968" t="n">
        <ns0:v>168</ns0:v>
      </ns0:c>
      <ns0:c r="J968" t="n">
        <ns0:v>6000</ns0:v>
      </ns0:c>
      <ns0:c r="K968" t="n">
        <ns0:v>3</ns0:v>
      </ns0:c>
      <ns0:c r="L968" t="n">
        <ns0:v>1</ns0:v>
      </ns0:c>
      <ns0:c r="M968" t="n">
        <ns0:v>20111</ns0:v>
      </ns0:c>
      <ns0:c r="N968" t="n">
        <ns0:v>248</ns0:v>
      </ns0:c>
      <ns0:c r="O968" t="n">
        <ns0:v>20359</ns0:v>
      </ns0:c>
      <ns0:c r="P968" t="n">
        <ns0:v>3</ns0:v>
      </ns0:c>
      <ns0:c r="Q968">
        <ns0:f>IF(AND(L968=1,O968*Calculations!$B$2&lt;=Calculations!$B$10*Calculations!$B$4),1,0)</ns0:f>
        <ns0:v>1</ns0:v>
      </ns0:c>
      <ns0:c r="R968">
        <ns0:f>IF(AND(L968=1,O968*Calculations!$B$2&lt;=Calculations!$B$11*Calculations!$B$4),1,0)</ns0:f>
        <ns0:v>1</ns0:v>
      </ns0:c>
    </ns0:row>
    <ns0:row r="969">
      <ns0:c r="A969" t="inlineStr">
        <ns0:is>
          <ns0:t>case_0968</ns0:t>
        </ns0:is>
      </ns0:c>
      <ns0:c r="B969" t="inlineStr">
        <ns0:is>
          <ns0:t>function_0173</ns0:t>
        </ns0:is>
      </ns0:c>
      <ns0:c r="C969" t="inlineStr">
        <ns0:is>
          <ns0:t>run_011</ns0:t>
        </ns0:is>
      </ns0:c>
      <ns0:c r="D969" t="inlineStr">
        <ns0:is>
          <ns0:t>log</ns0:t>
        </ns0:is>
      </ns0:c>
      <ns0:c r="E969" t="inlineStr">
        <ns0:is>
          <ns0:t>gemini-2.5-flash-nothinking</ns0:t>
        </ns0:is>
      </ns0:c>
      <ns0:c r="F969" t="inlineStr">
        <ns0:is>
          <ns0:t>E0433,E0599</ns0:t>
        </ns0:is>
      </ns0:c>
      <ns0:c r="G969" t="n">
        <ns0:v>0</ns0:v>
      </ns0:c>
      <ns0:c r="H969" t="n">
        <ns0:v>11092</ns0:v>
      </ns0:c>
      <ns0:c r="I969" t="n">
        <ns0:v>2002</ns0:v>
      </ns0:c>
      <ns0:c r="J969" t="n">
        <ns0:v>13094</ns0:v>
      </ns0:c>
      <ns0:c r="K969" t="n">
        <ns0:v>3</ns0:v>
      </ns0:c>
      <ns0:c r="L969" t="n">
        <ns0:v>1</ns0:v>
      </ns0:c>
      <ns0:c r="M969" t="n">
        <ns0:v>73688</ns0:v>
      </ns0:c>
      <ns0:c r="N969" t="n">
        <ns0:v>409</ns0:v>
      </ns0:c>
      <ns0:c r="O969" t="n">
        <ns0:v>74097</ns0:v>
      </ns0:c>
      <ns0:c r="P969" t="n">
        <ns0:v>9</ns0:v>
      </ns0:c>
      <ns0:c r="Q969">
        <ns0:f>IF(AND(L969=1,O969*Calculations!$B$2&lt;=Calculations!$B$10*Calculations!$B$4),1,0)</ns0:f>
        <ns0:v>0</ns0:v>
      </ns0:c>
      <ns0:c r="R969">
        <ns0:f>IF(AND(L969=1,O969*Calculations!$B$2&lt;=Calculations!$B$11*Calculations!$B$4),1,0)</ns0:f>
        <ns0:v>0</ns0:v>
      </ns0:c>
    </ns0:row>
    <ns0:row r="970">
      <ns0:c r="A970" t="inlineStr">
        <ns0:is>
          <ns0:t>case_0969</ns0:t>
        </ns0:is>
      </ns0:c>
      <ns0:c r="B970" t="inlineStr">
        <ns0:is>
          <ns0:t>function_0173</ns0:t>
        </ns0:is>
      </ns0:c>
      <ns0:c r="C970" t="inlineStr">
        <ns0:is>
          <ns0:t>run_011</ns0:t>
        </ns0:is>
      </ns0:c>
      <ns0:c r="D970" t="inlineStr">
        <ns0:is>
          <ns0:t>log</ns0:t>
        </ns0:is>
      </ns0:c>
      <ns0:c r="E970" t="inlineStr">
        <ns0:is>
          <ns0:t>gemini-2.5-flash-nothinking</ns0:t>
        </ns0:is>
      </ns0:c>
      <ns0:c r="F970" t="inlineStr">
        <ns0:is>
          <ns0:t>E0433</ns0:t>
        </ns0:is>
      </ns0:c>
      <ns0:c r="G970" t="n">
        <ns0:v>0</ns0:v>
      </ns0:c>
      <ns0:c r="H970" t="n">
        <ns0:v>9824</ns0:v>
      </ns0:c>
      <ns0:c r="I970" t="n">
        <ns0:v>174</ns0:v>
      </ns0:c>
      <ns0:c r="J970" t="n">
        <ns0:v>9998</ns0:v>
      </ns0:c>
      <ns0:c r="K970" t="n">
        <ns0:v>3</ns0:v>
      </ns0:c>
      <ns0:c r="L970" t="n">
        <ns0:v>1</ns0:v>
      </ns0:c>
      <ns0:c r="M970" t="n">
        <ns0:v>20169</ns0:v>
      </ns0:c>
      <ns0:c r="N970" t="n">
        <ns0:v>399</ns0:v>
      </ns0:c>
      <ns0:c r="O970" t="n">
        <ns0:v>20568</ns0:v>
      </ns0:c>
      <ns0:c r="P970" t="n">
        <ns0:v>3</ns0:v>
      </ns0:c>
      <ns0:c r="Q970">
        <ns0:f>IF(AND(L970=1,O970*Calculations!$B$2&lt;=Calculations!$B$10*Calculations!$B$4),1,0)</ns0:f>
        <ns0:v>1</ns0:v>
      </ns0:c>
      <ns0:c r="R970">
        <ns0:f>IF(AND(L970=1,O970*Calculations!$B$2&lt;=Calculations!$B$11*Calculations!$B$4),1,0)</ns0:f>
        <ns0:v>1</ns0:v>
      </ns0:c>
    </ns0:row>
    <ns0:row r="971">
      <ns0:c r="A971" t="inlineStr">
        <ns0:is>
          <ns0:t>case_0970</ns0:t>
        </ns0:is>
      </ns0:c>
      <ns0:c r="B971" t="inlineStr">
        <ns0:is>
          <ns0:t>function_0174</ns0:t>
        </ns0:is>
      </ns0:c>
      <ns0:c r="C971" t="inlineStr">
        <ns0:is>
          <ns0:t>run_011</ns0:t>
        </ns0:is>
      </ns0:c>
      <ns0:c r="D971" t="inlineStr">
        <ns0:is>
          <ns0:t>log</ns0:t>
        </ns0:is>
      </ns0:c>
      <ns0:c r="E971" t="inlineStr">
        <ns0:is>
          <ns0:t>gemini-2.5-flash-nothinking</ns0:t>
        </ns0:is>
      </ns0:c>
      <ns0:c r="F971" t="inlineStr">
        <ns0:is>
          <ns0:t>E0433</ns0:t>
        </ns0:is>
      </ns0:c>
      <ns0:c r="G971" t="n">
        <ns0:v>0</ns0:v>
      </ns0:c>
      <ns0:c r="H971" t="n">
        <ns0:v>9850</ns0:v>
      </ns0:c>
      <ns0:c r="I971" t="n">
        <ns0:v>439</ns0:v>
      </ns0:c>
      <ns0:c r="J971" t="n">
        <ns0:v>10289</ns0:v>
      </ns0:c>
      <ns0:c r="K971" t="n">
        <ns0:v>3</ns0:v>
      </ns0:c>
      <ns0:c r="L971" t="n">
        <ns0:v>1</ns0:v>
      </ns0:c>
      <ns0:c r="M971" t="n">
        <ns0:v>20196</ns0:v>
      </ns0:c>
      <ns0:c r="N971" t="n">
        <ns0:v>341</ns0:v>
      </ns0:c>
      <ns0:c r="O971" t="n">
        <ns0:v>20537</ns0:v>
      </ns0:c>
      <ns0:c r="P971" t="n">
        <ns0:v>3</ns0:v>
      </ns0:c>
      <ns0:c r="Q971">
        <ns0:f>IF(AND(L971=1,O971*Calculations!$B$2&lt;=Calculations!$B$10*Calculations!$B$4),1,0)</ns0:f>
        <ns0:v>1</ns0:v>
      </ns0:c>
      <ns0:c r="R971">
        <ns0:f>IF(AND(L971=1,O971*Calculations!$B$2&lt;=Calculations!$B$11*Calculations!$B$4),1,0)</ns0:f>
        <ns0:v>1</ns0:v>
      </ns0:c>
    </ns0:row>
    <ns0:row r="972">
      <ns0:c r="A972" t="inlineStr">
        <ns0:is>
          <ns0:t>case_0971</ns0:t>
        </ns0:is>
      </ns0:c>
      <ns0:c r="B972" t="inlineStr">
        <ns0:is>
          <ns0:t>function_0174</ns0:t>
        </ns0:is>
      </ns0:c>
      <ns0:c r="C972" t="inlineStr">
        <ns0:is>
          <ns0:t>run_011</ns0:t>
        </ns0:is>
      </ns0:c>
      <ns0:c r="D972" t="inlineStr">
        <ns0:is>
          <ns0:t>log</ns0:t>
        </ns0:is>
      </ns0:c>
      <ns0:c r="E972" t="inlineStr">
        <ns0:is>
          <ns0:t>gemini-2.5-flash-nothinking</ns0:t>
        </ns0:is>
      </ns0:c>
      <ns0:c r="F972" t="inlineStr">
        <ns0:is>
          <ns0:t>E0433</ns0:t>
        </ns0:is>
      </ns0:c>
      <ns0:c r="G972" t="n">
        <ns0:v>0</ns0:v>
      </ns0:c>
      <ns0:c r="H972" t="n">
        <ns0:v>9838</ns0:v>
      </ns0:c>
      <ns0:c r="I972" t="n">
        <ns0:v>520</ns0:v>
      </ns0:c>
      <ns0:c r="J972" t="n">
        <ns0:v>10358</ns0:v>
      </ns0:c>
      <ns0:c r="K972" t="n">
        <ns0:v>3</ns0:v>
      </ns0:c>
      <ns0:c r="L972" t="n">
        <ns0:v>1</ns0:v>
      </ns0:c>
      <ns0:c r="M972" t="n">
        <ns0:v>107290</ns0:v>
      </ns0:c>
      <ns0:c r="N972" t="n">
        <ns0:v>672</ns0:v>
      </ns0:c>
      <ns0:c r="O972" t="n">
        <ns0:v>107962</ns0:v>
      </ns0:c>
      <ns0:c r="P972" t="n">
        <ns0:v>4</ns0:v>
      </ns0:c>
      <ns0:c r="Q972">
        <ns0:f>IF(AND(L972=1,O972*Calculations!$B$2&lt;=Calculations!$B$10*Calculations!$B$4),1,0)</ns0:f>
        <ns0:v>0</ns0:v>
      </ns0:c>
      <ns0:c r="R972">
        <ns0:f>IF(AND(L972=1,O972*Calculations!$B$2&lt;=Calculations!$B$11*Calculations!$B$4),1,0)</ns0:f>
        <ns0:v>0</ns0:v>
      </ns0:c>
    </ns0:row>
    <ns0:row r="973">
      <ns0:c r="A973" t="inlineStr">
        <ns0:is>
          <ns0:t>case_0972</ns0:t>
        </ns0:is>
      </ns0:c>
      <ns0:c r="B973" t="inlineStr">
        <ns0:is>
          <ns0:t>function_0175</ns0:t>
        </ns0:is>
      </ns0:c>
      <ns0:c r="C973" t="inlineStr">
        <ns0:is>
          <ns0:t>run_011</ns0:t>
        </ns0:is>
      </ns0:c>
      <ns0:c r="D973" t="inlineStr">
        <ns0:is>
          <ns0:t>log</ns0:t>
        </ns0:is>
      </ns0:c>
      <ns0:c r="E973" t="inlineStr">
        <ns0:is>
          <ns0:t>gemini-2.5-flash-nothinking</ns0:t>
        </ns0:is>
      </ns0:c>
      <ns0:c r="F973" t="inlineStr">
        <ns0:is>
          <ns0:t>E0433</ns0:t>
        </ns0:is>
      </ns0:c>
      <ns0:c r="G973" t="n">
        <ns0:v>0</ns0:v>
      </ns0:c>
      <ns0:c r="H973" t="n">
        <ns0:v>9809</ns0:v>
      </ns0:c>
      <ns0:c r="I973" t="n">
        <ns0:v>408</ns0:v>
      </ns0:c>
      <ns0:c r="J973" t="n">
        <ns0:v>10217</ns0:v>
      </ns0:c>
      <ns0:c r="K973" t="n">
        <ns0:v>3</ns0:v>
      </ns0:c>
      <ns0:c r="L973" t="n">
        <ns0:v>1</ns0:v>
      </ns0:c>
      <ns0:c r="M973" t="n">
        <ns0:v>20180</ns0:v>
      </ns0:c>
      <ns0:c r="N973" t="n">
        <ns0:v>280</ns0:v>
      </ns0:c>
      <ns0:c r="O973" t="n">
        <ns0:v>20460</ns0:v>
      </ns0:c>
      <ns0:c r="P973" t="n">
        <ns0:v>3</ns0:v>
      </ns0:c>
      <ns0:c r="Q973">
        <ns0:f>IF(AND(L973=1,O973*Calculations!$B$2&lt;=Calculations!$B$10*Calculations!$B$4),1,0)</ns0:f>
        <ns0:v>1</ns0:v>
      </ns0:c>
      <ns0:c r="R973">
        <ns0:f>IF(AND(L973=1,O973*Calculations!$B$2&lt;=Calculations!$B$11*Calculations!$B$4),1,0)</ns0:f>
        <ns0:v>1</ns0:v>
      </ns0:c>
    </ns0:row>
    <ns0:row r="974">
      <ns0:c r="A974" t="inlineStr">
        <ns0:is>
          <ns0:t>case_0973</ns0:t>
        </ns0:is>
      </ns0:c>
      <ns0:c r="B974" t="inlineStr">
        <ns0:is>
          <ns0:t>function_0175</ns0:t>
        </ns0:is>
      </ns0:c>
      <ns0:c r="C974" t="inlineStr">
        <ns0:is>
          <ns0:t>run_011</ns0:t>
        </ns0:is>
      </ns0:c>
      <ns0:c r="D974" t="inlineStr">
        <ns0:is>
          <ns0:t>log</ns0:t>
        </ns0:is>
      </ns0:c>
      <ns0:c r="E974" t="inlineStr">
        <ns0:is>
          <ns0:t>gemini-2.5-flash-nothinking</ns0:t>
        </ns0:is>
      </ns0:c>
      <ns0:c r="F974" t="inlineStr">
        <ns0:is>
          <ns0:t>E0433</ns0:t>
        </ns0:is>
      </ns0:c>
      <ns0:c r="G974" t="n">
        <ns0:v>0</ns0:v>
      </ns0:c>
      <ns0:c r="H974" t="n">
        <ns0:v>9838</ns0:v>
      </ns0:c>
      <ns0:c r="I974" t="n">
        <ns0:v>174</ns0:v>
      </ns0:c>
      <ns0:c r="J974" t="n">
        <ns0:v>10012</ns0:v>
      </ns0:c>
      <ns0:c r="K974" t="n">
        <ns0:v>3</ns0:v>
      </ns0:c>
      <ns0:c r="L974" t="n">
        <ns0:v>1</ns0:v>
      </ns0:c>
      <ns0:c r="M974" t="n">
        <ns0:v>20196</ns0:v>
      </ns0:c>
      <ns0:c r="N974" t="n">
        <ns0:v>248</ns0:v>
      </ns0:c>
      <ns0:c r="O974" t="n">
        <ns0:v>20444</ns0:v>
      </ns0:c>
      <ns0:c r="P974" t="n">
        <ns0:v>3</ns0:v>
      </ns0:c>
      <ns0:c r="Q974">
        <ns0:f>IF(AND(L974=1,O974*Calculations!$B$2&lt;=Calculations!$B$10*Calculations!$B$4),1,0)</ns0:f>
        <ns0:v>1</ns0:v>
      </ns0:c>
      <ns0:c r="R974">
        <ns0:f>IF(AND(L974=1,O974*Calculations!$B$2&lt;=Calculations!$B$11*Calculations!$B$4),1,0)</ns0:f>
        <ns0:v>1</ns0:v>
      </ns0:c>
    </ns0:row>
    <ns0:row r="975">
      <ns0:c r="A975" t="inlineStr">
        <ns0:is>
          <ns0:t>case_0974</ns0:t>
        </ns0:is>
      </ns0:c>
      <ns0:c r="B975" t="inlineStr">
        <ns0:is>
          <ns0:t>function_0176</ns0:t>
        </ns0:is>
      </ns0:c>
      <ns0:c r="C975" t="inlineStr">
        <ns0:is>
          <ns0:t>run_011</ns0:t>
        </ns0:is>
      </ns0:c>
      <ns0:c r="D975" t="inlineStr">
        <ns0:is>
          <ns0:t>log</ns0:t>
        </ns0:is>
      </ns0:c>
      <ns0:c r="E975" t="inlineStr">
        <ns0:is>
          <ns0:t>gemini-2.5-flash-nothinking</ns0:t>
        </ns0:is>
      </ns0:c>
      <ns0:c r="F975" t="inlineStr">
        <ns0:is>
          <ns0:t>E0433</ns0:t>
        </ns0:is>
      </ns0:c>
      <ns0:c r="G975" t="n">
        <ns0:v>0</ns0:v>
      </ns0:c>
      <ns0:c r="H975" t="n">
        <ns0:v>9873</ns0:v>
      </ns0:c>
      <ns0:c r="I975" t="n">
        <ns0:v>252</ns0:v>
      </ns0:c>
      <ns0:c r="J975" t="n">
        <ns0:v>10125</ns0:v>
      </ns0:c>
      <ns0:c r="K975" t="n">
        <ns0:v>3</ns0:v>
      </ns0:c>
      <ns0:c r="L975" t="n">
        <ns0:v>1</ns0:v>
      </ns0:c>
      <ns0:c r="M975" t="n">
        <ns0:v>20188</ns0:v>
      </ns0:c>
      <ns0:c r="N975" t="n">
        <ns0:v>270</ns0:v>
      </ns0:c>
      <ns0:c r="O975" t="n">
        <ns0:v>20458</ns0:v>
      </ns0:c>
      <ns0:c r="P975" t="n">
        <ns0:v>3</ns0:v>
      </ns0:c>
      <ns0:c r="Q975">
        <ns0:f>IF(AND(L975=1,O975*Calculations!$B$2&lt;=Calculations!$B$10*Calculations!$B$4),1,0)</ns0:f>
        <ns0:v>1</ns0:v>
      </ns0:c>
      <ns0:c r="R975">
        <ns0:f>IF(AND(L975=1,O975*Calculations!$B$2&lt;=Calculations!$B$11*Calculations!$B$4),1,0)</ns0:f>
        <ns0:v>1</ns0:v>
      </ns0:c>
    </ns0:row>
    <ns0:row r="976">
      <ns0:c r="A976" t="inlineStr">
        <ns0:is>
          <ns0:t>case_0975</ns0:t>
        </ns0:is>
      </ns0:c>
      <ns0:c r="B976" t="inlineStr">
        <ns0:is>
          <ns0:t>function_0176</ns0:t>
        </ns0:is>
      </ns0:c>
      <ns0:c r="C976" t="inlineStr">
        <ns0:is>
          <ns0:t>run_011</ns0:t>
        </ns0:is>
      </ns0:c>
      <ns0:c r="D976" t="inlineStr">
        <ns0:is>
          <ns0:t>log</ns0:t>
        </ns0:is>
      </ns0:c>
      <ns0:c r="E976" t="inlineStr">
        <ns0:is>
          <ns0:t>gemini-2.5-flash-nothinking</ns0:t>
        </ns0:is>
      </ns0:c>
      <ns0:c r="F976" t="inlineStr">
        <ns0:is>
          <ns0:t>E0433</ns0:t>
        </ns0:is>
      </ns0:c>
      <ns0:c r="G976" t="n">
        <ns0:v>0</ns0:v>
      </ns0:c>
      <ns0:c r="H976" t="n">
        <ns0:v>9853</ns0:v>
      </ns0:c>
      <ns0:c r="I976" t="n">
        <ns0:v>174</ns0:v>
      </ns0:c>
      <ns0:c r="J976" t="n">
        <ns0:v>10027</ns0:v>
      </ns0:c>
      <ns0:c r="K976" t="n">
        <ns0:v>3</ns0:v>
      </ns0:c>
      <ns0:c r="L976" t="n">
        <ns0:v>1</ns0:v>
      </ns0:c>
      <ns0:c r="M976" t="n">
        <ns0:v>21392</ns0:v>
      </ns0:c>
      <ns0:c r="N976" t="n">
        <ns0:v>295</ns0:v>
      </ns0:c>
      <ns0:c r="O976" t="n">
        <ns0:v>21687</ns0:v>
      </ns0:c>
      <ns0:c r="P976" t="n">
        <ns0:v>3</ns0:v>
      </ns0:c>
      <ns0:c r="Q976">
        <ns0:f>IF(AND(L976=1,O976*Calculations!$B$2&lt;=Calculations!$B$10*Calculations!$B$4),1,0)</ns0:f>
        <ns0:v>1</ns0:v>
      </ns0:c>
      <ns0:c r="R976">
        <ns0:f>IF(AND(L976=1,O976*Calculations!$B$2&lt;=Calculations!$B$11*Calculations!$B$4),1,0)</ns0:f>
        <ns0:v>1</ns0:v>
      </ns0:c>
    </ns0:row>
    <ns0:row r="977">
      <ns0:c r="A977" t="inlineStr">
        <ns0:is>
          <ns0:t>case_0976</ns0:t>
        </ns0:is>
      </ns0:c>
      <ns0:c r="B977" t="inlineStr">
        <ns0:is>
          <ns0:t>function_0177</ns0:t>
        </ns0:is>
      </ns0:c>
      <ns0:c r="C977" t="inlineStr">
        <ns0:is>
          <ns0:t>run_011</ns0:t>
        </ns0:is>
      </ns0:c>
      <ns0:c r="D977" t="inlineStr">
        <ns0:is>
          <ns0:t>log</ns0:t>
        </ns0:is>
      </ns0:c>
      <ns0:c r="E977" t="inlineStr">
        <ns0:is>
          <ns0:t>gemini-2.5-flash-nothinking</ns0:t>
        </ns0:is>
      </ns0:c>
      <ns0:c r="F977" t="inlineStr">
        <ns0:is>
          <ns0:t>E0433</ns0:t>
        </ns0:is>
      </ns0:c>
      <ns0:c r="G977" t="n">
        <ns0:v>0</ns0:v>
      </ns0:c>
      <ns0:c r="H977" t="n">
        <ns0:v>9827</ns0:v>
      </ns0:c>
      <ns0:c r="I977" t="n">
        <ns0:v>208</ns0:v>
      </ns0:c>
      <ns0:c r="J977" t="n">
        <ns0:v>10035</ns0:v>
      </ns0:c>
      <ns0:c r="K977" t="n">
        <ns0:v>3</ns0:v>
      </ns0:c>
      <ns0:c r="L977" t="n">
        <ns0:v>1</ns0:v>
      </ns0:c>
      <ns0:c r="M977" t="n">
        <ns0:v>20213</ns0:v>
      </ns0:c>
      <ns0:c r="N977" t="n">
        <ns0:v>275</ns0:v>
      </ns0:c>
      <ns0:c r="O977" t="n">
        <ns0:v>20488</ns0:v>
      </ns0:c>
      <ns0:c r="P977" t="n">
        <ns0:v>3</ns0:v>
      </ns0:c>
      <ns0:c r="Q977">
        <ns0:f>IF(AND(L977=1,O977*Calculations!$B$2&lt;=Calculations!$B$10*Calculations!$B$4),1,0)</ns0:f>
        <ns0:v>1</ns0:v>
      </ns0:c>
      <ns0:c r="R977">
        <ns0:f>IF(AND(L977=1,O977*Calculations!$B$2&lt;=Calculations!$B$11*Calculations!$B$4),1,0)</ns0:f>
        <ns0:v>1</ns0:v>
      </ns0:c>
    </ns0:row>
    <ns0:row r="978">
      <ns0:c r="A978" t="inlineStr">
        <ns0:is>
          <ns0:t>case_0977</ns0:t>
        </ns0:is>
      </ns0:c>
      <ns0:c r="B978" t="inlineStr">
        <ns0:is>
          <ns0:t>function_0177</ns0:t>
        </ns0:is>
      </ns0:c>
      <ns0:c r="C978" t="inlineStr">
        <ns0:is>
          <ns0:t>run_011</ns0:t>
        </ns0:is>
      </ns0:c>
      <ns0:c r="D978" t="inlineStr">
        <ns0:is>
          <ns0:t>log</ns0:t>
        </ns0:is>
      </ns0:c>
      <ns0:c r="E978" t="inlineStr">
        <ns0:is>
          <ns0:t>gemini-2.5-flash-nothinking</ns0:t>
        </ns0:is>
      </ns0:c>
      <ns0:c r="F978" t="inlineStr">
        <ns0:is>
          <ns0:t>E0433,E0599</ns0:t>
        </ns0:is>
      </ns0:c>
      <ns0:c r="G978" t="n">
        <ns0:v>0</ns0:v>
      </ns0:c>
      <ns0:c r="H978" t="n">
        <ns0:v>10853</ns0:v>
      </ns0:c>
      <ns0:c r="I978" t="n">
        <ns0:v>672</ns0:v>
      </ns0:c>
      <ns0:c r="J978" t="n">
        <ns0:v>11525</ns0:v>
      </ns0:c>
      <ns0:c r="K978" t="n">
        <ns0:v>3</ns0:v>
      </ns0:c>
      <ns0:c r="L978" t="n">
        <ns0:v>1</ns0:v>
      </ns0:c>
      <ns0:c r="M978" t="n">
        <ns0:v>36789</ns0:v>
      </ns0:c>
      <ns0:c r="N978" t="n">
        <ns0:v>480</ns0:v>
      </ns0:c>
      <ns0:c r="O978" t="n">
        <ns0:v>37269</ns0:v>
      </ns0:c>
      <ns0:c r="P978" t="n">
        <ns0:v>5</ns0:v>
      </ns0:c>
      <ns0:c r="Q978">
        <ns0:f>IF(AND(L978=1,O978*Calculations!$B$2&lt;=Calculations!$B$10*Calculations!$B$4),1,0)</ns0:f>
        <ns0:v>0</ns0:v>
      </ns0:c>
      <ns0:c r="R978">
        <ns0:f>IF(AND(L978=1,O978*Calculations!$B$2&lt;=Calculations!$B$11*Calculations!$B$4),1,0)</ns0:f>
        <ns0:v>1</ns0:v>
      </ns0:c>
    </ns0:row>
    <ns0:row r="979">
      <ns0:c r="A979" t="inlineStr">
        <ns0:is>
          <ns0:t>case_0978</ns0:t>
        </ns0:is>
      </ns0:c>
      <ns0:c r="B979" t="inlineStr">
        <ns0:is>
          <ns0:t>function_0178</ns0:t>
        </ns0:is>
      </ns0:c>
      <ns0:c r="C979" t="inlineStr">
        <ns0:is>
          <ns0:t>run_011</ns0:t>
        </ns0:is>
      </ns0:c>
      <ns0:c r="D979" t="inlineStr">
        <ns0:is>
          <ns0:t>log</ns0:t>
        </ns0:is>
      </ns0:c>
      <ns0:c r="E979" t="inlineStr">
        <ns0:is>
          <ns0:t>gemini-2.5-flash-nothinking</ns0:t>
        </ns0:is>
      </ns0:c>
      <ns0:c r="F979" t="inlineStr">
        <ns0:is>
          <ns0:t>E0433</ns0:t>
        </ns0:is>
      </ns0:c>
      <ns0:c r="G979" t="n">
        <ns0:v>0</ns0:v>
      </ns0:c>
      <ns0:c r="H979" t="n">
        <ns0:v>5911</ns0:v>
      </ns0:c>
      <ns0:c r="I979" t="n">
        <ns0:v>171</ns0:v>
      </ns0:c>
      <ns0:c r="J979" t="n">
        <ns0:v>6082</ns0:v>
      </ns0:c>
      <ns0:c r="K979" t="n">
        <ns0:v>3</ns0:v>
      </ns0:c>
      <ns0:c r="L979" t="n">
        <ns0:v>1</ns0:v>
      </ns0:c>
      <ns0:c r="M979" t="n">
        <ns0:v>20136</ns0:v>
      </ns0:c>
      <ns0:c r="N979" t="n">
        <ns0:v>324</ns0:v>
      </ns0:c>
      <ns0:c r="O979" t="n">
        <ns0:v>20460</ns0:v>
      </ns0:c>
      <ns0:c r="P979" t="n">
        <ns0:v>3</ns0:v>
      </ns0:c>
      <ns0:c r="Q979">
        <ns0:f>IF(AND(L979=1,O979*Calculations!$B$2&lt;=Calculations!$B$10*Calculations!$B$4),1,0)</ns0:f>
        <ns0:v>1</ns0:v>
      </ns0:c>
      <ns0:c r="R979">
        <ns0:f>IF(AND(L979=1,O979*Calculations!$B$2&lt;=Calculations!$B$11*Calculations!$B$4),1,0)</ns0:f>
        <ns0:v>1</ns0:v>
      </ns0:c>
    </ns0:row>
    <ns0:row r="980">
      <ns0:c r="A980" t="inlineStr">
        <ns0:is>
          <ns0:t>case_0979</ns0:t>
        </ns0:is>
      </ns0:c>
      <ns0:c r="B980" t="inlineStr">
        <ns0:is>
          <ns0:t>function_0178</ns0:t>
        </ns0:is>
      </ns0:c>
      <ns0:c r="C980" t="inlineStr">
        <ns0:is>
          <ns0:t>run_011</ns0:t>
        </ns0:is>
      </ns0:c>
      <ns0:c r="D980" t="inlineStr">
        <ns0:is>
          <ns0:t>log</ns0:t>
        </ns0:is>
      </ns0:c>
      <ns0:c r="E980" t="inlineStr">
        <ns0:is>
          <ns0:t>gemini-2.5-flash-nothinking</ns0:t>
        </ns0:is>
      </ns0:c>
      <ns0:c r="F980" t="inlineStr">
        <ns0:is>
          <ns0:t>E0433</ns0:t>
        </ns0:is>
      </ns0:c>
      <ns0:c r="G980" t="n">
        <ns0:v>0</ns0:v>
      </ns0:c>
      <ns0:c r="H980" t="n">
        <ns0:v>5828</ns0:v>
      </ns0:c>
      <ns0:c r="I980" t="n">
        <ns0:v>162</ns0:v>
      </ns0:c>
      <ns0:c r="J980" t="n">
        <ns0:v>5990</ns0:v>
      </ns0:c>
      <ns0:c r="K980" t="n">
        <ns0:v>3</ns0:v>
      </ns0:c>
      <ns0:c r="L980" t="n">
        <ns0:v>1</ns0:v>
      </ns0:c>
      <ns0:c r="M980" t="n">
        <ns0:v>20138</ns0:v>
      </ns0:c>
      <ns0:c r="N980" t="n">
        <ns0:v>249</ns0:v>
      </ns0:c>
      <ns0:c r="O980" t="n">
        <ns0:v>20387</ns0:v>
      </ns0:c>
      <ns0:c r="P980" t="n">
        <ns0:v>3</ns0:v>
      </ns0:c>
      <ns0:c r="Q980">
        <ns0:f>IF(AND(L980=1,O980*Calculations!$B$2&lt;=Calculations!$B$10*Calculations!$B$4),1,0)</ns0:f>
        <ns0:v>1</ns0:v>
      </ns0:c>
      <ns0:c r="R980">
        <ns0:f>IF(AND(L980=1,O980*Calculations!$B$2&lt;=Calculations!$B$11*Calculations!$B$4),1,0)</ns0:f>
        <ns0:v>1</ns0:v>
      </ns0:c>
    </ns0:row>
    <ns0:row r="981">
      <ns0:c r="A981" t="inlineStr">
        <ns0:is>
          <ns0:t>case_0980</ns0:t>
        </ns0:is>
      </ns0:c>
      <ns0:c r="B981" t="inlineStr">
        <ns0:is>
          <ns0:t>function_0179</ns0:t>
        </ns0:is>
      </ns0:c>
      <ns0:c r="C981" t="inlineStr">
        <ns0:is>
          <ns0:t>run_011</ns0:t>
        </ns0:is>
      </ns0:c>
      <ns0:c r="D981" t="inlineStr">
        <ns0:is>
          <ns0:t>log</ns0:t>
        </ns0:is>
      </ns0:c>
      <ns0:c r="E981" t="inlineStr">
        <ns0:is>
          <ns0:t>gemini-2.5-flash-nothinking</ns0:t>
        </ns0:is>
      </ns0:c>
      <ns0:c r="F981" t="inlineStr">
        <ns0:is>
          <ns0:t>E0433</ns0:t>
        </ns0:is>
      </ns0:c>
      <ns0:c r="G981" t="n">
        <ns0:v>0</ns0:v>
      </ns0:c>
      <ns0:c r="H981" t="n">
        <ns0:v>5880</ns0:v>
      </ns0:c>
      <ns0:c r="I981" t="n">
        <ns0:v>635</ns0:v>
      </ns0:c>
      <ns0:c r="J981" t="n">
        <ns0:v>6515</ns0:v>
      </ns0:c>
      <ns0:c r="K981" t="n">
        <ns0:v>3</ns0:v>
      </ns0:c>
      <ns0:c r="L981" t="n">
        <ns0:v>1</ns0:v>
      </ns0:c>
      <ns0:c r="M981" t="n">
        <ns0:v>20127</ns0:v>
      </ns0:c>
      <ns0:c r="N981" t="n">
        <ns0:v>369</ns0:v>
      </ns0:c>
      <ns0:c r="O981" t="n">
        <ns0:v>20496</ns0:v>
      </ns0:c>
      <ns0:c r="P981" t="n">
        <ns0:v>3</ns0:v>
      </ns0:c>
      <ns0:c r="Q981">
        <ns0:f>IF(AND(L981=1,O981*Calculations!$B$2&lt;=Calculations!$B$10*Calculations!$B$4),1,0)</ns0:f>
        <ns0:v>1</ns0:v>
      </ns0:c>
      <ns0:c r="R981">
        <ns0:f>IF(AND(L981=1,O981*Calculations!$B$2&lt;=Calculations!$B$11*Calculations!$B$4),1,0)</ns0:f>
        <ns0:v>1</ns0:v>
      </ns0:c>
    </ns0:row>
    <ns0:row r="982">
      <ns0:c r="A982" t="inlineStr">
        <ns0:is>
          <ns0:t>case_0981</ns0:t>
        </ns0:is>
      </ns0:c>
      <ns0:c r="B982" t="inlineStr">
        <ns0:is>
          <ns0:t>function_0179</ns0:t>
        </ns0:is>
      </ns0:c>
      <ns0:c r="C982" t="inlineStr">
        <ns0:is>
          <ns0:t>run_011</ns0:t>
        </ns0:is>
      </ns0:c>
      <ns0:c r="D982" t="inlineStr">
        <ns0:is>
          <ns0:t>log</ns0:t>
        </ns0:is>
      </ns0:c>
      <ns0:c r="E982" t="inlineStr">
        <ns0:is>
          <ns0:t>gemini-2.5-flash-nothinking</ns0:t>
        </ns0:is>
      </ns0:c>
      <ns0:c r="F982" t="inlineStr">
        <ns0:is>
          <ns0:t>E0433</ns0:t>
        </ns0:is>
      </ns0:c>
      <ns0:c r="G982" t="n">
        <ns0:v>0</ns0:v>
      </ns0:c>
      <ns0:c r="H982" t="n">
        <ns0:v>5834</ns0:v>
      </ns0:c>
      <ns0:c r="I982" t="n">
        <ns0:v>464</ns0:v>
      </ns0:c>
      <ns0:c r="J982" t="n">
        <ns0:v>6298</ns0:v>
      </ns0:c>
      <ns0:c r="K982" t="n">
        <ns0:v>3</ns0:v>
      </ns0:c>
      <ns0:c r="L982" t="n">
        <ns0:v>1</ns0:v>
      </ns0:c>
      <ns0:c r="M982" t="n">
        <ns0:v>20138</ns0:v>
      </ns0:c>
      <ns0:c r="N982" t="n">
        <ns0:v>288</ns0:v>
      </ns0:c>
      <ns0:c r="O982" t="n">
        <ns0:v>20426</ns0:v>
      </ns0:c>
      <ns0:c r="P982" t="n">
        <ns0:v>3</ns0:v>
      </ns0:c>
      <ns0:c r="Q982">
        <ns0:f>IF(AND(L982=1,O982*Calculations!$B$2&lt;=Calculations!$B$10*Calculations!$B$4),1,0)</ns0:f>
        <ns0:v>1</ns0:v>
      </ns0:c>
      <ns0:c r="R982">
        <ns0:f>IF(AND(L982=1,O982*Calculations!$B$2&lt;=Calculations!$B$11*Calculations!$B$4),1,0)</ns0:f>
        <ns0:v>1</ns0:v>
      </ns0:c>
    </ns0:row>
    <ns0:row r="983">
      <ns0:c r="A983" t="inlineStr">
        <ns0:is>
          <ns0:t>case_0982</ns0:t>
        </ns0:is>
      </ns0:c>
      <ns0:c r="B983" t="inlineStr">
        <ns0:is>
          <ns0:t>function_0180</ns0:t>
        </ns0:is>
      </ns0:c>
      <ns0:c r="C983" t="inlineStr">
        <ns0:is>
          <ns0:t>run_011</ns0:t>
        </ns0:is>
      </ns0:c>
      <ns0:c r="D983" t="inlineStr">
        <ns0:is>
          <ns0:t>log</ns0:t>
        </ns0:is>
      </ns0:c>
      <ns0:c r="E983" t="inlineStr">
        <ns0:is>
          <ns0:t>gemini-2.5-flash-nothinking</ns0:t>
        </ns0:is>
      </ns0:c>
      <ns0:c r="F983" t="inlineStr">
        <ns0:is>
          <ns0:t>E0433</ns0:t>
        </ns0:is>
      </ns0:c>
      <ns0:c r="G983" t="n">
        <ns0:v>0</ns0:v>
      </ns0:c>
      <ns0:c r="H983" t="n">
        <ns0:v>5872</ns0:v>
      </ns0:c>
      <ns0:c r="I983" t="n">
        <ns0:v>162</ns0:v>
      </ns0:c>
      <ns0:c r="J983" t="n">
        <ns0:v>6034</ns0:v>
      </ns0:c>
      <ns0:c r="K983" t="n">
        <ns0:v>3</ns0:v>
      </ns0:c>
      <ns0:c r="L983" t="n">
        <ns0:v>1</ns0:v>
      </ns0:c>
      <ns0:c r="M983" t="n">
        <ns0:v>20126</ns0:v>
      </ns0:c>
      <ns0:c r="N983" t="n">
        <ns0:v>272</ns0:v>
      </ns0:c>
      <ns0:c r="O983" t="n">
        <ns0:v>20398</ns0:v>
      </ns0:c>
      <ns0:c r="P983" t="n">
        <ns0:v>3</ns0:v>
      </ns0:c>
      <ns0:c r="Q983">
        <ns0:f>IF(AND(L983=1,O983*Calculations!$B$2&lt;=Calculations!$B$10*Calculations!$B$4),1,0)</ns0:f>
        <ns0:v>1</ns0:v>
      </ns0:c>
      <ns0:c r="R983">
        <ns0:f>IF(AND(L983=1,O983*Calculations!$B$2&lt;=Calculations!$B$11*Calculations!$B$4),1,0)</ns0:f>
        <ns0:v>1</ns0:v>
      </ns0:c>
    </ns0:row>
    <ns0:row r="984">
      <ns0:c r="A984" t="inlineStr">
        <ns0:is>
          <ns0:t>case_0983</ns0:t>
        </ns0:is>
      </ns0:c>
      <ns0:c r="B984" t="inlineStr">
        <ns0:is>
          <ns0:t>function_0180</ns0:t>
        </ns0:is>
      </ns0:c>
      <ns0:c r="C984" t="inlineStr">
        <ns0:is>
          <ns0:t>run_011</ns0:t>
        </ns0:is>
      </ns0:c>
      <ns0:c r="D984" t="inlineStr">
        <ns0:is>
          <ns0:t>log</ns0:t>
        </ns0:is>
      </ns0:c>
      <ns0:c r="E984" t="inlineStr">
        <ns0:is>
          <ns0:t>gemini-2.5-flash-nothinking</ns0:t>
        </ns0:is>
      </ns0:c>
      <ns0:c r="F984" t="inlineStr">
        <ns0:is>
          <ns0:t>E0308,E0433</ns0:t>
        </ns0:is>
      </ns0:c>
      <ns0:c r="G984" t="n">
        <ns0:v>0</ns0:v>
      </ns0:c>
      <ns0:c r="H984" t="n">
        <ns0:v>6174</ns0:v>
      </ns0:c>
      <ns0:c r="I984" t="n">
        <ns0:v>168</ns0:v>
      </ns0:c>
      <ns0:c r="J984" t="n">
        <ns0:v>6342</ns0:v>
      </ns0:c>
      <ns0:c r="K984" t="n">
        <ns0:v>3</ns0:v>
      </ns0:c>
      <ns0:c r="L984" t="n">
        <ns0:v>1</ns0:v>
      </ns0:c>
      <ns0:c r="M984" t="n">
        <ns0:v>27797</ns0:v>
      </ns0:c>
      <ns0:c r="N984" t="n">
        <ns0:v>422</ns0:v>
      </ns0:c>
      <ns0:c r="O984" t="n">
        <ns0:v>28219</ns0:v>
      </ns0:c>
      <ns0:c r="P984" t="n">
        <ns0:v>4</ns0:v>
      </ns0:c>
      <ns0:c r="Q984">
        <ns0:f>IF(AND(L984=1,O984*Calculations!$B$2&lt;=Calculations!$B$10*Calculations!$B$4),1,0)</ns0:f>
        <ns0:v>0</ns0:v>
      </ns0:c>
      <ns0:c r="R984">
        <ns0:f>IF(AND(L984=1,O984*Calculations!$B$2&lt;=Calculations!$B$11*Calculations!$B$4),1,0)</ns0:f>
        <ns0:v>1</ns0:v>
      </ns0:c>
    </ns0:row>
    <ns0:row r="985">
      <ns0:c r="A985" t="inlineStr">
        <ns0:is>
          <ns0:t>case_0984</ns0:t>
        </ns0:is>
      </ns0:c>
      <ns0:c r="B985" t="inlineStr">
        <ns0:is>
          <ns0:t>function_0181</ns0:t>
        </ns0:is>
      </ns0:c>
      <ns0:c r="C985" t="inlineStr">
        <ns0:is>
          <ns0:t>run_011</ns0:t>
        </ns0:is>
      </ns0:c>
      <ns0:c r="D985" t="inlineStr">
        <ns0:is>
          <ns0:t>log</ns0:t>
        </ns0:is>
      </ns0:c>
      <ns0:c r="E985" t="inlineStr">
        <ns0:is>
          <ns0:t>gemini-2.5-flash-nothinking</ns0:t>
        </ns0:is>
      </ns0:c>
      <ns0:c r="F985" t="inlineStr">
        <ns0:is>
          <ns0:t>E0433</ns0:t>
        </ns0:is>
      </ns0:c>
      <ns0:c r="G985" t="n">
        <ns0:v>0</ns0:v>
      </ns0:c>
      <ns0:c r="H985" t="n">
        <ns0:v>5842</ns0:v>
      </ns0:c>
      <ns0:c r="I985" t="n">
        <ns0:v>225</ns0:v>
      </ns0:c>
      <ns0:c r="J985" t="n">
        <ns0:v>6067</ns0:v>
      </ns0:c>
      <ns0:c r="K985" t="n">
        <ns0:v>3</ns0:v>
      </ns0:c>
      <ns0:c r="L985" t="n">
        <ns0:v>1</ns0:v>
      </ns0:c>
      <ns0:c r="M985" t="n">
        <ns0:v>107188</ns0:v>
      </ns0:c>
      <ns0:c r="N985" t="n">
        <ns0:v>507</ns0:v>
      </ns0:c>
      <ns0:c r="O985" t="n">
        <ns0:v>107695</ns0:v>
      </ns0:c>
      <ns0:c r="P985" t="n">
        <ns0:v>4</ns0:v>
      </ns0:c>
      <ns0:c r="Q985">
        <ns0:f>IF(AND(L985=1,O985*Calculations!$B$2&lt;=Calculations!$B$10*Calculations!$B$4),1,0)</ns0:f>
        <ns0:v>0</ns0:v>
      </ns0:c>
      <ns0:c r="R985">
        <ns0:f>IF(AND(L985=1,O985*Calculations!$B$2&lt;=Calculations!$B$11*Calculations!$B$4),1,0)</ns0:f>
        <ns0:v>0</ns0:v>
      </ns0:c>
    </ns0:row>
    <ns0:row r="986">
      <ns0:c r="A986" t="inlineStr">
        <ns0:is>
          <ns0:t>case_0985</ns0:t>
        </ns0:is>
      </ns0:c>
      <ns0:c r="B986" t="inlineStr">
        <ns0:is>
          <ns0:t>function_0181</ns0:t>
        </ns0:is>
      </ns0:c>
      <ns0:c r="C986" t="inlineStr">
        <ns0:is>
          <ns0:t>run_011</ns0:t>
        </ns0:is>
      </ns0:c>
      <ns0:c r="D986" t="inlineStr">
        <ns0:is>
          <ns0:t>log</ns0:t>
        </ns0:is>
      </ns0:c>
      <ns0:c r="E986" t="inlineStr">
        <ns0:is>
          <ns0:t>gemini-2.5-flash-nothinking</ns0:t>
        </ns0:is>
      </ns0:c>
      <ns0:c r="F986" t="inlineStr">
        <ns0:is>
          <ns0:t>E0433</ns0:t>
        </ns0:is>
      </ns0:c>
      <ns0:c r="G986" t="n">
        <ns0:v>0</ns0:v>
      </ns0:c>
      <ns0:c r="H986" t="n">
        <ns0:v>5876</ns0:v>
      </ns0:c>
      <ns0:c r="I986" t="n">
        <ns0:v>168</ns0:v>
      </ns0:c>
      <ns0:c r="J986" t="n">
        <ns0:v>6044</ns0:v>
      </ns0:c>
      <ns0:c r="K986" t="n">
        <ns0:v>3</ns0:v>
      </ns0:c>
      <ns0:c r="L986" t="n">
        <ns0:v>1</ns0:v>
      </ns0:c>
      <ns0:c r="M986" t="n">
        <ns0:v>49534</ns0:v>
      </ns0:c>
      <ns0:c r="N986" t="n">
        <ns0:v>543</ns0:v>
      </ns0:c>
      <ns0:c r="O986" t="n">
        <ns0:v>50077</ns0:v>
      </ns0:c>
      <ns0:c r="P986" t="n">
        <ns0:v>7</ns0:v>
      </ns0:c>
      <ns0:c r="Q986">
        <ns0:f>IF(AND(L986=1,O986*Calculations!$B$2&lt;=Calculations!$B$10*Calculations!$B$4),1,0)</ns0:f>
        <ns0:v>0</ns0:v>
      </ns0:c>
      <ns0:c r="R986">
        <ns0:f>IF(AND(L986=1,O986*Calculations!$B$2&lt;=Calculations!$B$11*Calculations!$B$4),1,0)</ns0:f>
        <ns0:v>0</ns0:v>
      </ns0:c>
    </ns0:row>
    <ns0:row r="987">
      <ns0:c r="A987" t="inlineStr">
        <ns0:is>
          <ns0:t>case_0986</ns0:t>
        </ns0:is>
      </ns0:c>
      <ns0:c r="B987" t="inlineStr">
        <ns0:is>
          <ns0:t>function_0182</ns0:t>
        </ns0:is>
      </ns0:c>
      <ns0:c r="C987" t="inlineStr">
        <ns0:is>
          <ns0:t>run_011</ns0:t>
        </ns0:is>
      </ns0:c>
      <ns0:c r="D987" t="inlineStr">
        <ns0:is>
          <ns0:t>log</ns0:t>
        </ns0:is>
      </ns0:c>
      <ns0:c r="E987" t="inlineStr">
        <ns0:is>
          <ns0:t>gemini-2.5-flash-nothinking</ns0:t>
        </ns0:is>
      </ns0:c>
      <ns0:c r="F987" t="inlineStr">
        <ns0:is>
          <ns0:t>E0425,E0433,E0599</ns0:t>
        </ns0:is>
      </ns0:c>
      <ns0:c r="G987" t="n">
        <ns0:v>0</ns0:v>
      </ns0:c>
      <ns0:c r="H987" t="n">
        <ns0:v>7181</ns0:v>
      </ns0:c>
      <ns0:c r="I987" t="n">
        <ns0:v>633</ns0:v>
      </ns0:c>
      <ns0:c r="J987" t="n">
        <ns0:v>7814</ns0:v>
      </ns0:c>
      <ns0:c r="K987" t="n">
        <ns0:v>3</ns0:v>
      </ns0:c>
      <ns0:c r="L987" t="n">
        <ns0:v>1</ns0:v>
      </ns0:c>
      <ns0:c r="M987" t="n">
        <ns0:v>30272</ns0:v>
      </ns0:c>
      <ns0:c r="N987" t="n">
        <ns0:v>967</ns0:v>
      </ns0:c>
      <ns0:c r="O987" t="n">
        <ns0:v>31239</ns0:v>
      </ns0:c>
      <ns0:c r="P987" t="n">
        <ns0:v>4</ns0:v>
      </ns0:c>
      <ns0:c r="Q987">
        <ns0:f>IF(AND(L987=1,O987*Calculations!$B$2&lt;=Calculations!$B$10*Calculations!$B$4),1,0)</ns0:f>
        <ns0:v>0</ns0:v>
      </ns0:c>
      <ns0:c r="R987">
        <ns0:f>IF(AND(L987=1,O987*Calculations!$B$2&lt;=Calculations!$B$11*Calculations!$B$4),1,0)</ns0:f>
        <ns0:v>1</ns0:v>
      </ns0:c>
    </ns0:row>
    <ns0:row r="988">
      <ns0:c r="A988" t="inlineStr">
        <ns0:is>
          <ns0:t>case_0987</ns0:t>
        </ns0:is>
      </ns0:c>
      <ns0:c r="B988" t="inlineStr">
        <ns0:is>
          <ns0:t>function_0182</ns0:t>
        </ns0:is>
      </ns0:c>
      <ns0:c r="C988" t="inlineStr">
        <ns0:is>
          <ns0:t>run_011</ns0:t>
        </ns0:is>
      </ns0:c>
      <ns0:c r="D988" t="inlineStr">
        <ns0:is>
          <ns0:t>log</ns0:t>
        </ns0:is>
      </ns0:c>
      <ns0:c r="E988" t="inlineStr">
        <ns0:is>
          <ns0:t>gemini-2.5-flash-nothinking</ns0:t>
        </ns0:is>
      </ns0:c>
      <ns0:c r="F988" t="inlineStr">
        <ns0:is>
          <ns0:t>E0061,E0433,E0599</ns0:t>
        </ns0:is>
      </ns0:c>
      <ns0:c r="G988" t="n">
        <ns0:v>0</ns0:v>
      </ns0:c>
      <ns0:c r="H988" t="n">
        <ns0:v>7227</ns0:v>
      </ns0:c>
      <ns0:c r="I988" t="n">
        <ns0:v>674</ns0:v>
      </ns0:c>
      <ns0:c r="J988" t="n">
        <ns0:v>7901</ns0:v>
      </ns0:c>
      <ns0:c r="K988" t="n">
        <ns0:v>3</ns0:v>
      </ns0:c>
      <ns0:c r="L988" t="n">
        <ns0:v>0</ns0:v>
      </ns0:c>
      <ns0:c r="M988" t="n">
        <ns0:v>169910</ns0:v>
      </ns0:c>
      <ns0:c r="N988" t="n">
        <ns0:v>2278</ns0:v>
      </ns0:c>
      <ns0:c r="O988" t="n">
        <ns0:v>172188</ns0:v>
      </ns0:c>
      <ns0:c r="P988" t="n">
        <ns0:v>19</ns0:v>
      </ns0:c>
      <ns0:c r="Q988">
        <ns0:f>IF(AND(L988=1,O988*Calculations!$B$2&lt;=Calculations!$B$10*Calculations!$B$4),1,0)</ns0:f>
        <ns0:v>0</ns0:v>
      </ns0:c>
      <ns0:c r="R988">
        <ns0:f>IF(AND(L988=1,O988*Calculations!$B$2&lt;=Calculations!$B$11*Calculations!$B$4),1,0)</ns0:f>
        <ns0:v>0</ns0:v>
      </ns0:c>
    </ns0:row>
    <ns0:row r="989">
      <ns0:c r="A989" t="inlineStr">
        <ns0:is>
          <ns0:t>case_0988</ns0:t>
        </ns0:is>
      </ns0:c>
      <ns0:c r="B989" t="inlineStr">
        <ns0:is>
          <ns0:t>function_0183</ns0:t>
        </ns0:is>
      </ns0:c>
      <ns0:c r="C989" t="inlineStr">
        <ns0:is>
          <ns0:t>run_011</ns0:t>
        </ns0:is>
      </ns0:c>
      <ns0:c r="D989" t="inlineStr">
        <ns0:is>
          <ns0:t>log</ns0:t>
        </ns0:is>
      </ns0:c>
      <ns0:c r="E989" t="inlineStr">
        <ns0:is>
          <ns0:t>gemini-2.5-flash-nothinking</ns0:t>
        </ns0:is>
      </ns0:c>
      <ns0:c r="F989" t="inlineStr">
        <ns0:is>
          <ns0:t>E0433</ns0:t>
        </ns0:is>
      </ns0:c>
      <ns0:c r="G989" t="n">
        <ns0:v>0</ns0:v>
      </ns0:c>
      <ns0:c r="H989" t="n">
        <ns0:v>5847</ns0:v>
      </ns0:c>
      <ns0:c r="I989" t="n">
        <ns0:v>138</ns0:v>
      </ns0:c>
      <ns0:c r="J989" t="n">
        <ns0:v>5985</ns0:v>
      </ns0:c>
      <ns0:c r="K989" t="n">
        <ns0:v>3</ns0:v>
      </ns0:c>
      <ns0:c r="L989" t="n">
        <ns0:v>1</ns0:v>
      </ns0:c>
      <ns0:c r="M989" t="n">
        <ns0:v>20081</ns0:v>
      </ns0:c>
      <ns0:c r="N989" t="n">
        <ns0:v>310</ns0:v>
      </ns0:c>
      <ns0:c r="O989" t="n">
        <ns0:v>20391</ns0:v>
      </ns0:c>
      <ns0:c r="P989" t="n">
        <ns0:v>3</ns0:v>
      </ns0:c>
      <ns0:c r="Q989">
        <ns0:f>IF(AND(L989=1,O989*Calculations!$B$2&lt;=Calculations!$B$10*Calculations!$B$4),1,0)</ns0:f>
        <ns0:v>1</ns0:v>
      </ns0:c>
      <ns0:c r="R989">
        <ns0:f>IF(AND(L989=1,O989*Calculations!$B$2&lt;=Calculations!$B$11*Calculations!$B$4),1,0)</ns0:f>
        <ns0:v>1</ns0:v>
      </ns0:c>
    </ns0:row>
    <ns0:row r="990">
      <ns0:c r="A990" t="inlineStr">
        <ns0:is>
          <ns0:t>case_0989</ns0:t>
        </ns0:is>
      </ns0:c>
      <ns0:c r="B990" t="inlineStr">
        <ns0:is>
          <ns0:t>function_0184</ns0:t>
        </ns0:is>
      </ns0:c>
      <ns0:c r="C990" t="inlineStr">
        <ns0:is>
          <ns0:t>run_011</ns0:t>
        </ns0:is>
      </ns0:c>
      <ns0:c r="D990" t="inlineStr">
        <ns0:is>
          <ns0:t>log</ns0:t>
        </ns0:is>
      </ns0:c>
      <ns0:c r="E990" t="inlineStr">
        <ns0:is>
          <ns0:t>gemini-2.5-flash-nothinking</ns0:t>
        </ns0:is>
      </ns0:c>
      <ns0:c r="F990" t="inlineStr">
        <ns0:is>
          <ns0:t>E0433</ns0:t>
        </ns0:is>
      </ns0:c>
      <ns0:c r="G990" t="n">
        <ns0:v>0</ns0:v>
      </ns0:c>
      <ns0:c r="H990" t="n">
        <ns0:v>5807</ns0:v>
      </ns0:c>
      <ns0:c r="I990" t="n">
        <ns0:v>125</ns0:v>
      </ns0:c>
      <ns0:c r="J990" t="n">
        <ns0:v>5932</ns0:v>
      </ns0:c>
      <ns0:c r="K990" t="n">
        <ns0:v>3</ns0:v>
      </ns0:c>
      <ns0:c r="L990" t="n">
        <ns0:v>1</ns0:v>
      </ns0:c>
      <ns0:c r="M990" t="n">
        <ns0:v>20082</ns0:v>
      </ns0:c>
      <ns0:c r="N990" t="n">
        <ns0:v>307</ns0:v>
      </ns0:c>
      <ns0:c r="O990" t="n">
        <ns0:v>20389</ns0:v>
      </ns0:c>
      <ns0:c r="P990" t="n">
        <ns0:v>3</ns0:v>
      </ns0:c>
      <ns0:c r="Q990">
        <ns0:f>IF(AND(L990=1,O990*Calculations!$B$2&lt;=Calculations!$B$10*Calculations!$B$4),1,0)</ns0:f>
        <ns0:v>1</ns0:v>
      </ns0:c>
      <ns0:c r="R990">
        <ns0:f>IF(AND(L990=1,O990*Calculations!$B$2&lt;=Calculations!$B$11*Calculations!$B$4),1,0)</ns0:f>
        <ns0:v>1</ns0:v>
      </ns0:c>
    </ns0:row>
    <ns0:row r="991">
      <ns0:c r="A991" t="inlineStr">
        <ns0:is>
          <ns0:t>case_0990</ns0:t>
        </ns0:is>
      </ns0:c>
      <ns0:c r="B991" t="inlineStr">
        <ns0:is>
          <ns0:t>function_0184</ns0:t>
        </ns0:is>
      </ns0:c>
      <ns0:c r="C991" t="inlineStr">
        <ns0:is>
          <ns0:t>run_011</ns0:t>
        </ns0:is>
      </ns0:c>
      <ns0:c r="D991" t="inlineStr">
        <ns0:is>
          <ns0:t>log</ns0:t>
        </ns0:is>
      </ns0:c>
      <ns0:c r="E991" t="inlineStr">
        <ns0:is>
          <ns0:t>gemini-2.5-flash-nothinking</ns0:t>
        </ns0:is>
      </ns0:c>
      <ns0:c r="F991" t="inlineStr">
        <ns0:is>
          <ns0:t>E0433</ns0:t>
        </ns0:is>
      </ns0:c>
      <ns0:c r="G991" t="n">
        <ns0:v>0</ns0:v>
      </ns0:c>
      <ns0:c r="H991" t="n">
        <ns0:v>5796</ns0:v>
      </ns0:c>
      <ns0:c r="I991" t="n">
        <ns0:v>123</ns0:v>
      </ns0:c>
      <ns0:c r="J991" t="n">
        <ns0:v>5919</ns0:v>
      </ns0:c>
      <ns0:c r="K991" t="n">
        <ns0:v>3</ns0:v>
      </ns0:c>
      <ns0:c r="L991" t="n">
        <ns0:v>1</ns0:v>
      </ns0:c>
      <ns0:c r="M991" t="n">
        <ns0:v>107037</ns0:v>
      </ns0:c>
      <ns0:c r="N991" t="n">
        <ns0:v>283</ns0:v>
      </ns0:c>
      <ns0:c r="O991" t="n">
        <ns0:v>107320</ns0:v>
      </ns0:c>
      <ns0:c r="P991" t="n">
        <ns0:v>4</ns0:v>
      </ns0:c>
      <ns0:c r="Q991">
        <ns0:f>IF(AND(L991=1,O991*Calculations!$B$2&lt;=Calculations!$B$10*Calculations!$B$4),1,0)</ns0:f>
        <ns0:v>0</ns0:v>
      </ns0:c>
      <ns0:c r="R991">
        <ns0:f>IF(AND(L991=1,O991*Calculations!$B$2&lt;=Calculations!$B$11*Calculations!$B$4),1,0)</ns0:f>
        <ns0:v>0</ns0:v>
      </ns0:c>
    </ns0:row>
    <ns0:row r="992">
      <ns0:c r="A992" t="inlineStr">
        <ns0:is>
          <ns0:t>case_0991</ns0:t>
        </ns0:is>
      </ns0:c>
      <ns0:c r="B992" t="inlineStr">
        <ns0:is>
          <ns0:t>function_0185</ns0:t>
        </ns0:is>
      </ns0:c>
      <ns0:c r="C992" t="inlineStr">
        <ns0:is>
          <ns0:t>run_011</ns0:t>
        </ns0:is>
      </ns0:c>
      <ns0:c r="D992" t="inlineStr">
        <ns0:is>
          <ns0:t>log</ns0:t>
        </ns0:is>
      </ns0:c>
      <ns0:c r="E992" t="inlineStr">
        <ns0:is>
          <ns0:t>gemini-2.5-flash-nothinking</ns0:t>
        </ns0:is>
      </ns0:c>
      <ns0:c r="F992" t="inlineStr">
        <ns0:is>
          <ns0:t>E0433,E0599</ns0:t>
        </ns0:is>
      </ns0:c>
      <ns0:c r="G992" t="n">
        <ns0:v>0</ns0:v>
      </ns0:c>
      <ns0:c r="H992" t="n">
        <ns0:v>7610</ns0:v>
      </ns0:c>
      <ns0:c r="I992" t="n">
        <ns0:v>700</ns0:v>
      </ns0:c>
      <ns0:c r="J992" t="n">
        <ns0:v>8310</ns0:v>
      </ns0:c>
      <ns0:c r="K992" t="n">
        <ns0:v>3</ns0:v>
      </ns0:c>
      <ns0:c r="L992" t="n">
        <ns0:v>1</ns0:v>
      </ns0:c>
      <ns0:c r="M992" t="n">
        <ns0:v>29542</ns0:v>
      </ns0:c>
      <ns0:c r="N992" t="n">
        <ns0:v>416</ns0:v>
      </ns0:c>
      <ns0:c r="O992" t="n">
        <ns0:v>29958</ns0:v>
      </ns0:c>
      <ns0:c r="P992" t="n">
        <ns0:v>4</ns0:v>
      </ns0:c>
      <ns0:c r="Q992">
        <ns0:f>IF(AND(L992=1,O992*Calculations!$B$2&lt;=Calculations!$B$10*Calculations!$B$4),1,0)</ns0:f>
        <ns0:v>0</ns0:v>
      </ns0:c>
      <ns0:c r="R992">
        <ns0:f>IF(AND(L992=1,O992*Calculations!$B$2&lt;=Calculations!$B$11*Calculations!$B$4),1,0)</ns0:f>
        <ns0:v>1</ns0:v>
      </ns0:c>
    </ns0:row>
    <ns0:row r="993">
      <ns0:c r="A993" t="inlineStr">
        <ns0:is>
          <ns0:t>case_0992</ns0:t>
        </ns0:is>
      </ns0:c>
      <ns0:c r="B993" t="inlineStr">
        <ns0:is>
          <ns0:t>function_0185</ns0:t>
        </ns0:is>
      </ns0:c>
      <ns0:c r="C993" t="inlineStr">
        <ns0:is>
          <ns0:t>run_011</ns0:t>
        </ns0:is>
      </ns0:c>
      <ns0:c r="D993" t="inlineStr">
        <ns0:is>
          <ns0:t>log</ns0:t>
        </ns0:is>
      </ns0:c>
      <ns0:c r="E993" t="inlineStr">
        <ns0:is>
          <ns0:t>gemini-2.5-flash-nothinking</ns0:t>
        </ns0:is>
      </ns0:c>
      <ns0:c r="F993" t="inlineStr">
        <ns0:is>
          <ns0:t>E0061,E0433,E0599</ns0:t>
        </ns0:is>
      </ns0:c>
      <ns0:c r="G993" t="n">
        <ns0:v>0</ns0:v>
      </ns0:c>
      <ns0:c r="H993" t="n">
        <ns0:v>7587</ns0:v>
      </ns0:c>
      <ns0:c r="I993" t="n">
        <ns0:v>741</ns0:v>
      </ns0:c>
      <ns0:c r="J993" t="n">
        <ns0:v>8328</ns0:v>
      </ns0:c>
      <ns0:c r="K993" t="n">
        <ns0:v>3</ns0:v>
      </ns0:c>
      <ns0:c r="L993" t="n">
        <ns0:v>1</ns0:v>
      </ns0:c>
      <ns0:c r="M993" t="n">
        <ns0:v>56871</ns0:v>
      </ns0:c>
      <ns0:c r="N993" t="n">
        <ns0:v>1095</ns0:v>
      </ns0:c>
      <ns0:c r="O993" t="n">
        <ns0:v>57966</ns0:v>
      </ns0:c>
      <ns0:c r="P993" t="n">
        <ns0:v>7</ns0:v>
      </ns0:c>
      <ns0:c r="Q993">
        <ns0:f>IF(AND(L993=1,O993*Calculations!$B$2&lt;=Calculations!$B$10*Calculations!$B$4),1,0)</ns0:f>
        <ns0:v>0</ns0:v>
      </ns0:c>
      <ns0:c r="R993">
        <ns0:f>IF(AND(L993=1,O993*Calculations!$B$2&lt;=Calculations!$B$11*Calculations!$B$4),1,0)</ns0:f>
        <ns0:v>0</ns0:v>
      </ns0:c>
    </ns0:row>
    <ns0:row r="994">
      <ns0:c r="A994" t="inlineStr">
        <ns0:is>
          <ns0:t>case_0993</ns0:t>
        </ns0:is>
      </ns0:c>
      <ns0:c r="B994" t="inlineStr">
        <ns0:is>
          <ns0:t>function_0186</ns0:t>
        </ns0:is>
      </ns0:c>
      <ns0:c r="C994" t="inlineStr">
        <ns0:is>
          <ns0:t>run_011</ns0:t>
        </ns0:is>
      </ns0:c>
      <ns0:c r="D994" t="inlineStr">
        <ns0:is>
          <ns0:t>log</ns0:t>
        </ns0:is>
      </ns0:c>
      <ns0:c r="E994" t="inlineStr">
        <ns0:is>
          <ns0:t>gemini-2.5-flash-nothinking</ns0:t>
        </ns0:is>
      </ns0:c>
      <ns0:c r="F994" t="inlineStr">
        <ns0:is>
          <ns0:t>E0433</ns0:t>
        </ns0:is>
      </ns0:c>
      <ns0:c r="G994" t="n">
        <ns0:v>0</ns0:v>
      </ns0:c>
      <ns0:c r="H994" t="n">
        <ns0:v>9852</ns0:v>
      </ns0:c>
      <ns0:c r="I994" t="n">
        <ns0:v>222</ns0:v>
      </ns0:c>
      <ns0:c r="J994" t="n">
        <ns0:v>10074</ns0:v>
      </ns0:c>
      <ns0:c r="K994" t="n">
        <ns0:v>3</ns0:v>
      </ns0:c>
      <ns0:c r="L994" t="n">
        <ns0:v>1</ns0:v>
      </ns0:c>
      <ns0:c r="M994" t="n">
        <ns0:v>161544</ns0:v>
      </ns0:c>
      <ns0:c r="N994" t="n">
        <ns0:v>1766</ns0:v>
      </ns0:c>
      <ns0:c r="O994" t="n">
        <ns0:v>163310</ns0:v>
      </ns0:c>
      <ns0:c r="P994" t="n">
        <ns0:v>20</ns0:v>
      </ns0:c>
      <ns0:c r="Q994">
        <ns0:f>IF(AND(L994=1,O994*Calculations!$B$2&lt;=Calculations!$B$10*Calculations!$B$4),1,0)</ns0:f>
        <ns0:v>0</ns0:v>
      </ns0:c>
      <ns0:c r="R994">
        <ns0:f>IF(AND(L994=1,O994*Calculations!$B$2&lt;=Calculations!$B$11*Calculations!$B$4),1,0)</ns0:f>
        <ns0:v>0</ns0:v>
      </ns0:c>
    </ns0:row>
    <ns0:row r="995">
      <ns0:c r="A995" t="inlineStr">
        <ns0:is>
          <ns0:t>case_0994</ns0:t>
        </ns0:is>
      </ns0:c>
      <ns0:c r="B995" t="inlineStr">
        <ns0:is>
          <ns0:t>function_0186</ns0:t>
        </ns0:is>
      </ns0:c>
      <ns0:c r="C995" t="inlineStr">
        <ns0:is>
          <ns0:t>run_011</ns0:t>
        </ns0:is>
      </ns0:c>
      <ns0:c r="D995" t="inlineStr">
        <ns0:is>
          <ns0:t>log</ns0:t>
        </ns0:is>
      </ns0:c>
      <ns0:c r="E995" t="inlineStr">
        <ns0:is>
          <ns0:t>gemini-2.5-flash-nothinking</ns0:t>
        </ns0:is>
      </ns0:c>
      <ns0:c r="F995" t="inlineStr">
        <ns0:is>
          <ns0:t>E0433</ns0:t>
        </ns0:is>
      </ns0:c>
      <ns0:c r="G995" t="n">
        <ns0:v>0</ns0:v>
      </ns0:c>
      <ns0:c r="H995" t="n">
        <ns0:v>9834</ns0:v>
      </ns0:c>
      <ns0:c r="I995" t="n">
        <ns0:v>417</ns0:v>
      </ns0:c>
      <ns0:c r="J995" t="n">
        <ns0:v>10251</ns0:v>
      </ns0:c>
      <ns0:c r="K995" t="n">
        <ns0:v>3</ns0:v>
      </ns0:c>
      <ns0:c r="L995" t="n">
        <ns0:v>1</ns0:v>
      </ns0:c>
      <ns0:c r="M995" t="n">
        <ns0:v>20195</ns0:v>
      </ns0:c>
      <ns0:c r="N995" t="n">
        <ns0:v>374</ns0:v>
      </ns0:c>
      <ns0:c r="O995" t="n">
        <ns0:v>20569</ns0:v>
      </ns0:c>
      <ns0:c r="P995" t="n">
        <ns0:v>3</ns0:v>
      </ns0:c>
      <ns0:c r="Q995">
        <ns0:f>IF(AND(L995=1,O995*Calculations!$B$2&lt;=Calculations!$B$10*Calculations!$B$4),1,0)</ns0:f>
        <ns0:v>1</ns0:v>
      </ns0:c>
      <ns0:c r="R995">
        <ns0:f>IF(AND(L995=1,O995*Calculations!$B$2&lt;=Calculations!$B$11*Calculations!$B$4),1,0)</ns0:f>
        <ns0:v>1</ns0:v>
      </ns0:c>
    </ns0:row>
    <ns0:row r="996">
      <ns0:c r="A996" t="inlineStr">
        <ns0:is>
          <ns0:t>case_0995</ns0:t>
        </ns0:is>
      </ns0:c>
      <ns0:c r="B996" t="inlineStr">
        <ns0:is>
          <ns0:t>function_0187</ns0:t>
        </ns0:is>
      </ns0:c>
      <ns0:c r="C996" t="inlineStr">
        <ns0:is>
          <ns0:t>run_011</ns0:t>
        </ns0:is>
      </ns0:c>
      <ns0:c r="D996" t="inlineStr">
        <ns0:is>
          <ns0:t>log</ns0:t>
        </ns0:is>
      </ns0:c>
      <ns0:c r="E996" t="inlineStr">
        <ns0:is>
          <ns0:t>gemini-2.5-flash-nothinking</ns0:t>
        </ns0:is>
      </ns0:c>
      <ns0:c r="F996" t="inlineStr">
        <ns0:is>
          <ns0:t>E0433</ns0:t>
        </ns0:is>
      </ns0:c>
      <ns0:c r="G996" t="n">
        <ns0:v>0</ns0:v>
      </ns0:c>
      <ns0:c r="H996" t="n">
        <ns0:v>5856</ns0:v>
      </ns0:c>
      <ns0:c r="I996" t="n">
        <ns0:v>162</ns0:v>
      </ns0:c>
      <ns0:c r="J996" t="n">
        <ns0:v>6018</ns0:v>
      </ns0:c>
      <ns0:c r="K996" t="n">
        <ns0:v>3</ns0:v>
      </ns0:c>
      <ns0:c r="L996" t="n">
        <ns0:v>1</ns0:v>
      </ns0:c>
      <ns0:c r="M996" t="n">
        <ns0:v>20153</ns0:v>
      </ns0:c>
      <ns0:c r="N996" t="n">
        <ns0:v>324</ns0:v>
      </ns0:c>
      <ns0:c r="O996" t="n">
        <ns0:v>20477</ns0:v>
      </ns0:c>
      <ns0:c r="P996" t="n">
        <ns0:v>3</ns0:v>
      </ns0:c>
      <ns0:c r="Q996">
        <ns0:f>IF(AND(L996=1,O996*Calculations!$B$2&lt;=Calculations!$B$10*Calculations!$B$4),1,0)</ns0:f>
        <ns0:v>1</ns0:v>
      </ns0:c>
      <ns0:c r="R996">
        <ns0:f>IF(AND(L996=1,O996*Calculations!$B$2&lt;=Calculations!$B$11*Calculations!$B$4),1,0)</ns0:f>
        <ns0:v>1</ns0:v>
      </ns0:c>
    </ns0:row>
    <ns0:row r="997">
      <ns0:c r="A997" t="inlineStr">
        <ns0:is>
          <ns0:t>case_0996</ns0:t>
        </ns0:is>
      </ns0:c>
      <ns0:c r="B997" t="inlineStr">
        <ns0:is>
          <ns0:t>function_0187</ns0:t>
        </ns0:is>
      </ns0:c>
      <ns0:c r="C997" t="inlineStr">
        <ns0:is>
          <ns0:t>run_011</ns0:t>
        </ns0:is>
      </ns0:c>
      <ns0:c r="D997" t="inlineStr">
        <ns0:is>
          <ns0:t>log</ns0:t>
        </ns0:is>
      </ns0:c>
      <ns0:c r="E997" t="inlineStr">
        <ns0:is>
          <ns0:t>gemini-2.5-flash-nothinking</ns0:t>
        </ns0:is>
      </ns0:c>
      <ns0:c r="F997" t="inlineStr">
        <ns0:is>
          <ns0:t>E0433</ns0:t>
        </ns0:is>
      </ns0:c>
      <ns0:c r="G997" t="n">
        <ns0:v>0</ns0:v>
      </ns0:c>
      <ns0:c r="H997" t="n">
        <ns0:v>5854</ns0:v>
      </ns0:c>
      <ns0:c r="I997" t="n">
        <ns0:v>180</ns0:v>
      </ns0:c>
      <ns0:c r="J997" t="n">
        <ns0:v>6034</ns0:v>
      </ns0:c>
      <ns0:c r="K997" t="n">
        <ns0:v>3</ns0:v>
      </ns0:c>
      <ns0:c r="L997" t="n">
        <ns0:v>1</ns0:v>
      </ns0:c>
      <ns0:c r="M997" t="n">
        <ns0:v>21375</ns0:v>
      </ns0:c>
      <ns0:c r="N997" t="n">
        <ns0:v>200</ns0:v>
      </ns0:c>
      <ns0:c r="O997" t="n">
        <ns0:v>21575</ns0:v>
      </ns0:c>
      <ns0:c r="P997" t="n">
        <ns0:v>3</ns0:v>
      </ns0:c>
      <ns0:c r="Q997">
        <ns0:f>IF(AND(L997=1,O997*Calculations!$B$2&lt;=Calculations!$B$10*Calculations!$B$4),1,0)</ns0:f>
        <ns0:v>1</ns0:v>
      </ns0:c>
      <ns0:c r="R997">
        <ns0:f>IF(AND(L997=1,O997*Calculations!$B$2&lt;=Calculations!$B$11*Calculations!$B$4),1,0)</ns0:f>
        <ns0:v>1</ns0:v>
      </ns0:c>
    </ns0:row>
    <ns0:row r="998">
      <ns0:c r="A998" t="inlineStr">
        <ns0:is>
          <ns0:t>case_0997</ns0:t>
        </ns0:is>
      </ns0:c>
      <ns0:c r="B998" t="inlineStr">
        <ns0:is>
          <ns0:t>function_0188</ns0:t>
        </ns0:is>
      </ns0:c>
      <ns0:c r="C998" t="inlineStr">
        <ns0:is>
          <ns0:t>run_011</ns0:t>
        </ns0:is>
      </ns0:c>
      <ns0:c r="D998" t="inlineStr">
        <ns0:is>
          <ns0:t>log</ns0:t>
        </ns0:is>
      </ns0:c>
      <ns0:c r="E998" t="inlineStr">
        <ns0:is>
          <ns0:t>gemini-2.5-flash-nothinking</ns0:t>
        </ns0:is>
      </ns0:c>
      <ns0:c r="F998" t="inlineStr">
        <ns0:is>
          <ns0:t>E0433</ns0:t>
        </ns0:is>
      </ns0:c>
      <ns0:c r="G998" t="n">
        <ns0:v>0</ns0:v>
      </ns0:c>
      <ns0:c r="H998" t="n">
        <ns0:v>9870</ns0:v>
      </ns0:c>
      <ns0:c r="I998" t="n">
        <ns0:v>174</ns0:v>
      </ns0:c>
      <ns0:c r="J998" t="n">
        <ns0:v>10044</ns0:v>
      </ns0:c>
      <ns0:c r="K998" t="n">
        <ns0:v>3</ns0:v>
      </ns0:c>
      <ns0:c r="L998" t="n">
        <ns0:v>1</ns0:v>
      </ns0:c>
      <ns0:c r="M998" t="n">
        <ns0:v>20208</ns0:v>
      </ns0:c>
      <ns0:c r="N998" t="n">
        <ns0:v>337</ns0:v>
      </ns0:c>
      <ns0:c r="O998" t="n">
        <ns0:v>20545</ns0:v>
      </ns0:c>
      <ns0:c r="P998" t="n">
        <ns0:v>3</ns0:v>
      </ns0:c>
      <ns0:c r="Q998">
        <ns0:f>IF(AND(L998=1,O998*Calculations!$B$2&lt;=Calculations!$B$10*Calculations!$B$4),1,0)</ns0:f>
        <ns0:v>1</ns0:v>
      </ns0:c>
      <ns0:c r="R998">
        <ns0:f>IF(AND(L998=1,O998*Calculations!$B$2&lt;=Calculations!$B$11*Calculations!$B$4),1,0)</ns0:f>
        <ns0:v>1</ns0:v>
      </ns0:c>
    </ns0:row>
    <ns0:row r="999">
      <ns0:c r="A999" t="inlineStr">
        <ns0:is>
          <ns0:t>case_0998</ns0:t>
        </ns0:is>
      </ns0:c>
      <ns0:c r="B999" t="inlineStr">
        <ns0:is>
          <ns0:t>function_0188</ns0:t>
        </ns0:is>
      </ns0:c>
      <ns0:c r="C999" t="inlineStr">
        <ns0:is>
          <ns0:t>run_011</ns0:t>
        </ns0:is>
      </ns0:c>
      <ns0:c r="D999" t="inlineStr">
        <ns0:is>
          <ns0:t>log</ns0:t>
        </ns0:is>
      </ns0:c>
      <ns0:c r="E999" t="inlineStr">
        <ns0:is>
          <ns0:t>gemini-2.5-flash-nothinking</ns0:t>
        </ns0:is>
      </ns0:c>
      <ns0:c r="F999" t="inlineStr">
        <ns0:is>
          <ns0:t>E0433</ns0:t>
        </ns0:is>
      </ns0:c>
      <ns0:c r="G999" t="n">
        <ns0:v>0</ns0:v>
      </ns0:c>
      <ns0:c r="H999" t="n">
        <ns0:v>9832</ns0:v>
      </ns0:c>
      <ns0:c r="I999" t="n">
        <ns0:v>174</ns0:v>
      </ns0:c>
      <ns0:c r="J999" t="n">
        <ns0:v>10006</ns0:v>
      </ns0:c>
      <ns0:c r="K999" t="n">
        <ns0:v>3</ns0:v>
      </ns0:c>
      <ns0:c r="L999" t="n">
        <ns0:v>1</ns0:v>
      </ns0:c>
      <ns0:c r="M999" t="n">
        <ns0:v>48083</ns0:v>
      </ns0:c>
      <ns0:c r="N999" t="n">
        <ns0:v>1887</ns0:v>
      </ns0:c>
      <ns0:c r="O999" t="n">
        <ns0:v>49970</ns0:v>
      </ns0:c>
      <ns0:c r="P999" t="n">
        <ns0:v>7</ns0:v>
      </ns0:c>
      <ns0:c r="Q999">
        <ns0:f>IF(AND(L999=1,O999*Calculations!$B$2&lt;=Calculations!$B$10*Calculations!$B$4),1,0)</ns0:f>
        <ns0:v>0</ns0:v>
      </ns0:c>
      <ns0:c r="R999">
        <ns0:f>IF(AND(L999=1,O999*Calculations!$B$2&lt;=Calculations!$B$11*Calculations!$B$4),1,0)</ns0:f>
        <ns0:v>0</ns0:v>
      </ns0:c>
    </ns0:row>
    <ns0:row r="1000">
      <ns0:c r="A1000" t="inlineStr">
        <ns0:is>
          <ns0:t>case_0999</ns0:t>
        </ns0:is>
      </ns0:c>
      <ns0:c r="B1000" t="inlineStr">
        <ns0:is>
          <ns0:t>function_0189</ns0:t>
        </ns0:is>
      </ns0:c>
      <ns0:c r="C1000" t="inlineStr">
        <ns0:is>
          <ns0:t>run_011</ns0:t>
        </ns0:is>
      </ns0:c>
      <ns0:c r="D1000" t="inlineStr">
        <ns0:is>
          <ns0:t>log</ns0:t>
        </ns0:is>
      </ns0:c>
      <ns0:c r="E1000" t="inlineStr">
        <ns0:is>
          <ns0:t>gemini-2.5-flash-nothinking</ns0:t>
        </ns0:is>
      </ns0:c>
      <ns0:c r="F1000" t="inlineStr">
        <ns0:is>
          <ns0:t>E0433</ns0:t>
        </ns0:is>
      </ns0:c>
      <ns0:c r="G1000" t="n">
        <ns0:v>0</ns0:v>
      </ns0:c>
      <ns0:c r="H1000" t="n">
        <ns0:v>9783</ns0:v>
      </ns0:c>
      <ns0:c r="I1000" t="n">
        <ns0:v>174</ns0:v>
      </ns0:c>
      <ns0:c r="J1000" t="n">
        <ns0:v>9957</ns0:v>
      </ns0:c>
      <ns0:c r="K1000" t="n">
        <ns0:v>3</ns0:v>
      </ns0:c>
      <ns0:c r="L1000" t="n">
        <ns0:v>1</ns0:v>
      </ns0:c>
      <ns0:c r="M1000" t="n">
        <ns0:v>20190</ns0:v>
      </ns0:c>
      <ns0:c r="N1000" t="n">
        <ns0:v>385</ns0:v>
      </ns0:c>
      <ns0:c r="O1000" t="n">
        <ns0:v>20575</ns0:v>
      </ns0:c>
      <ns0:c r="P1000" t="n">
        <ns0:v>3</ns0:v>
      </ns0:c>
      <ns0:c r="Q1000">
        <ns0:f>IF(AND(L1000=1,O1000*Calculations!$B$2&lt;=Calculations!$B$10*Calculations!$B$4),1,0)</ns0:f>
        <ns0:v>1</ns0:v>
      </ns0:c>
      <ns0:c r="R1000">
        <ns0:f>IF(AND(L1000=1,O1000*Calculations!$B$2&lt;=Calculations!$B$11*Calculations!$B$4),1,0)</ns0:f>
        <ns0:v>1</ns0:v>
      </ns0:c>
    </ns0:row>
    <ns0:row r="1001">
      <ns0:c r="A1001" t="inlineStr">
        <ns0:is>
          <ns0:t>case_1000</ns0:t>
        </ns0:is>
      </ns0:c>
      <ns0:c r="B1001" t="inlineStr">
        <ns0:is>
          <ns0:t>function_0189</ns0:t>
        </ns0:is>
      </ns0:c>
      <ns0:c r="C1001" t="inlineStr">
        <ns0:is>
          <ns0:t>run_011</ns0:t>
        </ns0:is>
      </ns0:c>
      <ns0:c r="D1001" t="inlineStr">
        <ns0:is>
          <ns0:t>log</ns0:t>
        </ns0:is>
      </ns0:c>
      <ns0:c r="E1001" t="inlineStr">
        <ns0:is>
          <ns0:t>gemini-2.5-flash-nothinking</ns0:t>
        </ns0:is>
      </ns0:c>
      <ns0:c r="F1001" t="inlineStr">
        <ns0:is>
          <ns0:t>E0433</ns0:t>
        </ns0:is>
      </ns0:c>
      <ns0:c r="G1001" t="n">
        <ns0:v>0</ns0:v>
      </ns0:c>
      <ns0:c r="H1001" t="n">
        <ns0:v>9832</ns0:v>
      </ns0:c>
      <ns0:c r="I1001" t="n">
        <ns0:v>174</ns0:v>
      </ns0:c>
      <ns0:c r="J1001" t="n">
        <ns0:v>10006</ns0:v>
      </ns0:c>
      <ns0:c r="K1001" t="n">
        <ns0:v>3</ns0:v>
      </ns0:c>
      <ns0:c r="L1001" t="n">
        <ns0:v>1</ns0:v>
      </ns0:c>
      <ns0:c r="M1001" t="n">
        <ns0:v>20184</ns0:v>
      </ns0:c>
      <ns0:c r="N1001" t="n">
        <ns0:v>238</ns0:v>
      </ns0:c>
      <ns0:c r="O1001" t="n">
        <ns0:v>20422</ns0:v>
      </ns0:c>
      <ns0:c r="P1001" t="n">
        <ns0:v>3</ns0:v>
      </ns0:c>
      <ns0:c r="Q1001">
        <ns0:f>IF(AND(L1001=1,O1001*Calculations!$B$2&lt;=Calculations!$B$10*Calculations!$B$4),1,0)</ns0:f>
        <ns0:v>1</ns0:v>
      </ns0:c>
      <ns0:c r="R1001">
        <ns0:f>IF(AND(L1001=1,O1001*Calculations!$B$2&lt;=Calculations!$B$11*Calculations!$B$4),1,0)</ns0:f>
        <ns0:v>1</ns0:v>
      </ns0:c>
    </ns0:row>
    <ns0:row r="1002">
      <ns0:c r="A1002" t="inlineStr">
        <ns0:is>
          <ns0:t>case_1001</ns0:t>
        </ns0:is>
      </ns0:c>
      <ns0:c r="B1002" t="inlineStr">
        <ns0:is>
          <ns0:t>function_0190</ns0:t>
        </ns0:is>
      </ns0:c>
      <ns0:c r="C1002" t="inlineStr">
        <ns0:is>
          <ns0:t>run_011</ns0:t>
        </ns0:is>
      </ns0:c>
      <ns0:c r="D1002" t="inlineStr">
        <ns0:is>
          <ns0:t>log</ns0:t>
        </ns0:is>
      </ns0:c>
      <ns0:c r="E1002" t="inlineStr">
        <ns0:is>
          <ns0:t>gemini-2.5-flash-nothinking</ns0:t>
        </ns0:is>
      </ns0:c>
      <ns0:c r="F1002" t="inlineStr">
        <ns0:is>
          <ns0:t>E0433</ns0:t>
        </ns0:is>
      </ns0:c>
      <ns0:c r="G1002" t="n">
        <ns0:v>0</ns0:v>
      </ns0:c>
      <ns0:c r="H1002" t="n">
        <ns0:v>9866</ns0:v>
      </ns0:c>
      <ns0:c r="I1002" t="n">
        <ns0:v>175</ns0:v>
      </ns0:c>
      <ns0:c r="J1002" t="n">
        <ns0:v>10041</ns0:v>
      </ns0:c>
      <ns0:c r="K1002" t="n">
        <ns0:v>3</ns0:v>
      </ns0:c>
      <ns0:c r="L1002" t="n">
        <ns0:v>1</ns0:v>
      </ns0:c>
      <ns0:c r="M1002" t="n">
        <ns0:v>20202</ns0:v>
      </ns0:c>
      <ns0:c r="N1002" t="n">
        <ns0:v>235</ns0:v>
      </ns0:c>
      <ns0:c r="O1002" t="n">
        <ns0:v>20437</ns0:v>
      </ns0:c>
      <ns0:c r="P1002" t="n">
        <ns0:v>3</ns0:v>
      </ns0:c>
      <ns0:c r="Q1002">
        <ns0:f>IF(AND(L1002=1,O1002*Calculations!$B$2&lt;=Calculations!$B$10*Calculations!$B$4),1,0)</ns0:f>
        <ns0:v>1</ns0:v>
      </ns0:c>
      <ns0:c r="R1002">
        <ns0:f>IF(AND(L1002=1,O1002*Calculations!$B$2&lt;=Calculations!$B$11*Calculations!$B$4),1,0)</ns0:f>
        <ns0:v>1</ns0:v>
      </ns0:c>
    </ns0:row>
    <ns0:row r="1003">
      <ns0:c r="A1003" t="inlineStr">
        <ns0:is>
          <ns0:t>case_1002</ns0:t>
        </ns0:is>
      </ns0:c>
      <ns0:c r="B1003" t="inlineStr">
        <ns0:is>
          <ns0:t>function_0190</ns0:t>
        </ns0:is>
      </ns0:c>
      <ns0:c r="C1003" t="inlineStr">
        <ns0:is>
          <ns0:t>run_011</ns0:t>
        </ns0:is>
      </ns0:c>
      <ns0:c r="D1003" t="inlineStr">
        <ns0:is>
          <ns0:t>log</ns0:t>
        </ns0:is>
      </ns0:c>
      <ns0:c r="E1003" t="inlineStr">
        <ns0:is>
          <ns0:t>gemini-2.5-flash-nothinking</ns0:t>
        </ns0:is>
      </ns0:c>
      <ns0:c r="F1003" t="inlineStr">
        <ns0:is>
          <ns0:t>E0433</ns0:t>
        </ns0:is>
      </ns0:c>
      <ns0:c r="G1003" t="n">
        <ns0:v>0</ns0:v>
      </ns0:c>
      <ns0:c r="H1003" t="n">
        <ns0:v>9836</ns0:v>
      </ns0:c>
      <ns0:c r="I1003" t="n">
        <ns0:v>174</ns0:v>
      </ns0:c>
      <ns0:c r="J1003" t="n">
        <ns0:v>10010</ns0:v>
      </ns0:c>
      <ns0:c r="K1003" t="n">
        <ns0:v>3</ns0:v>
      </ns0:c>
      <ns0:c r="L1003" t="n">
        <ns0:v>0</ns0:v>
      </ns0:c>
      <ns0:c r="M1003" t="n">
        <ns0:v>162397</ns0:v>
      </ns0:c>
      <ns0:c r="N1003" t="n">
        <ns0:v>3587</ns0:v>
      </ns0:c>
      <ns0:c r="O1003" t="n">
        <ns0:v>165984</ns0:v>
      </ns0:c>
      <ns0:c r="P1003" t="n">
        <ns0:v>20</ns0:v>
      </ns0:c>
      <ns0:c r="Q1003">
        <ns0:f>IF(AND(L1003=1,O1003*Calculations!$B$2&lt;=Calculations!$B$10*Calculations!$B$4),1,0)</ns0:f>
        <ns0:v>0</ns0:v>
      </ns0:c>
      <ns0:c r="R1003">
        <ns0:f>IF(AND(L1003=1,O1003*Calculations!$B$2&lt;=Calculations!$B$11*Calculations!$B$4),1,0)</ns0:f>
        <ns0:v>0</ns0:v>
      </ns0:c>
    </ns0:row>
    <ns0:row r="1004">
      <ns0:c r="A1004" t="inlineStr">
        <ns0:is>
          <ns0:t>case_1003</ns0:t>
        </ns0:is>
      </ns0:c>
      <ns0:c r="B1004" t="inlineStr">
        <ns0:is>
          <ns0:t>function_0191</ns0:t>
        </ns0:is>
      </ns0:c>
      <ns0:c r="C1004" t="inlineStr">
        <ns0:is>
          <ns0:t>run_011</ns0:t>
        </ns0:is>
      </ns0:c>
      <ns0:c r="D1004" t="inlineStr">
        <ns0:is>
          <ns0:t>log</ns0:t>
        </ns0:is>
      </ns0:c>
      <ns0:c r="E1004" t="inlineStr">
        <ns0:is>
          <ns0:t>gemini-2.5-flash-nothinking</ns0:t>
        </ns0:is>
      </ns0:c>
      <ns0:c r="F1004" t="inlineStr">
        <ns0:is>
          <ns0:t>E0433</ns0:t>
        </ns0:is>
      </ns0:c>
      <ns0:c r="G1004" t="n">
        <ns0:v>0</ns0:v>
      </ns0:c>
      <ns0:c r="H1004" t="n">
        <ns0:v>9780</ns0:v>
      </ns0:c>
      <ns0:c r="I1004" t="n">
        <ns0:v>165</ns0:v>
      </ns0:c>
      <ns0:c r="J1004" t="n">
        <ns0:v>9945</ns0:v>
      </ns0:c>
      <ns0:c r="K1004" t="n">
        <ns0:v>3</ns0:v>
      </ns0:c>
      <ns0:c r="L1004" t="n">
        <ns0:v>1</ns0:v>
      </ns0:c>
      <ns0:c r="M1004" t="n">
        <ns0:v>20182</ns0:v>
      </ns0:c>
      <ns0:c r="N1004" t="n">
        <ns0:v>263</ns0:v>
      </ns0:c>
      <ns0:c r="O1004" t="n">
        <ns0:v>20445</ns0:v>
      </ns0:c>
      <ns0:c r="P1004" t="n">
        <ns0:v>3</ns0:v>
      </ns0:c>
      <ns0:c r="Q1004">
        <ns0:f>IF(AND(L1004=1,O1004*Calculations!$B$2&lt;=Calculations!$B$10*Calculations!$B$4),1,0)</ns0:f>
        <ns0:v>1</ns0:v>
      </ns0:c>
      <ns0:c r="R1004">
        <ns0:f>IF(AND(L1004=1,O1004*Calculations!$B$2&lt;=Calculations!$B$11*Calculations!$B$4),1,0)</ns0:f>
        <ns0:v>1</ns0:v>
      </ns0:c>
    </ns0:row>
    <ns0:row r="1005">
      <ns0:c r="A1005" t="inlineStr">
        <ns0:is>
          <ns0:t>case_1004</ns0:t>
        </ns0:is>
      </ns0:c>
      <ns0:c r="B1005" t="inlineStr">
        <ns0:is>
          <ns0:t>function_0191</ns0:t>
        </ns0:is>
      </ns0:c>
      <ns0:c r="C1005" t="inlineStr">
        <ns0:is>
          <ns0:t>run_011</ns0:t>
        </ns0:is>
      </ns0:c>
      <ns0:c r="D1005" t="inlineStr">
        <ns0:is>
          <ns0:t>log</ns0:t>
        </ns0:is>
      </ns0:c>
      <ns0:c r="E1005" t="inlineStr">
        <ns0:is>
          <ns0:t>gemini-2.5-flash-nothinking</ns0:t>
        </ns0:is>
      </ns0:c>
      <ns0:c r="F1005" t="inlineStr">
        <ns0:is>
          <ns0:t>E0433</ns0:t>
        </ns0:is>
      </ns0:c>
      <ns0:c r="G1005" t="n">
        <ns0:v>0</ns0:v>
      </ns0:c>
      <ns0:c r="H1005" t="n">
        <ns0:v>9827</ns0:v>
      </ns0:c>
      <ns0:c r="I1005" t="n">
        <ns0:v>165</ns0:v>
      </ns0:c>
      <ns0:c r="J1005" t="n">
        <ns0:v>9992</ns0:v>
      </ns0:c>
      <ns0:c r="K1005" t="n">
        <ns0:v>3</ns0:v>
      </ns0:c>
      <ns0:c r="L1005" t="n">
        <ns0:v>1</ns0:v>
      </ns0:c>
      <ns0:c r="M1005" t="n">
        <ns0:v>27279</ns0:v>
      </ns0:c>
      <ns0:c r="N1005" t="n">
        <ns0:v>570</ns0:v>
      </ns0:c>
      <ns0:c r="O1005" t="n">
        <ns0:v>27849</ns0:v>
      </ns0:c>
      <ns0:c r="P1005" t="n">
        <ns0:v>4</ns0:v>
      </ns0:c>
      <ns0:c r="Q1005">
        <ns0:f>IF(AND(L1005=1,O1005*Calculations!$B$2&lt;=Calculations!$B$10*Calculations!$B$4),1,0)</ns0:f>
        <ns0:v>0</ns0:v>
      </ns0:c>
      <ns0:c r="R1005">
        <ns0:f>IF(AND(L1005=1,O1005*Calculations!$B$2&lt;=Calculations!$B$11*Calculations!$B$4),1,0)</ns0:f>
        <ns0:v>1</ns0:v>
      </ns0:c>
    </ns0:row>
    <ns0:row r="1006">
      <ns0:c r="A1006" t="inlineStr">
        <ns0:is>
          <ns0:t>case_1005</ns0:t>
        </ns0:is>
      </ns0:c>
      <ns0:c r="B1006" t="inlineStr">
        <ns0:is>
          <ns0:t>function_0192</ns0:t>
        </ns0:is>
      </ns0:c>
      <ns0:c r="C1006" t="inlineStr">
        <ns0:is>
          <ns0:t>run_011</ns0:t>
        </ns0:is>
      </ns0:c>
      <ns0:c r="D1006" t="inlineStr">
        <ns0:is>
          <ns0:t>log</ns0:t>
        </ns0:is>
      </ns0:c>
      <ns0:c r="E1006" t="inlineStr">
        <ns0:is>
          <ns0:t>gemini-2.5-flash-nothinking</ns0:t>
        </ns0:is>
      </ns0:c>
      <ns0:c r="F1006" t="inlineStr">
        <ns0:is>
          <ns0:t>E0308,E0432,E0433</ns0:t>
        </ns0:is>
      </ns0:c>
      <ns0:c r="G1006" t="n">
        <ns0:v>0</ns0:v>
      </ns0:c>
      <ns0:c r="H1006" t="n">
        <ns0:v>10858</ns0:v>
      </ns0:c>
      <ns0:c r="I1006" t="n">
        <ns0:v>643</ns0:v>
      </ns0:c>
      <ns0:c r="J1006" t="n">
        <ns0:v>11501</ns0:v>
      </ns0:c>
      <ns0:c r="K1006" t="n">
        <ns0:v>3</ns0:v>
      </ns0:c>
      <ns0:c r="L1006" t="n">
        <ns0:v>1</ns0:v>
      </ns0:c>
      <ns0:c r="M1006" t="n">
        <ns0:v>36042</ns0:v>
      </ns0:c>
      <ns0:c r="N1006" t="n">
        <ns0:v>521</ns0:v>
      </ns0:c>
      <ns0:c r="O1006" t="n">
        <ns0:v>36563</ns0:v>
      </ns0:c>
      <ns0:c r="P1006" t="n">
        <ns0:v>5</ns0:v>
      </ns0:c>
      <ns0:c r="Q1006">
        <ns0:f>IF(AND(L1006=1,O1006*Calculations!$B$2&lt;=Calculations!$B$10*Calculations!$B$4),1,0)</ns0:f>
        <ns0:v>0</ns0:v>
      </ns0:c>
      <ns0:c r="R1006">
        <ns0:f>IF(AND(L1006=1,O1006*Calculations!$B$2&lt;=Calculations!$B$11*Calculations!$B$4),1,0)</ns0:f>
        <ns0:v>1</ns0:v>
      </ns0:c>
    </ns0:row>
    <ns0:row r="1007">
      <ns0:c r="A1007" t="inlineStr">
        <ns0:is>
          <ns0:t>case_1006</ns0:t>
        </ns0:is>
      </ns0:c>
      <ns0:c r="B1007" t="inlineStr">
        <ns0:is>
          <ns0:t>function_0192</ns0:t>
        </ns0:is>
      </ns0:c>
      <ns0:c r="C1007" t="inlineStr">
        <ns0:is>
          <ns0:t>run_011</ns0:t>
        </ns0:is>
      </ns0:c>
      <ns0:c r="D1007" t="inlineStr">
        <ns0:is>
          <ns0:t>log</ns0:t>
        </ns0:is>
      </ns0:c>
      <ns0:c r="E1007" t="inlineStr">
        <ns0:is>
          <ns0:t>gemini-2.5-flash-nothinking</ns0:t>
        </ns0:is>
      </ns0:c>
      <ns0:c r="F1007" t="inlineStr">
        <ns0:is>
          <ns0:t>E0061,E0432,E0433,E0599</ns0:t>
        </ns0:is>
      </ns0:c>
      <ns0:c r="G1007" t="n">
        <ns0:v>0</ns0:v>
      </ns0:c>
      <ns0:c r="H1007" t="n">
        <ns0:v>10800</ns0:v>
      </ns0:c>
      <ns0:c r="I1007" t="n">
        <ns0:v>839</ns0:v>
      </ns0:c>
      <ns0:c r="J1007" t="n">
        <ns0:v>11639</ns0:v>
      </ns0:c>
      <ns0:c r="K1007" t="n">
        <ns0:v>3</ns0:v>
      </ns0:c>
      <ns0:c r="L1007" t="n">
        <ns0:v>1</ns0:v>
      </ns0:c>
      <ns0:c r="M1007" t="n">
        <ns0:v>70232</ns0:v>
      </ns0:c>
      <ns0:c r="N1007" t="n">
        <ns0:v>1382</ns0:v>
      </ns0:c>
      <ns0:c r="O1007" t="n">
        <ns0:v>71614</ns0:v>
      </ns0:c>
      <ns0:c r="P1007" t="n">
        <ns0:v>9</ns0:v>
      </ns0:c>
      <ns0:c r="Q1007">
        <ns0:f>IF(AND(L1007=1,O1007*Calculations!$B$2&lt;=Calculations!$B$10*Calculations!$B$4),1,0)</ns0:f>
        <ns0:v>0</ns0:v>
      </ns0:c>
      <ns0:c r="R1007">
        <ns0:f>IF(AND(L1007=1,O1007*Calculations!$B$2&lt;=Calculations!$B$11*Calculations!$B$4),1,0)</ns0:f>
        <ns0:v>0</ns0:v>
      </ns0:c>
    </ns0:row>
    <ns0:row r="1008">
      <ns0:c r="A1008" t="inlineStr">
        <ns0:is>
          <ns0:t>case_1007</ns0:t>
        </ns0:is>
      </ns0:c>
      <ns0:c r="B1008" t="inlineStr">
        <ns0:is>
          <ns0:t>function_0193</ns0:t>
        </ns0:is>
      </ns0:c>
      <ns0:c r="C1008" t="inlineStr">
        <ns0:is>
          <ns0:t>run_011</ns0:t>
        </ns0:is>
      </ns0:c>
      <ns0:c r="D1008" t="inlineStr">
        <ns0:is>
          <ns0:t>log</ns0:t>
        </ns0:is>
      </ns0:c>
      <ns0:c r="E1008" t="inlineStr">
        <ns0:is>
          <ns0:t>gemini-2.5-flash-nothinking</ns0:t>
        </ns0:is>
      </ns0:c>
      <ns0:c r="F1008" t="inlineStr">
        <ns0:is>
          <ns0:t>E0433</ns0:t>
        </ns0:is>
      </ns0:c>
      <ns0:c r="G1008" t="n">
        <ns0:v>0</ns0:v>
      </ns0:c>
      <ns0:c r="H1008" t="n">
        <ns0:v>5881</ns0:v>
      </ns0:c>
      <ns0:c r="I1008" t="n">
        <ns0:v>166</ns0:v>
      </ns0:c>
      <ns0:c r="J1008" t="n">
        <ns0:v>6047</ns0:v>
      </ns0:c>
      <ns0:c r="K1008" t="n">
        <ns0:v>3</ns0:v>
      </ns0:c>
      <ns0:c r="L1008" t="n">
        <ns0:v>1</ns0:v>
      </ns0:c>
      <ns0:c r="M1008" t="n">
        <ns0:v>20118</ns0:v>
      </ns0:c>
      <ns0:c r="N1008" t="n">
        <ns0:v>198</ns0:v>
      </ns0:c>
      <ns0:c r="O1008" t="n">
        <ns0:v>20316</ns0:v>
      </ns0:c>
      <ns0:c r="P1008" t="n">
        <ns0:v>3</ns0:v>
      </ns0:c>
      <ns0:c r="Q1008">
        <ns0:f>IF(AND(L1008=1,O1008*Calculations!$B$2&lt;=Calculations!$B$10*Calculations!$B$4),1,0)</ns0:f>
        <ns0:v>1</ns0:v>
      </ns0:c>
      <ns0:c r="R1008">
        <ns0:f>IF(AND(L1008=1,O1008*Calculations!$B$2&lt;=Calculations!$B$11*Calculations!$B$4),1,0)</ns0:f>
        <ns0:v>1</ns0:v>
      </ns0:c>
    </ns0:row>
    <ns0:row r="1009">
      <ns0:c r="A1009" t="inlineStr">
        <ns0:is>
          <ns0:t>case_1008</ns0:t>
        </ns0:is>
      </ns0:c>
      <ns0:c r="B1009" t="inlineStr">
        <ns0:is>
          <ns0:t>function_0193</ns0:t>
        </ns0:is>
      </ns0:c>
      <ns0:c r="C1009" t="inlineStr">
        <ns0:is>
          <ns0:t>run_011</ns0:t>
        </ns0:is>
      </ns0:c>
      <ns0:c r="D1009" t="inlineStr">
        <ns0:is>
          <ns0:t>log</ns0:t>
        </ns0:is>
      </ns0:c>
      <ns0:c r="E1009" t="inlineStr">
        <ns0:is>
          <ns0:t>gemini-2.5-flash-nothinking</ns0:t>
        </ns0:is>
      </ns0:c>
      <ns0:c r="F1009" t="inlineStr">
        <ns0:is>
          <ns0:t>E0433</ns0:t>
        </ns0:is>
      </ns0:c>
      <ns0:c r="G1009" t="n">
        <ns0:v>0</ns0:v>
      </ns0:c>
      <ns0:c r="H1009" t="n">
        <ns0:v>5864</ns0:v>
      </ns0:c>
      <ns0:c r="I1009" t="n">
        <ns0:v>160</ns0:v>
      </ns0:c>
      <ns0:c r="J1009" t="n">
        <ns0:v>6024</ns0:v>
      </ns0:c>
      <ns0:c r="K1009" t="n">
        <ns0:v>3</ns0:v>
      </ns0:c>
      <ns0:c r="L1009" t="n">
        <ns0:v>1</ns0:v>
      </ns0:c>
      <ns0:c r="M1009" t="n">
        <ns0:v>20102</ns0:v>
      </ns0:c>
      <ns0:c r="N1009" t="n">
        <ns0:v>341</ns0:v>
      </ns0:c>
      <ns0:c r="O1009" t="n">
        <ns0:v>20443</ns0:v>
      </ns0:c>
      <ns0:c r="P1009" t="n">
        <ns0:v>3</ns0:v>
      </ns0:c>
      <ns0:c r="Q1009">
        <ns0:f>IF(AND(L1009=1,O1009*Calculations!$B$2&lt;=Calculations!$B$10*Calculations!$B$4),1,0)</ns0:f>
        <ns0:v>1</ns0:v>
      </ns0:c>
      <ns0:c r="R1009">
        <ns0:f>IF(AND(L1009=1,O1009*Calculations!$B$2&lt;=Calculations!$B$11*Calculations!$B$4),1,0)</ns0:f>
        <ns0:v>1</ns0:v>
      </ns0:c>
    </ns0:row>
    <ns0:row r="1010">
      <ns0:c r="A1010" t="inlineStr">
        <ns0:is>
          <ns0:t>case_1009</ns0:t>
        </ns0:is>
      </ns0:c>
      <ns0:c r="B1010" t="inlineStr">
        <ns0:is>
          <ns0:t>function_0194</ns0:t>
        </ns0:is>
      </ns0:c>
      <ns0:c r="C1010" t="inlineStr">
        <ns0:is>
          <ns0:t>run_011</ns0:t>
        </ns0:is>
      </ns0:c>
      <ns0:c r="D1010" t="inlineStr">
        <ns0:is>
          <ns0:t>log</ns0:t>
        </ns0:is>
      </ns0:c>
      <ns0:c r="E1010" t="inlineStr">
        <ns0:is>
          <ns0:t>gemini-2.5-flash-nothinking</ns0:t>
        </ns0:is>
      </ns0:c>
      <ns0:c r="F1010" t="inlineStr">
        <ns0:is>
          <ns0:t>E0433</ns0:t>
        </ns0:is>
      </ns0:c>
      <ns0:c r="G1010" t="n">
        <ns0:v>0</ns0:v>
      </ns0:c>
      <ns0:c r="H1010" t="n">
        <ns0:v>5933</ns0:v>
      </ns0:c>
      <ns0:c r="I1010" t="n">
        <ns0:v>204</ns0:v>
      </ns0:c>
      <ns0:c r="J1010" t="n">
        <ns0:v>6137</ns0:v>
      </ns0:c>
      <ns0:c r="K1010" t="n">
        <ns0:v>3</ns0:v>
      </ns0:c>
      <ns0:c r="L1010" t="n">
        <ns0:v>1</ns0:v>
      </ns0:c>
      <ns0:c r="M1010" t="n">
        <ns0:v>20170</ns0:v>
      </ns0:c>
      <ns0:c r="N1010" t="n">
        <ns0:v>312</ns0:v>
      </ns0:c>
      <ns0:c r="O1010" t="n">
        <ns0:v>20482</ns0:v>
      </ns0:c>
      <ns0:c r="P1010" t="n">
        <ns0:v>3</ns0:v>
      </ns0:c>
      <ns0:c r="Q1010">
        <ns0:f>IF(AND(L1010=1,O1010*Calculations!$B$2&lt;=Calculations!$B$10*Calculations!$B$4),1,0)</ns0:f>
        <ns0:v>1</ns0:v>
      </ns0:c>
      <ns0:c r="R1010">
        <ns0:f>IF(AND(L1010=1,O1010*Calculations!$B$2&lt;=Calculations!$B$11*Calculations!$B$4),1,0)</ns0:f>
        <ns0:v>1</ns0:v>
      </ns0:c>
    </ns0:row>
    <ns0:row r="1011">
      <ns0:c r="A1011" t="inlineStr">
        <ns0:is>
          <ns0:t>case_1010</ns0:t>
        </ns0:is>
      </ns0:c>
      <ns0:c r="B1011" t="inlineStr">
        <ns0:is>
          <ns0:t>function_0194</ns0:t>
        </ns0:is>
      </ns0:c>
      <ns0:c r="C1011" t="inlineStr">
        <ns0:is>
          <ns0:t>run_011</ns0:t>
        </ns0:is>
      </ns0:c>
      <ns0:c r="D1011" t="inlineStr">
        <ns0:is>
          <ns0:t>log</ns0:t>
        </ns0:is>
      </ns0:c>
      <ns0:c r="E1011" t="inlineStr">
        <ns0:is>
          <ns0:t>gemini-2.5-flash-nothinking</ns0:t>
        </ns0:is>
      </ns0:c>
      <ns0:c r="F1011" t="inlineStr">
        <ns0:is>
          <ns0:t>E0308,E0433</ns0:t>
        </ns0:is>
      </ns0:c>
      <ns0:c r="G1011" t="n">
        <ns0:v>0</ns0:v>
      </ns0:c>
      <ns0:c r="H1011" t="n">
        <ns0:v>6264</ns0:v>
      </ns0:c>
      <ns0:c r="I1011" t="n">
        <ns0:v>180</ns0:v>
      </ns0:c>
      <ns0:c r="J1011" t="n">
        <ns0:v>6444</ns0:v>
      </ns0:c>
      <ns0:c r="K1011" t="n">
        <ns0:v>3</ns0:v>
      </ns0:c>
      <ns0:c r="L1011" t="n">
        <ns0:v>1</ns0:v>
      </ns0:c>
      <ns0:c r="M1011" t="n">
        <ns0:v>29539</ns0:v>
      </ns0:c>
      <ns0:c r="N1011" t="n">
        <ns0:v>558</ns0:v>
      </ns0:c>
      <ns0:c r="O1011" t="n">
        <ns0:v>30097</ns0:v>
      </ns0:c>
      <ns0:c r="P1011" t="n">
        <ns0:v>4</ns0:v>
      </ns0:c>
      <ns0:c r="Q1011">
        <ns0:f>IF(AND(L1011=1,O1011*Calculations!$B$2&lt;=Calculations!$B$10*Calculations!$B$4),1,0)</ns0:f>
        <ns0:v>0</ns0:v>
      </ns0:c>
      <ns0:c r="R1011">
        <ns0:f>IF(AND(L1011=1,O1011*Calculations!$B$2&lt;=Calculations!$B$11*Calculations!$B$4),1,0)</ns0:f>
        <ns0:v>1</ns0:v>
      </ns0:c>
    </ns0:row>
    <ns0:row r="1012">
      <ns0:c r="A1012" t="inlineStr">
        <ns0:is>
          <ns0:t>case_1011</ns0:t>
        </ns0:is>
      </ns0:c>
      <ns0:c r="B1012" t="inlineStr">
        <ns0:is>
          <ns0:t>function_0195</ns0:t>
        </ns0:is>
      </ns0:c>
      <ns0:c r="C1012" t="inlineStr">
        <ns0:is>
          <ns0:t>run_011</ns0:t>
        </ns0:is>
      </ns0:c>
      <ns0:c r="D1012" t="inlineStr">
        <ns0:is>
          <ns0:t>log</ns0:t>
        </ns0:is>
      </ns0:c>
      <ns0:c r="E1012" t="inlineStr">
        <ns0:is>
          <ns0:t>gemini-2.5-flash-nothinking</ns0:t>
        </ns0:is>
      </ns0:c>
      <ns0:c r="F1012" t="inlineStr">
        <ns0:is>
          <ns0:t>E0433</ns0:t>
        </ns0:is>
      </ns0:c>
      <ns0:c r="G1012" t="n">
        <ns0:v>0</ns0:v>
      </ns0:c>
      <ns0:c r="H1012" t="n">
        <ns0:v>5902</ns0:v>
      </ns0:c>
      <ns0:c r="I1012" t="n">
        <ns0:v>170</ns0:v>
      </ns0:c>
      <ns0:c r="J1012" t="n">
        <ns0:v>6072</ns0:v>
      </ns0:c>
      <ns0:c r="K1012" t="n">
        <ns0:v>3</ns0:v>
      </ns0:c>
      <ns0:c r="L1012" t="n">
        <ns0:v>1</ns0:v>
      </ns0:c>
      <ns0:c r="M1012" t="n">
        <ns0:v>20144</ns0:v>
      </ns0:c>
      <ns0:c r="N1012" t="n">
        <ns0:v>208</ns0:v>
      </ns0:c>
      <ns0:c r="O1012" t="n">
        <ns0:v>20352</ns0:v>
      </ns0:c>
      <ns0:c r="P1012" t="n">
        <ns0:v>3</ns0:v>
      </ns0:c>
      <ns0:c r="Q1012">
        <ns0:f>IF(AND(L1012=1,O1012*Calculations!$B$2&lt;=Calculations!$B$10*Calculations!$B$4),1,0)</ns0:f>
        <ns0:v>1</ns0:v>
      </ns0:c>
      <ns0:c r="R1012">
        <ns0:f>IF(AND(L1012=1,O1012*Calculations!$B$2&lt;=Calculations!$B$11*Calculations!$B$4),1,0)</ns0:f>
        <ns0:v>1</ns0:v>
      </ns0:c>
    </ns0:row>
    <ns0:row r="1013">
      <ns0:c r="A1013" t="inlineStr">
        <ns0:is>
          <ns0:t>case_1012</ns0:t>
        </ns0:is>
      </ns0:c>
      <ns0:c r="B1013" t="inlineStr">
        <ns0:is>
          <ns0:t>function_0195</ns0:t>
        </ns0:is>
      </ns0:c>
      <ns0:c r="C1013" t="inlineStr">
        <ns0:is>
          <ns0:t>run_011</ns0:t>
        </ns0:is>
      </ns0:c>
      <ns0:c r="D1013" t="inlineStr">
        <ns0:is>
          <ns0:t>log</ns0:t>
        </ns0:is>
      </ns0:c>
      <ns0:c r="E1013" t="inlineStr">
        <ns0:is>
          <ns0:t>gemini-2.5-flash-nothinking</ns0:t>
        </ns0:is>
      </ns0:c>
      <ns0:c r="F1013" t="inlineStr">
        <ns0:is>
          <ns0:t>E0308,E0433</ns0:t>
        </ns0:is>
      </ns0:c>
      <ns0:c r="G1013" t="n">
        <ns0:v>0</ns0:v>
      </ns0:c>
      <ns0:c r="H1013" t="n">
        <ns0:v>6207</ns0:v>
      </ns0:c>
      <ns0:c r="I1013" t="n">
        <ns0:v>162</ns0:v>
      </ns0:c>
      <ns0:c r="J1013" t="n">
        <ns0:v>6369</ns0:v>
      </ns0:c>
      <ns0:c r="K1013" t="n">
        <ns0:v>3</ns0:v>
      </ns0:c>
      <ns0:c r="L1013" t="n">
        <ns0:v>1</ns0:v>
      </ns0:c>
      <ns0:c r="M1013" t="n">
        <ns0:v>27833</ns0:v>
      </ns0:c>
      <ns0:c r="N1013" t="n">
        <ns0:v>370</ns0:v>
      </ns0:c>
      <ns0:c r="O1013" t="n">
        <ns0:v>28203</ns0:v>
      </ns0:c>
      <ns0:c r="P1013" t="n">
        <ns0:v>4</ns0:v>
      </ns0:c>
      <ns0:c r="Q1013">
        <ns0:f>IF(AND(L1013=1,O1013*Calculations!$B$2&lt;=Calculations!$B$10*Calculations!$B$4),1,0)</ns0:f>
        <ns0:v>0</ns0:v>
      </ns0:c>
      <ns0:c r="R1013">
        <ns0:f>IF(AND(L1013=1,O1013*Calculations!$B$2&lt;=Calculations!$B$11*Calculations!$B$4),1,0)</ns0:f>
        <ns0:v>1</ns0:v>
      </ns0:c>
    </ns0:row>
    <ns0:row r="1014">
      <ns0:c r="A1014" t="inlineStr">
        <ns0:is>
          <ns0:t>case_1013</ns0:t>
        </ns0:is>
      </ns0:c>
      <ns0:c r="B1014" t="inlineStr">
        <ns0:is>
          <ns0:t>function_0196</ns0:t>
        </ns0:is>
      </ns0:c>
      <ns0:c r="C1014" t="inlineStr">
        <ns0:is>
          <ns0:t>run_011</ns0:t>
        </ns0:is>
      </ns0:c>
      <ns0:c r="D1014" t="inlineStr">
        <ns0:is>
          <ns0:t>log</ns0:t>
        </ns0:is>
      </ns0:c>
      <ns0:c r="E1014" t="inlineStr">
        <ns0:is>
          <ns0:t>gemini-2.5-flash-nothinking</ns0:t>
        </ns0:is>
      </ns0:c>
      <ns0:c r="F1014" t="inlineStr">
        <ns0:is>
          <ns0:t>E0433</ns0:t>
        </ns0:is>
      </ns0:c>
      <ns0:c r="G1014" t="n">
        <ns0:v>0</ns0:v>
      </ns0:c>
      <ns0:c r="H1014" t="n">
        <ns0:v>5896</ns0:v>
      </ns0:c>
      <ns0:c r="I1014" t="n">
        <ns0:v>234</ns0:v>
      </ns0:c>
      <ns0:c r="J1014" t="n">
        <ns0:v>6130</ns0:v>
      </ns0:c>
      <ns0:c r="K1014" t="n">
        <ns0:v>3</ns0:v>
      </ns0:c>
      <ns0:c r="L1014" t="n">
        <ns0:v>1</ns0:v>
      </ns0:c>
      <ns0:c r="M1014" t="n">
        <ns0:v>13234</ns0:v>
      </ns0:c>
      <ns0:c r="N1014" t="n">
        <ns0:v>244</ns0:v>
      </ns0:c>
      <ns0:c r="O1014" t="n">
        <ns0:v>13478</ns0:v>
      </ns0:c>
      <ns0:c r="P1014" t="n">
        <ns0:v>2</ns0:v>
      </ns0:c>
      <ns0:c r="Q1014">
        <ns0:f>IF(AND(L1014=1,O1014*Calculations!$B$2&lt;=Calculations!$B$10*Calculations!$B$4),1,0)</ns0:f>
        <ns0:v>1</ns0:v>
      </ns0:c>
      <ns0:c r="R1014">
        <ns0:f>IF(AND(L1014=1,O1014*Calculations!$B$2&lt;=Calculations!$B$11*Calculations!$B$4),1,0)</ns0:f>
        <ns0:v>1</ns0:v>
      </ns0:c>
    </ns0:row>
    <ns0:row r="1015">
      <ns0:c r="A1015" t="inlineStr">
        <ns0:is>
          <ns0:t>case_1014</ns0:t>
        </ns0:is>
      </ns0:c>
      <ns0:c r="B1015" t="inlineStr">
        <ns0:is>
          <ns0:t>function_0196</ns0:t>
        </ns0:is>
      </ns0:c>
      <ns0:c r="C1015" t="inlineStr">
        <ns0:is>
          <ns0:t>run_011</ns0:t>
        </ns0:is>
      </ns0:c>
      <ns0:c r="D1015" t="inlineStr">
        <ns0:is>
          <ns0:t>log</ns0:t>
        </ns0:is>
      </ns0:c>
      <ns0:c r="E1015" t="inlineStr">
        <ns0:is>
          <ns0:t>gemini-2.5-flash-nothinking</ns0:t>
        </ns0:is>
      </ns0:c>
      <ns0:c r="F1015" t="inlineStr">
        <ns0:is>
          <ns0:t>E0433</ns0:t>
        </ns0:is>
      </ns0:c>
      <ns0:c r="G1015" t="n">
        <ns0:v>0</ns0:v>
      </ns0:c>
      <ns0:c r="H1015" t="n">
        <ns0:v>5880</ns0:v>
      </ns0:c>
      <ns0:c r="I1015" t="n">
        <ns0:v>162</ns0:v>
      </ns0:c>
      <ns0:c r="J1015" t="n">
        <ns0:v>6042</ns0:v>
      </ns0:c>
      <ns0:c r="K1015" t="n">
        <ns0:v>3</ns0:v>
      </ns0:c>
      <ns0:c r="L1015" t="n">
        <ns0:v>1</ns0:v>
      </ns0:c>
      <ns0:c r="M1015" t="n">
        <ns0:v>21350</ns0:v>
      </ns0:c>
      <ns0:c r="N1015" t="n">
        <ns0:v>261</ns0:v>
      </ns0:c>
      <ns0:c r="O1015" t="n">
        <ns0:v>21611</ns0:v>
      </ns0:c>
      <ns0:c r="P1015" t="n">
        <ns0:v>3</ns0:v>
      </ns0:c>
      <ns0:c r="Q1015">
        <ns0:f>IF(AND(L1015=1,O1015*Calculations!$B$2&lt;=Calculations!$B$10*Calculations!$B$4),1,0)</ns0:f>
        <ns0:v>1</ns0:v>
      </ns0:c>
      <ns0:c r="R1015">
        <ns0:f>IF(AND(L1015=1,O1015*Calculations!$B$2&lt;=Calculations!$B$11*Calculations!$B$4),1,0)</ns0:f>
        <ns0:v>1</ns0:v>
      </ns0:c>
    </ns0:row>
    <ns0:row r="1016">
      <ns0:c r="A1016" t="inlineStr">
        <ns0:is>
          <ns0:t>case_1015</ns0:t>
        </ns0:is>
      </ns0:c>
      <ns0:c r="B1016" t="inlineStr">
        <ns0:is>
          <ns0:t>function_0197</ns0:t>
        </ns0:is>
      </ns0:c>
      <ns0:c r="C1016" t="inlineStr">
        <ns0:is>
          <ns0:t>run_011</ns0:t>
        </ns0:is>
      </ns0:c>
      <ns0:c r="D1016" t="inlineStr">
        <ns0:is>
          <ns0:t>log</ns0:t>
        </ns0:is>
      </ns0:c>
      <ns0:c r="E1016" t="inlineStr">
        <ns0:is>
          <ns0:t>gemini-2.5-flash-nothinking</ns0:t>
        </ns0:is>
      </ns0:c>
      <ns0:c r="F1016" t="inlineStr">
        <ns0:is>
          <ns0:t>E0433</ns0:t>
        </ns0:is>
      </ns0:c>
      <ns0:c r="G1016" t="n">
        <ns0:v>0</ns0:v>
      </ns0:c>
      <ns0:c r="H1016" t="n">
        <ns0:v>5921</ns0:v>
      </ns0:c>
      <ns0:c r="I1016" t="n">
        <ns0:v>186</ns0:v>
      </ns0:c>
      <ns0:c r="J1016" t="n">
        <ns0:v>6107</ns0:v>
      </ns0:c>
      <ns0:c r="K1016" t="n">
        <ns0:v>3</ns0:v>
      </ns0:c>
      <ns0:c r="L1016" t="n">
        <ns0:v>1</ns0:v>
      </ns0:c>
      <ns0:c r="M1016" t="n">
        <ns0:v>20163</ns0:v>
      </ns0:c>
      <ns0:c r="N1016" t="n">
        <ns0:v>317</ns0:v>
      </ns0:c>
      <ns0:c r="O1016" t="n">
        <ns0:v>20480</ns0:v>
      </ns0:c>
      <ns0:c r="P1016" t="n">
        <ns0:v>3</ns0:v>
      </ns0:c>
      <ns0:c r="Q1016">
        <ns0:f>IF(AND(L1016=1,O1016*Calculations!$B$2&lt;=Calculations!$B$10*Calculations!$B$4),1,0)</ns0:f>
        <ns0:v>1</ns0:v>
      </ns0:c>
      <ns0:c r="R1016">
        <ns0:f>IF(AND(L1016=1,O1016*Calculations!$B$2&lt;=Calculations!$B$11*Calculations!$B$4),1,0)</ns0:f>
        <ns0:v>1</ns0:v>
      </ns0:c>
    </ns0:row>
    <ns0:row r="1017">
      <ns0:c r="A1017" t="inlineStr">
        <ns0:is>
          <ns0:t>case_1016</ns0:t>
        </ns0:is>
      </ns0:c>
      <ns0:c r="B1017" t="inlineStr">
        <ns0:is>
          <ns0:t>function_0197</ns0:t>
        </ns0:is>
      </ns0:c>
      <ns0:c r="C1017" t="inlineStr">
        <ns0:is>
          <ns0:t>run_011</ns0:t>
        </ns0:is>
      </ns0:c>
      <ns0:c r="D1017" t="inlineStr">
        <ns0:is>
          <ns0:t>log</ns0:t>
        </ns0:is>
      </ns0:c>
      <ns0:c r="E1017" t="inlineStr">
        <ns0:is>
          <ns0:t>gemini-2.5-flash-nothinking</ns0:t>
        </ns0:is>
      </ns0:c>
      <ns0:c r="F1017" t="inlineStr">
        <ns0:is>
          <ns0:t>E0432,E0433</ns0:t>
        </ns0:is>
      </ns0:c>
      <ns0:c r="G1017" t="n">
        <ns0:v>0</ns0:v>
      </ns0:c>
      <ns0:c r="H1017" t="n">
        <ns0:v>6703</ns0:v>
      </ns0:c>
      <ns0:c r="I1017" t="n">
        <ns0:v>750</ns0:v>
      </ns0:c>
      <ns0:c r="J1017" t="n">
        <ns0:v>7453</ns0:v>
      </ns0:c>
      <ns0:c r="K1017" t="n">
        <ns0:v>3</ns0:v>
      </ns0:c>
      <ns0:c r="L1017" t="n">
        <ns0:v>1</ns0:v>
      </ns0:c>
      <ns0:c r="M1017" t="n">
        <ns0:v>59169</ns0:v>
      </ns0:c>
      <ns0:c r="N1017" t="n">
        <ns0:v>738</ns0:v>
      </ns0:c>
      <ns0:c r="O1017" t="n">
        <ns0:v>59907</ns0:v>
      </ns0:c>
      <ns0:c r="P1017" t="n">
        <ns0:v>8</ns0:v>
      </ns0:c>
      <ns0:c r="Q1017">
        <ns0:f>IF(AND(L1017=1,O1017*Calculations!$B$2&lt;=Calculations!$B$10*Calculations!$B$4),1,0)</ns0:f>
        <ns0:v>0</ns0:v>
      </ns0:c>
      <ns0:c r="R1017">
        <ns0:f>IF(AND(L1017=1,O1017*Calculations!$B$2&lt;=Calculations!$B$11*Calculations!$B$4),1,0)</ns0:f>
        <ns0:v>0</ns0:v>
      </ns0:c>
    </ns0:row>
    <ns0:row r="1018">
      <ns0:c r="A1018" t="inlineStr">
        <ns0:is>
          <ns0:t>case_1017</ns0:t>
        </ns0:is>
      </ns0:c>
      <ns0:c r="B1018" t="inlineStr">
        <ns0:is>
          <ns0:t>function_0198</ns0:t>
        </ns0:is>
      </ns0:c>
      <ns0:c r="C1018" t="inlineStr">
        <ns0:is>
          <ns0:t>run_011</ns0:t>
        </ns0:is>
      </ns0:c>
      <ns0:c r="D1018" t="inlineStr">
        <ns0:is>
          <ns0:t>log</ns0:t>
        </ns0:is>
      </ns0:c>
      <ns0:c r="E1018" t="inlineStr">
        <ns0:is>
          <ns0:t>gemini-2.5-flash-nothinking</ns0:t>
        </ns0:is>
      </ns0:c>
      <ns0:c r="F1018" t="inlineStr">
        <ns0:is>
          <ns0:t>E0433</ns0:t>
        </ns0:is>
      </ns0:c>
      <ns0:c r="G1018" t="n">
        <ns0:v>0</ns0:v>
      </ns0:c>
      <ns0:c r="H1018" t="n">
        <ns0:v>6616</ns0:v>
      </ns0:c>
      <ns0:c r="I1018" t="n">
        <ns0:v>564</ns0:v>
      </ns0:c>
      <ns0:c r="J1018" t="n">
        <ns0:v>7180</ns0:v>
      </ns0:c>
      <ns0:c r="K1018" t="n">
        <ns0:v>3</ns0:v>
      </ns0:c>
      <ns0:c r="L1018" t="n">
        <ns0:v>1</ns0:v>
      </ns0:c>
      <ns0:c r="M1018" t="n">
        <ns0:v>20563</ns0:v>
      </ns0:c>
      <ns0:c r="N1018" t="n">
        <ns0:v>119</ns0:v>
      </ns0:c>
      <ns0:c r="O1018" t="n">
        <ns0:v>20682</ns0:v>
      </ns0:c>
      <ns0:c r="P1018" t="n">
        <ns0:v>3</ns0:v>
      </ns0:c>
      <ns0:c r="Q1018">
        <ns0:f>IF(AND(L1018=1,O1018*Calculations!$B$2&lt;=Calculations!$B$10*Calculations!$B$4),1,0)</ns0:f>
        <ns0:v>1</ns0:v>
      </ns0:c>
      <ns0:c r="R1018">
        <ns0:f>IF(AND(L1018=1,O1018*Calculations!$B$2&lt;=Calculations!$B$11*Calculations!$B$4),1,0)</ns0:f>
        <ns0:v>1</ns0:v>
      </ns0:c>
    </ns0:row>
    <ns0:row r="1019">
      <ns0:c r="A1019" t="inlineStr">
        <ns0:is>
          <ns0:t>case_1018</ns0:t>
        </ns0:is>
      </ns0:c>
      <ns0:c r="B1019" t="inlineStr">
        <ns0:is>
          <ns0:t>function_0199</ns0:t>
        </ns0:is>
      </ns0:c>
      <ns0:c r="C1019" t="inlineStr">
        <ns0:is>
          <ns0:t>run_011</ns0:t>
        </ns0:is>
      </ns0:c>
      <ns0:c r="D1019" t="inlineStr">
        <ns0:is>
          <ns0:t>log</ns0:t>
        </ns0:is>
      </ns0:c>
      <ns0:c r="E1019" t="inlineStr">
        <ns0:is>
          <ns0:t>gemini-2.5-flash-nothinking</ns0:t>
        </ns0:is>
      </ns0:c>
      <ns0:c r="F1019" t="inlineStr">
        <ns0:is>
          <ns0:t>E0308,E0599</ns0:t>
        </ns0:is>
      </ns0:c>
      <ns0:c r="G1019" t="n">
        <ns0:v>0</ns0:v>
      </ns0:c>
      <ns0:c r="H1019" t="n">
        <ns0:v>8523</ns0:v>
      </ns0:c>
      <ns0:c r="I1019" t="n">
        <ns0:v>310</ns0:v>
      </ns0:c>
      <ns0:c r="J1019" t="n">
        <ns0:v>8833</ns0:v>
      </ns0:c>
      <ns0:c r="K1019" t="n">
        <ns0:v>3</ns0:v>
      </ns0:c>
      <ns0:c r="L1019" t="n">
        <ns0:v>1</ns0:v>
      </ns0:c>
      <ns0:c r="M1019" t="n">
        <ns0:v>107265</ns0:v>
      </ns0:c>
      <ns0:c r="N1019" t="n">
        <ns0:v>1583</ns0:v>
      </ns0:c>
      <ns0:c r="O1019" t="n">
        <ns0:v>108848</ns0:v>
      </ns0:c>
      <ns0:c r="P1019" t="n">
        <ns0:v>12</ns0:v>
      </ns0:c>
      <ns0:c r="Q1019">
        <ns0:f>IF(AND(L1019=1,O1019*Calculations!$B$2&lt;=Calculations!$B$10*Calculations!$B$4),1,0)</ns0:f>
        <ns0:v>0</ns0:v>
      </ns0:c>
      <ns0:c r="R1019">
        <ns0:f>IF(AND(L1019=1,O1019*Calculations!$B$2&lt;=Calculations!$B$11*Calculations!$B$4),1,0)</ns0:f>
        <ns0:v>0</ns0:v>
      </ns0:c>
    </ns0:row>
    <ns0:row r="1020">
      <ns0:c r="A1020" t="inlineStr">
        <ns0:is>
          <ns0:t>case_1019</ns0:t>
        </ns0:is>
      </ns0:c>
      <ns0:c r="B1020" t="inlineStr">
        <ns0:is>
          <ns0:t>function_0199</ns0:t>
        </ns0:is>
      </ns0:c>
      <ns0:c r="C1020" t="inlineStr">
        <ns0:is>
          <ns0:t>run_011</ns0:t>
        </ns0:is>
      </ns0:c>
      <ns0:c r="D1020" t="inlineStr">
        <ns0:is>
          <ns0:t>log</ns0:t>
        </ns0:is>
      </ns0:c>
      <ns0:c r="E1020" t="inlineStr">
        <ns0:is>
          <ns0:t>gemini-2.5-flash-nothinking</ns0:t>
        </ns0:is>
      </ns0:c>
      <ns0:c r="F1020" t="inlineStr">
        <ns0:is>
          <ns0:t>E0432,E0433</ns0:t>
        </ns0:is>
      </ns0:c>
      <ns0:c r="G1020" t="n">
        <ns0:v>1</ns0:v>
      </ns0:c>
      <ns0:c r="H1020" t="n">
        <ns0:v>0</ns0:v>
      </ns0:c>
      <ns0:c r="I1020" t="n">
        <ns0:v>0</ns0:v>
      </ns0:c>
      <ns0:c r="J1020" t="n">
        <ns0:v>0</ns0:v>
      </ns0:c>
      <ns0:c r="K1020" t="n">
        <ns0:v>0</ns0:v>
      </ns0:c>
      <ns0:c r="L1020" t="n">
        <ns0:v>0</ns0:v>
      </ns0:c>
      <ns0:c r="M1020" t="n">
        <ns0:v>163454</ns0:v>
      </ns0:c>
      <ns0:c r="N1020" t="n">
        <ns0:v>1790</ns0:v>
      </ns0:c>
      <ns0:c r="O1020" t="n">
        <ns0:v>165244</ns0:v>
      </ns0:c>
      <ns0:c r="P1020" t="n">
        <ns0:v>20</ns0:v>
      </ns0:c>
      <ns0:c r="Q1020">
        <ns0:f>IF(AND(L1020=1,O1020*Calculations!$B$2&lt;=Calculations!$B$10*Calculations!$B$4),1,0)</ns0:f>
        <ns0:v>0</ns0:v>
      </ns0:c>
      <ns0:c r="R1020">
        <ns0:f>IF(AND(L1020=1,O1020*Calculations!$B$2&lt;=Calculations!$B$11*Calculations!$B$4),1,0)</ns0:f>
        <ns0:v>0</ns0:v>
      </ns0:c>
    </ns0:row>
    <ns0:row r="1021">
      <ns0:c r="A1021" t="inlineStr">
        <ns0:is>
          <ns0:t>case_1020</ns0:t>
        </ns0:is>
      </ns0:c>
      <ns0:c r="B1021" t="inlineStr">
        <ns0:is>
          <ns0:t>function_0200</ns0:t>
        </ns0:is>
      </ns0:c>
      <ns0:c r="C1021" t="inlineStr">
        <ns0:is>
          <ns0:t>run_011</ns0:t>
        </ns0:is>
      </ns0:c>
      <ns0:c r="D1021" t="inlineStr">
        <ns0:is>
          <ns0:t>log</ns0:t>
        </ns0:is>
      </ns0:c>
      <ns0:c r="E1021" t="inlineStr">
        <ns0:is>
          <ns0:t>gemini-2.5-flash-nothinking</ns0:t>
        </ns0:is>
      </ns0:c>
      <ns0:c r="F1021" t="inlineStr">
        <ns0:is>
          <ns0:t>E0432</ns0:t>
        </ns0:is>
      </ns0:c>
      <ns0:c r="G1021" t="n">
        <ns0:v>1</ns0:v>
      </ns0:c>
      <ns0:c r="H1021" t="n">
        <ns0:v>0</ns0:v>
      </ns0:c>
      <ns0:c r="I1021" t="n">
        <ns0:v>0</ns0:v>
      </ns0:c>
      <ns0:c r="J1021" t="n">
        <ns0:v>0</ns0:v>
      </ns0:c>
      <ns0:c r="K1021" t="n">
        <ns0:v>0</ns0:v>
      </ns0:c>
      <ns0:c r="L1021" t="n">
        <ns0:v>1</ns0:v>
      </ns0:c>
      <ns0:c r="M1021" t="n">
        <ns0:v>51869</ns0:v>
      </ns0:c>
      <ns0:c r="N1021" t="n">
        <ns0:v>1202</ns0:v>
      </ns0:c>
      <ns0:c r="O1021" t="n">
        <ns0:v>53071</ns0:v>
      </ns0:c>
      <ns0:c r="P1021" t="n">
        <ns0:v>7</ns0:v>
      </ns0:c>
      <ns0:c r="Q1021">
        <ns0:f>IF(AND(L1021=1,O1021*Calculations!$B$2&lt;=Calculations!$B$10*Calculations!$B$4),1,0)</ns0:f>
        <ns0:v>0</ns0:v>
      </ns0:c>
      <ns0:c r="R1021">
        <ns0:f>IF(AND(L1021=1,O1021*Calculations!$B$2&lt;=Calculations!$B$11*Calculations!$B$4),1,0)</ns0:f>
        <ns0:v>0</ns0:v>
      </ns0:c>
    </ns0:row>
    <ns0:row r="1022">
      <ns0:c r="A1022" t="inlineStr">
        <ns0:is>
          <ns0:t>case_1021</ns0:t>
        </ns0:is>
      </ns0:c>
      <ns0:c r="B1022" t="inlineStr">
        <ns0:is>
          <ns0:t>function_0201</ns0:t>
        </ns0:is>
      </ns0:c>
      <ns0:c r="C1022" t="inlineStr">
        <ns0:is>
          <ns0:t>run_011</ns0:t>
        </ns0:is>
      </ns0:c>
      <ns0:c r="D1022" t="inlineStr">
        <ns0:is>
          <ns0:t>log</ns0:t>
        </ns0:is>
      </ns0:c>
      <ns0:c r="E1022" t="inlineStr">
        <ns0:is>
          <ns0:t>gemini-2.5-flash-nothinking</ns0:t>
        </ns0:is>
      </ns0:c>
      <ns0:c r="F1022" t="inlineStr">
        <ns0:is>
          <ns0:t>E0599</ns0:t>
        </ns0:is>
      </ns0:c>
      <ns0:c r="G1022" t="n">
        <ns0:v>1</ns0:v>
      </ns0:c>
      <ns0:c r="H1022" t="n">
        <ns0:v>6024</ns0:v>
      </ns0:c>
      <ns0:c r="I1022" t="n">
        <ns0:v>159</ns0:v>
      </ns0:c>
      <ns0:c r="J1022" t="n">
        <ns0:v>6183</ns0:v>
      </ns0:c>
      <ns0:c r="K1022" t="n">
        <ns0:v>3</ns0:v>
      </ns0:c>
      <ns0:c r="L1022" t="n">
        <ns0:v>1</ns0:v>
      </ns0:c>
      <ns0:c r="M1022" t="n">
        <ns0:v>174855</ns0:v>
      </ns0:c>
      <ns0:c r="N1022" t="n">
        <ns0:v>1756</ns0:v>
      </ns0:c>
      <ns0:c r="O1022" t="n">
        <ns0:v>176611</ns0:v>
      </ns0:c>
      <ns0:c r="P1022" t="n">
        <ns0:v>20</ns0:v>
      </ns0:c>
      <ns0:c r="Q1022">
        <ns0:f>IF(AND(L1022=1,O1022*Calculations!$B$2&lt;=Calculations!$B$10*Calculations!$B$4),1,0)</ns0:f>
        <ns0:v>0</ns0:v>
      </ns0:c>
      <ns0:c r="R1022">
        <ns0:f>IF(AND(L1022=1,O1022*Calculations!$B$2&lt;=Calculations!$B$11*Calculations!$B$4),1,0)</ns0:f>
        <ns0:v>0</ns0:v>
      </ns0:c>
    </ns0:row>
    <ns0:row r="1023">
      <ns0:c r="A1023" t="inlineStr">
        <ns0:is>
          <ns0:t>case_1022</ns0:t>
        </ns0:is>
      </ns0:c>
      <ns0:c r="B1023" t="inlineStr">
        <ns0:is>
          <ns0:t>function_0202</ns0:t>
        </ns0:is>
      </ns0:c>
      <ns0:c r="C1023" t="inlineStr">
        <ns0:is>
          <ns0:t>run_011</ns0:t>
        </ns0:is>
      </ns0:c>
      <ns0:c r="D1023" t="inlineStr">
        <ns0:is>
          <ns0:t>log</ns0:t>
        </ns0:is>
      </ns0:c>
      <ns0:c r="E1023" t="inlineStr">
        <ns0:is>
          <ns0:t>gemini-2.5-flash-nothinking</ns0:t>
        </ns0:is>
      </ns0:c>
      <ns0:c r="F1023" t="inlineStr">
        <ns0:is>
          <ns0:t>E0061,E0432,E0599</ns0:t>
        </ns0:is>
      </ns0:c>
      <ns0:c r="G1023" t="n">
        <ns0:v>0</ns0:v>
      </ns0:c>
      <ns0:c r="H1023" t="n">
        <ns0:v>7137</ns0:v>
      </ns0:c>
      <ns0:c r="I1023" t="n">
        <ns0:v>171</ns0:v>
      </ns0:c>
      <ns0:c r="J1023" t="n">
        <ns0:v>7308</ns0:v>
      </ns0:c>
      <ns0:c r="K1023" t="n">
        <ns0:v>3</ns0:v>
      </ns0:c>
      <ns0:c r="L1023" t="n">
        <ns0:v>0</ns0:v>
      </ns0:c>
      <ns0:c r="M1023" t="n">
        <ns0:v>196713</ns0:v>
      </ns0:c>
      <ns0:c r="N1023" t="n">
        <ns0:v>3255</ns0:v>
      </ns0:c>
      <ns0:c r="O1023" t="n">
        <ns0:v>199968</ns0:v>
      </ns0:c>
      <ns0:c r="P1023" t="n">
        <ns0:v>21</ns0:v>
      </ns0:c>
      <ns0:c r="Q1023">
        <ns0:f>IF(AND(L1023=1,O1023*Calculations!$B$2&lt;=Calculations!$B$10*Calculations!$B$4),1,0)</ns0:f>
        <ns0:v>0</ns0:v>
      </ns0:c>
      <ns0:c r="R1023">
        <ns0:f>IF(AND(L1023=1,O1023*Calculations!$B$2&lt;=Calculations!$B$11*Calculations!$B$4),1,0)</ns0:f>
        <ns0:v>0</ns0:v>
      </ns0:c>
    </ns0:row>
    <ns0:row r="1024">
      <ns0:c r="A1024" t="inlineStr">
        <ns0:is>
          <ns0:t>case_1023</ns0:t>
        </ns0:is>
      </ns0:c>
      <ns0:c r="B1024" t="inlineStr">
        <ns0:is>
          <ns0:t>function_0202</ns0:t>
        </ns0:is>
      </ns0:c>
      <ns0:c r="C1024" t="inlineStr">
        <ns0:is>
          <ns0:t>run_011</ns0:t>
        </ns0:is>
      </ns0:c>
      <ns0:c r="D1024" t="inlineStr">
        <ns0:is>
          <ns0:t>log</ns0:t>
        </ns0:is>
      </ns0:c>
      <ns0:c r="E1024" t="inlineStr">
        <ns0:is>
          <ns0:t>gemini-2.5-flash-nothinking</ns0:t>
        </ns0:is>
      </ns0:c>
      <ns0:c r="F1024" t="inlineStr">
        <ns0:is>
          <ns0:t>E0061,E0308</ns0:t>
        </ns0:is>
      </ns0:c>
      <ns0:c r="G1024" t="n">
        <ns0:v>1</ns0:v>
      </ns0:c>
      <ns0:c r="H1024" t="n">
        <ns0:v>2720</ns0:v>
      </ns0:c>
      <ns0:c r="I1024" t="n">
        <ns0:v>47</ns0:v>
      </ns0:c>
      <ns0:c r="J1024" t="n">
        <ns0:v>2767</ns0:v>
      </ns0:c>
      <ns0:c r="K1024" t="n">
        <ns0:v>1</ns0:v>
      </ns0:c>
      <ns0:c r="L1024" t="n">
        <ns0:v>1</ns0:v>
      </ns0:c>
      <ns0:c r="M1024" t="n">
        <ns0:v>60891</ns0:v>
      </ns0:c>
      <ns0:c r="N1024" t="n">
        <ns0:v>3432</ns0:v>
      </ns0:c>
      <ns0:c r="O1024" t="n">
        <ns0:v>64323</ns0:v>
      </ns0:c>
      <ns0:c r="P1024" t="n">
        <ns0:v>8</ns0:v>
      </ns0:c>
      <ns0:c r="Q1024">
        <ns0:f>IF(AND(L1024=1,O1024*Calculations!$B$2&lt;=Calculations!$B$10*Calculations!$B$4),1,0)</ns0:f>
        <ns0:v>0</ns0:v>
      </ns0:c>
      <ns0:c r="R1024">
        <ns0:f>IF(AND(L1024=1,O1024*Calculations!$B$2&lt;=Calculations!$B$11*Calculations!$B$4),1,0)</ns0:f>
        <ns0:v>0</ns0:v>
      </ns0:c>
    </ns0:row>
    <ns0:row r="1025">
      <ns0:c r="A1025" t="inlineStr">
        <ns0:is>
          <ns0:t>case_1024</ns0:t>
        </ns0:is>
      </ns0:c>
      <ns0:c r="B1025" t="inlineStr">
        <ns0:is>
          <ns0:t>function_0202</ns0:t>
        </ns0:is>
      </ns0:c>
      <ns0:c r="C1025" t="inlineStr">
        <ns0:is>
          <ns0:t>run_011</ns0:t>
        </ns0:is>
      </ns0:c>
      <ns0:c r="D1025" t="inlineStr">
        <ns0:is>
          <ns0:t>log</ns0:t>
        </ns0:is>
      </ns0:c>
      <ns0:c r="E1025" t="inlineStr">
        <ns0:is>
          <ns0:t>gemini-2.5-flash-nothinking</ns0:t>
        </ns0:is>
      </ns0:c>
      <ns0:c r="F1025" t="inlineStr">
        <ns0:is>
          <ns0:t>E0560</ns0:t>
        </ns0:is>
      </ns0:c>
      <ns0:c r="G1025" t="n">
        <ns0:v>1</ns0:v>
      </ns0:c>
      <ns0:c r="H1025" t="n">
        <ns0:v>2617</ns0:v>
      </ns0:c>
      <ns0:c r="I1025" t="n">
        <ns0:v>71</ns0:v>
      </ns0:c>
      <ns0:c r="J1025" t="n">
        <ns0:v>2688</ns0:v>
      </ns0:c>
      <ns0:c r="K1025" t="n">
        <ns0:v>1</ns0:v>
      </ns0:c>
      <ns0:c r="L1025" t="n">
        <ns0:v>1</ns0:v>
      </ns0:c>
      <ns0:c r="M1025" t="n">
        <ns0:v>534102</ns0:v>
      </ns0:c>
      <ns0:c r="N1025" t="n">
        <ns0:v>2366</ns0:v>
      </ns0:c>
      <ns0:c r="O1025" t="n">
        <ns0:v>536468</ns0:v>
      </ns0:c>
      <ns0:c r="P1025" t="n">
        <ns0:v>16</ns0:v>
      </ns0:c>
      <ns0:c r="Q1025">
        <ns0:f>IF(AND(L1025=1,O1025*Calculations!$B$2&lt;=Calculations!$B$10*Calculations!$B$4),1,0)</ns0:f>
        <ns0:v>0</ns0:v>
      </ns0:c>
      <ns0:c r="R1025">
        <ns0:f>IF(AND(L1025=1,O1025*Calculations!$B$2&lt;=Calculations!$B$11*Calculations!$B$4),1,0)</ns0:f>
        <ns0:v>0</ns0:v>
      </ns0:c>
    </ns0:row>
    <ns0:row r="1026">
      <ns0:c r="A1026" t="inlineStr">
        <ns0:is>
          <ns0:t>case_1025</ns0:t>
        </ns0:is>
      </ns0:c>
      <ns0:c r="B1026" t="inlineStr">
        <ns0:is>
          <ns0:t>function_0202</ns0:t>
        </ns0:is>
      </ns0:c>
      <ns0:c r="C1026" t="inlineStr">
        <ns0:is>
          <ns0:t>run_011</ns0:t>
        </ns0:is>
      </ns0:c>
      <ns0:c r="D1026" t="inlineStr">
        <ns0:is>
          <ns0:t>log</ns0:t>
        </ns0:is>
      </ns0:c>
      <ns0:c r="E1026" t="inlineStr">
        <ns0:is>
          <ns0:t>gemini-2.5-flash-nothinking</ns0:t>
        </ns0:is>
      </ns0:c>
      <ns0:c r="F1026" t="inlineStr">
        <ns0:is>
          <ns0:t>E0061,E0308</ns0:t>
        </ns0:is>
      </ns0:c>
      <ns0:c r="G1026" t="n">
        <ns0:v>1</ns0:v>
      </ns0:c>
      <ns0:c r="H1026" t="n">
        <ns0:v>2721</ns0:v>
      </ns0:c>
      <ns0:c r="I1026" t="n">
        <ns0:v>54</ns0:v>
      </ns0:c>
      <ns0:c r="J1026" t="n">
        <ns0:v>2775</ns0:v>
      </ns0:c>
      <ns0:c r="K1026" t="n">
        <ns0:v>1</ns0:v>
      </ns0:c>
      <ns0:c r="L1026" t="n">
        <ns0:v>1</ns0:v>
      </ns0:c>
      <ns0:c r="M1026" t="n">
        <ns0:v>77867</ns0:v>
      </ns0:c>
      <ns0:c r="N1026" t="n">
        <ns0:v>2289</ns0:v>
      </ns0:c>
      <ns0:c r="O1026" t="n">
        <ns0:v>80156</ns0:v>
      </ns0:c>
      <ns0:c r="P1026" t="n">
        <ns0:v>10</ns0:v>
      </ns0:c>
      <ns0:c r="Q1026">
        <ns0:f>IF(AND(L1026=1,O1026*Calculations!$B$2&lt;=Calculations!$B$10*Calculations!$B$4),1,0)</ns0:f>
        <ns0:v>0</ns0:v>
      </ns0:c>
      <ns0:c r="R1026">
        <ns0:f>IF(AND(L1026=1,O1026*Calculations!$B$2&lt;=Calculations!$B$11*Calculations!$B$4),1,0)</ns0:f>
        <ns0:v>0</ns0:v>
      </ns0:c>
    </ns0:row>
    <ns0:row r="1027">
      <ns0:c r="A1027" t="inlineStr">
        <ns0:is>
          <ns0:t>case_1026</ns0:t>
        </ns0:is>
      </ns0:c>
      <ns0:c r="B1027" t="inlineStr">
        <ns0:is>
          <ns0:t>function_0203</ns0:t>
        </ns0:is>
      </ns0:c>
      <ns0:c r="C1027" t="inlineStr">
        <ns0:is>
          <ns0:t>run_011</ns0:t>
        </ns0:is>
      </ns0:c>
      <ns0:c r="D1027" t="inlineStr">
        <ns0:is>
          <ns0:t>log</ns0:t>
        </ns0:is>
      </ns0:c>
      <ns0:c r="E1027" t="inlineStr">
        <ns0:is>
          <ns0:t>gemini-2.5-flash-nothinking</ns0:t>
        </ns0:is>
      </ns0:c>
      <ns0:c r="F1027" t="inlineStr">
        <ns0:is>
          <ns0:t>E0560</ns0:t>
        </ns0:is>
      </ns0:c>
      <ns0:c r="G1027" t="n">
        <ns0:v>1</ns0:v>
      </ns0:c>
      <ns0:c r="H1027" t="n">
        <ns0:v>2643</ns0:v>
      </ns0:c>
      <ns0:c r="I1027" t="n">
        <ns0:v>92</ns0:v>
      </ns0:c>
      <ns0:c r="J1027" t="n">
        <ns0:v>2735</ns0:v>
      </ns0:c>
      <ns0:c r="K1027" t="n">
        <ns0:v>1</ns0:v>
      </ns0:c>
      <ns0:c r="L1027" t="n">
        <ns0:v>1</ns0:v>
      </ns0:c>
      <ns0:c r="M1027" t="n">
        <ns0:v>108300</ns0:v>
      </ns0:c>
      <ns0:c r="N1027" t="n">
        <ns0:v>787</ns0:v>
      </ns0:c>
      <ns0:c r="O1027" t="n">
        <ns0:v>109087</ns0:v>
      </ns0:c>
      <ns0:c r="P1027" t="n">
        <ns0:v>4</ns0:v>
      </ns0:c>
      <ns0:c r="Q1027">
        <ns0:f>IF(AND(L1027=1,O1027*Calculations!$B$2&lt;=Calculations!$B$10*Calculations!$B$4),1,0)</ns0:f>
        <ns0:v>0</ns0:v>
      </ns0:c>
      <ns0:c r="R1027">
        <ns0:f>IF(AND(L1027=1,O1027*Calculations!$B$2&lt;=Calculations!$B$11*Calculations!$B$4),1,0)</ns0:f>
        <ns0:v>0</ns0:v>
      </ns0:c>
    </ns0:row>
    <ns0:row r="1028">
      <ns0:c r="A1028" t="inlineStr">
        <ns0:is>
          <ns0:t>case_1027</ns0:t>
        </ns0:is>
      </ns0:c>
      <ns0:c r="B1028" t="inlineStr">
        <ns0:is>
          <ns0:t>function_0203</ns0:t>
        </ns0:is>
      </ns0:c>
      <ns0:c r="C1028" t="inlineStr">
        <ns0:is>
          <ns0:t>run_011</ns0:t>
        </ns0:is>
      </ns0:c>
      <ns0:c r="D1028" t="inlineStr">
        <ns0:is>
          <ns0:t>log</ns0:t>
        </ns0:is>
      </ns0:c>
      <ns0:c r="E1028" t="inlineStr">
        <ns0:is>
          <ns0:t>gemini-2.5-flash-nothinking</ns0:t>
        </ns0:is>
      </ns0:c>
      <ns0:c r="F1028" t="inlineStr">
        <ns0:is>
          <ns0:t>E0599</ns0:t>
        </ns0:is>
      </ns0:c>
      <ns0:c r="G1028" t="n">
        <ns0:v>1</ns0:v>
      </ns0:c>
      <ns0:c r="H1028" t="n">
        <ns0:v>5559</ns0:v>
      </ns0:c>
      <ns0:c r="I1028" t="n">
        <ns0:v>432</ns0:v>
      </ns0:c>
      <ns0:c r="J1028" t="n">
        <ns0:v>5991</ns0:v>
      </ns0:c>
      <ns0:c r="K1028" t="n">
        <ns0:v>2</ns0:v>
      </ns0:c>
      <ns0:c r="L1028" t="n">
        <ns0:v>1</ns0:v>
      </ns0:c>
      <ns0:c r="M1028" t="n">
        <ns0:v>109139</ns0:v>
      </ns0:c>
      <ns0:c r="N1028" t="n">
        <ns0:v>617</ns0:v>
      </ns0:c>
      <ns0:c r="O1028" t="n">
        <ns0:v>109756</ns0:v>
      </ns0:c>
      <ns0:c r="P1028" t="n">
        <ns0:v>4</ns0:v>
      </ns0:c>
      <ns0:c r="Q1028">
        <ns0:f>IF(AND(L1028=1,O1028*Calculations!$B$2&lt;=Calculations!$B$10*Calculations!$B$4),1,0)</ns0:f>
        <ns0:v>0</ns0:v>
      </ns0:c>
      <ns0:c r="R1028">
        <ns0:f>IF(AND(L1028=1,O1028*Calculations!$B$2&lt;=Calculations!$B$11*Calculations!$B$4),1,0)</ns0:f>
        <ns0:v>0</ns0:v>
      </ns0:c>
    </ns0:row>
    <ns0:row r="1029">
      <ns0:c r="A1029" t="inlineStr">
        <ns0:is>
          <ns0:t>case_1028</ns0:t>
        </ns0:is>
      </ns0:c>
      <ns0:c r="B1029" t="inlineStr">
        <ns0:is>
          <ns0:t>function_0203</ns0:t>
        </ns0:is>
      </ns0:c>
      <ns0:c r="C1029" t="inlineStr">
        <ns0:is>
          <ns0:t>run_011</ns0:t>
        </ns0:is>
      </ns0:c>
      <ns0:c r="D1029" t="inlineStr">
        <ns0:is>
          <ns0:t>log</ns0:t>
        </ns0:is>
      </ns0:c>
      <ns0:c r="E1029" t="inlineStr">
        <ns0:is>
          <ns0:t>gemini-2.5-flash-nothinking</ns0:t>
        </ns0:is>
      </ns0:c>
      <ns0:c r="F1029" t="inlineStr">
        <ns0:is>
          <ns0:t>E0560</ns0:t>
        </ns0:is>
      </ns0:c>
      <ns0:c r="G1029" t="n">
        <ns0:v>1</ns0:v>
      </ns0:c>
      <ns0:c r="H1029" t="n">
        <ns0:v>2643</ns0:v>
      </ns0:c>
      <ns0:c r="I1029" t="n">
        <ns0:v>92</ns0:v>
      </ns0:c>
      <ns0:c r="J1029" t="n">
        <ns0:v>2735</ns0:v>
      </ns0:c>
      <ns0:c r="K1029" t="n">
        <ns0:v>1</ns0:v>
      </ns0:c>
      <ns0:c r="L1029" t="n">
        <ns0:v>1</ns0:v>
      </ns0:c>
      <ns0:c r="M1029" t="n">
        <ns0:v>177790</ns0:v>
      </ns0:c>
      <ns0:c r="N1029" t="n">
        <ns0:v>1300</ns0:v>
      </ns0:c>
      <ns0:c r="O1029" t="n">
        <ns0:v>179090</ns0:v>
      </ns0:c>
      <ns0:c r="P1029" t="n">
        <ns0:v>6</ns0:v>
      </ns0:c>
      <ns0:c r="Q1029">
        <ns0:f>IF(AND(L1029=1,O1029*Calculations!$B$2&lt;=Calculations!$B$10*Calculations!$B$4),1,0)</ns0:f>
        <ns0:v>0</ns0:v>
      </ns0:c>
      <ns0:c r="R1029">
        <ns0:f>IF(AND(L1029=1,O1029*Calculations!$B$2&lt;=Calculations!$B$11*Calculations!$B$4),1,0)</ns0:f>
        <ns0:v>0</ns0:v>
      </ns0:c>
    </ns0:row>
    <ns0:row r="1030">
      <ns0:c r="A1030" t="inlineStr">
        <ns0:is>
          <ns0:t>case_1029</ns0:t>
        </ns0:is>
      </ns0:c>
      <ns0:c r="B1030" t="inlineStr">
        <ns0:is>
          <ns0:t>function_0203</ns0:t>
        </ns0:is>
      </ns0:c>
      <ns0:c r="C1030" t="inlineStr">
        <ns0:is>
          <ns0:t>run_011</ns0:t>
        </ns0:is>
      </ns0:c>
      <ns0:c r="D1030" t="inlineStr">
        <ns0:is>
          <ns0:t>log</ns0:t>
        </ns0:is>
      </ns0:c>
      <ns0:c r="E1030" t="inlineStr">
        <ns0:is>
          <ns0:t>gemini-2.5-flash-nothinking</ns0:t>
        </ns0:is>
      </ns0:c>
      <ns0:c r="F1030" t="inlineStr">
        <ns0:is>
          <ns0:t>E0560</ns0:t>
        </ns0:is>
      </ns0:c>
      <ns0:c r="G1030" t="n">
        <ns0:v>1</ns0:v>
      </ns0:c>
      <ns0:c r="H1030" t="n">
        <ns0:v>2663</ns0:v>
      </ns0:c>
      <ns0:c r="I1030" t="n">
        <ns0:v>56</ns0:v>
      </ns0:c>
      <ns0:c r="J1030" t="n">
        <ns0:v>2719</ns0:v>
      </ns0:c>
      <ns0:c r="K1030" t="n">
        <ns0:v>1</ns0:v>
      </ns0:c>
      <ns0:c r="L1030" t="n">
        <ns0:v>1</ns0:v>
      </ns0:c>
      <ns0:c r="M1030" t="n">
        <ns0:v>29746</ns0:v>
      </ns0:c>
      <ns0:c r="N1030" t="n">
        <ns0:v>351</ns0:v>
      </ns0:c>
      <ns0:c r="O1030" t="n">
        <ns0:v>30097</ns0:v>
      </ns0:c>
      <ns0:c r="P1030" t="n">
        <ns0:v>4</ns0:v>
      </ns0:c>
      <ns0:c r="Q1030">
        <ns0:f>IF(AND(L1030=1,O1030*Calculations!$B$2&lt;=Calculations!$B$10*Calculations!$B$4),1,0)</ns0:f>
        <ns0:v>0</ns0:v>
      </ns0:c>
      <ns0:c r="R1030">
        <ns0:f>IF(AND(L1030=1,O1030*Calculations!$B$2&lt;=Calculations!$B$11*Calculations!$B$4),1,0)</ns0:f>
        <ns0:v>1</ns0:v>
      </ns0:c>
    </ns0:row>
    <ns0:row r="1031">
      <ns0:c r="A1031" t="inlineStr">
        <ns0:is>
          <ns0:t>case_1030</ns0:t>
        </ns0:is>
      </ns0:c>
      <ns0:c r="B1031" t="inlineStr">
        <ns0:is>
          <ns0:t>function_0204</ns0:t>
        </ns0:is>
      </ns0:c>
      <ns0:c r="C1031" t="inlineStr">
        <ns0:is>
          <ns0:t>run_011</ns0:t>
        </ns0:is>
      </ns0:c>
      <ns0:c r="D1031" t="inlineStr">
        <ns0:is>
          <ns0:t>log</ns0:t>
        </ns0:is>
      </ns0:c>
      <ns0:c r="E1031" t="inlineStr">
        <ns0:is>
          <ns0:t>gemini-2.5-flash-nothinking</ns0:t>
        </ns0:is>
      </ns0:c>
      <ns0:c r="F1031" t="inlineStr">
        <ns0:is>
          <ns0:t>E0432</ns0:t>
        </ns0:is>
      </ns0:c>
      <ns0:c r="G1031" t="n">
        <ns0:v>1</ns0:v>
      </ns0:c>
      <ns0:c r="H1031" t="n">
        <ns0:v>0</ns0:v>
      </ns0:c>
      <ns0:c r="I1031" t="n">
        <ns0:v>0</ns0:v>
      </ns0:c>
      <ns0:c r="J1031" t="n">
        <ns0:v>0</ns0:v>
      </ns0:c>
      <ns0:c r="K1031" t="n">
        <ns0:v>0</ns0:v>
      </ns0:c>
      <ns0:c r="L1031" t="n">
        <ns0:v>1</ns0:v>
      </ns0:c>
      <ns0:c r="M1031" t="n">
        <ns0:v>118325</ns0:v>
      </ns0:c>
      <ns0:c r="N1031" t="n">
        <ns0:v>809</ns0:v>
      </ns0:c>
      <ns0:c r="O1031" t="n">
        <ns0:v>119134</ns0:v>
      </ns0:c>
      <ns0:c r="P1031" t="n">
        <ns0:v>4</ns0:v>
      </ns0:c>
      <ns0:c r="Q1031">
        <ns0:f>IF(AND(L1031=1,O1031*Calculations!$B$2&lt;=Calculations!$B$10*Calculations!$B$4),1,0)</ns0:f>
        <ns0:v>0</ns0:v>
      </ns0:c>
      <ns0:c r="R1031">
        <ns0:f>IF(AND(L1031=1,O1031*Calculations!$B$2&lt;=Calculations!$B$11*Calculations!$B$4),1,0)</ns0:f>
        <ns0:v>0</ns0:v>
      </ns0:c>
    </ns0:row>
    <ns0:row r="1032">
      <ns0:c r="A1032" t="inlineStr">
        <ns0:is>
          <ns0:t>case_1031</ns0:t>
        </ns0:is>
      </ns0:c>
      <ns0:c r="B1032" t="inlineStr">
        <ns0:is>
          <ns0:t>function_0204</ns0:t>
        </ns0:is>
      </ns0:c>
      <ns0:c r="C1032" t="inlineStr">
        <ns0:is>
          <ns0:t>run_011</ns0:t>
        </ns0:is>
      </ns0:c>
      <ns0:c r="D1032" t="inlineStr">
        <ns0:is>
          <ns0:t>log</ns0:t>
        </ns0:is>
      </ns0:c>
      <ns0:c r="E1032" t="inlineStr">
        <ns0:is>
          <ns0:t>gemini-2.5-flash-nothinking</ns0:t>
        </ns0:is>
      </ns0:c>
      <ns0:c r="F1032" t="inlineStr">
        <ns0:is>
          <ns0:t>E0432</ns0:t>
        </ns0:is>
      </ns0:c>
      <ns0:c r="G1032" t="n">
        <ns0:v>1</ns0:v>
      </ns0:c>
      <ns0:c r="H1032" t="n">
        <ns0:v>0</ns0:v>
      </ns0:c>
      <ns0:c r="I1032" t="n">
        <ns0:v>0</ns0:v>
      </ns0:c>
      <ns0:c r="J1032" t="n">
        <ns0:v>0</ns0:v>
      </ns0:c>
      <ns0:c r="K1032" t="n">
        <ns0:v>0</ns0:v>
      </ns0:c>
      <ns0:c r="L1032" t="n">
        <ns0:v>1</ns0:v>
      </ns0:c>
      <ns0:c r="M1032" t="n">
        <ns0:v>107367</ns0:v>
      </ns0:c>
      <ns0:c r="N1032" t="n">
        <ns0:v>498</ns0:v>
      </ns0:c>
      <ns0:c r="O1032" t="n">
        <ns0:v>107865</ns0:v>
      </ns0:c>
      <ns0:c r="P1032" t="n">
        <ns0:v>4</ns0:v>
      </ns0:c>
      <ns0:c r="Q1032">
        <ns0:f>IF(AND(L1032=1,O1032*Calculations!$B$2&lt;=Calculations!$B$10*Calculations!$B$4),1,0)</ns0:f>
        <ns0:v>0</ns0:v>
      </ns0:c>
      <ns0:c r="R1032">
        <ns0:f>IF(AND(L1032=1,O1032*Calculations!$B$2&lt;=Calculations!$B$11*Calculations!$B$4),1,0)</ns0:f>
        <ns0:v>0</ns0:v>
      </ns0:c>
    </ns0:row>
    <ns0:row r="1033">
      <ns0:c r="A1033" t="inlineStr">
        <ns0:is>
          <ns0:t>case_1032</ns0:t>
        </ns0:is>
      </ns0:c>
      <ns0:c r="B1033" t="inlineStr">
        <ns0:is>
          <ns0:t>function_0204</ns0:t>
        </ns0:is>
      </ns0:c>
      <ns0:c r="C1033" t="inlineStr">
        <ns0:is>
          <ns0:t>run_011</ns0:t>
        </ns0:is>
      </ns0:c>
      <ns0:c r="D1033" t="inlineStr">
        <ns0:is>
          <ns0:t>log</ns0:t>
        </ns0:is>
      </ns0:c>
      <ns0:c r="E1033" t="inlineStr">
        <ns0:is>
          <ns0:t>gemini-2.5-flash-nothinking</ns0:t>
        </ns0:is>
      </ns0:c>
      <ns0:c r="F1033" t="inlineStr">
        <ns0:is>
          <ns0:t>E0432</ns0:t>
        </ns0:is>
      </ns0:c>
      <ns0:c r="G1033" t="n">
        <ns0:v>1</ns0:v>
      </ns0:c>
      <ns0:c r="H1033" t="n">
        <ns0:v>0</ns0:v>
      </ns0:c>
      <ns0:c r="I1033" t="n">
        <ns0:v>0</ns0:v>
      </ns0:c>
      <ns0:c r="J1033" t="n">
        <ns0:v>0</ns0:v>
      </ns0:c>
      <ns0:c r="K1033" t="n">
        <ns0:v>0</ns0:v>
      </ns0:c>
      <ns0:c r="L1033" t="n">
        <ns0:v>1</ns0:v>
      </ns0:c>
      <ns0:c r="M1033" t="n">
        <ns0:v>72227</ns0:v>
      </ns0:c>
      <ns0:c r="N1033" t="n">
        <ns0:v>2425</ns0:v>
      </ns0:c>
      <ns0:c r="O1033" t="n">
        <ns0:v>74652</ns0:v>
      </ns0:c>
      <ns0:c r="P1033" t="n">
        <ns0:v>9</ns0:v>
      </ns0:c>
      <ns0:c r="Q1033">
        <ns0:f>IF(AND(L1033=1,O1033*Calculations!$B$2&lt;=Calculations!$B$10*Calculations!$B$4),1,0)</ns0:f>
        <ns0:v>0</ns0:v>
      </ns0:c>
      <ns0:c r="R1033">
        <ns0:f>IF(AND(L1033=1,O1033*Calculations!$B$2&lt;=Calculations!$B$11*Calculations!$B$4),1,0)</ns0:f>
        <ns0:v>0</ns0:v>
      </ns0:c>
    </ns0:row>
    <ns0:row r="1034">
      <ns0:c r="A1034" t="inlineStr">
        <ns0:is>
          <ns0:t>case_1033</ns0:t>
        </ns0:is>
      </ns0:c>
      <ns0:c r="B1034" t="inlineStr">
        <ns0:is>
          <ns0:t>function_0205</ns0:t>
        </ns0:is>
      </ns0:c>
      <ns0:c r="C1034" t="inlineStr">
        <ns0:is>
          <ns0:t>run_011</ns0:t>
        </ns0:is>
      </ns0:c>
      <ns0:c r="D1034" t="inlineStr">
        <ns0:is>
          <ns0:t>log</ns0:t>
        </ns0:is>
      </ns0:c>
      <ns0:c r="E1034" t="inlineStr">
        <ns0:is>
          <ns0:t>gemini-2.5-flash-nothinking</ns0:t>
        </ns0:is>
      </ns0:c>
      <ns0:c r="F1034" t="inlineStr">
        <ns0:is>
          <ns0:t>E0308,E0560</ns0:t>
        </ns0:is>
      </ns0:c>
      <ns0:c r="G1034" t="n">
        <ns0:v>0</ns0:v>
      </ns0:c>
      <ns0:c r="H1034" t="n">
        <ns0:v>10716</ns0:v>
      </ns0:c>
      <ns0:c r="I1034" t="n">
        <ns0:v>468</ns0:v>
      </ns0:c>
      <ns0:c r="J1034" t="n">
        <ns0:v>11184</ns0:v>
      </ns0:c>
      <ns0:c r="K1034" t="n">
        <ns0:v>3</ns0:v>
      </ns0:c>
      <ns0:c r="L1034" t="n">
        <ns0:v>0</ns0:v>
      </ns0:c>
      <ns0:c r="M1034" t="n">
        <ns0:v>218599</ns0:v>
      </ns0:c>
      <ns0:c r="N1034" t="n">
        <ns0:v>5212</ns0:v>
      </ns0:c>
      <ns0:c r="O1034" t="n">
        <ns0:v>223811</ns0:v>
      </ns0:c>
      <ns0:c r="P1034" t="n">
        <ns0:v>21</ns0:v>
      </ns0:c>
      <ns0:c r="Q1034">
        <ns0:f>IF(AND(L1034=1,O1034*Calculations!$B$2&lt;=Calculations!$B$10*Calculations!$B$4),1,0)</ns0:f>
        <ns0:v>0</ns0:v>
      </ns0:c>
      <ns0:c r="R1034">
        <ns0:f>IF(AND(L1034=1,O1034*Calculations!$B$2&lt;=Calculations!$B$11*Calculations!$B$4),1,0)</ns0:f>
        <ns0:v>0</ns0:v>
      </ns0:c>
    </ns0:row>
    <ns0:row r="1035">
      <ns0:c r="A1035" t="inlineStr">
        <ns0:is>
          <ns0:t>case_1034</ns0:t>
        </ns0:is>
      </ns0:c>
      <ns0:c r="B1035" t="inlineStr">
        <ns0:is>
          <ns0:t>function_0205</ns0:t>
        </ns0:is>
      </ns0:c>
      <ns0:c r="C1035" t="inlineStr">
        <ns0:is>
          <ns0:t>run_011</ns0:t>
        </ns0:is>
      </ns0:c>
      <ns0:c r="D1035" t="inlineStr">
        <ns0:is>
          <ns0:t>log</ns0:t>
        </ns0:is>
      </ns0:c>
      <ns0:c r="E1035" t="inlineStr">
        <ns0:is>
          <ns0:t>gemini-2.5-flash-nothinking</ns0:t>
        </ns0:is>
      </ns0:c>
      <ns0:c r="F1035" t="inlineStr">
        <ns0:is>
          <ns0:t>E0277,E0308,E0432,E0560</ns0:t>
        </ns0:is>
      </ns0:c>
      <ns0:c r="G1035" t="n">
        <ns0:v>0</ns0:v>
      </ns0:c>
      <ns0:c r="H1035" t="n">
        <ns0:v>10861</ns0:v>
      </ns0:c>
      <ns0:c r="I1035" t="n">
        <ns0:v>494</ns0:v>
      </ns0:c>
      <ns0:c r="J1035" t="n">
        <ns0:v>11355</ns0:v>
      </ns0:c>
      <ns0:c r="K1035" t="n">
        <ns0:v>3</ns0:v>
      </ns0:c>
      <ns0:c r="L1035" t="n">
        <ns0:v>1</ns0:v>
      </ns0:c>
      <ns0:c r="M1035" t="n">
        <ns0:v>53857</ns0:v>
      </ns0:c>
      <ns0:c r="N1035" t="n">
        <ns0:v>1048</ns0:v>
      </ns0:c>
      <ns0:c r="O1035" t="n">
        <ns0:v>54905</ns0:v>
      </ns0:c>
      <ns0:c r="P1035" t="n">
        <ns0:v>6</ns0:v>
      </ns0:c>
      <ns0:c r="Q1035">
        <ns0:f>IF(AND(L1035=1,O1035*Calculations!$B$2&lt;=Calculations!$B$10*Calculations!$B$4),1,0)</ns0:f>
        <ns0:v>0</ns0:v>
      </ns0:c>
      <ns0:c r="R1035">
        <ns0:f>IF(AND(L1035=1,O1035*Calculations!$B$2&lt;=Calculations!$B$11*Calculations!$B$4),1,0)</ns0:f>
        <ns0:v>0</ns0:v>
      </ns0:c>
    </ns0:row>
    <ns0:row r="1036">
      <ns0:c r="A1036" t="inlineStr">
        <ns0:is>
          <ns0:t>case_1035</ns0:t>
        </ns0:is>
      </ns0:c>
      <ns0:c r="B1036" t="inlineStr">
        <ns0:is>
          <ns0:t>function_0205</ns0:t>
        </ns0:is>
      </ns0:c>
      <ns0:c r="C1036" t="inlineStr">
        <ns0:is>
          <ns0:t>run_011</ns0:t>
        </ns0:is>
      </ns0:c>
      <ns0:c r="D1036" t="inlineStr">
        <ns0:is>
          <ns0:t>log</ns0:t>
        </ns0:is>
      </ns0:c>
      <ns0:c r="E1036" t="inlineStr">
        <ns0:is>
          <ns0:t>gemini-2.5-flash-nothinking</ns0:t>
        </ns0:is>
      </ns0:c>
      <ns0:c r="F1036" t="inlineStr">
        <ns0:is>
          <ns0:t>E0308,E0432,E0560</ns0:t>
        </ns0:is>
      </ns0:c>
      <ns0:c r="G1036" t="n">
        <ns0:v>0</ns0:v>
      </ns0:c>
      <ns0:c r="H1036" t="n">
        <ns0:v>10780</ns0:v>
      </ns0:c>
      <ns0:c r="I1036" t="n">
        <ns0:v>444</ns0:v>
      </ns0:c>
      <ns0:c r="J1036" t="n">
        <ns0:v>11224</ns0:v>
      </ns0:c>
      <ns0:c r="K1036" t="n">
        <ns0:v>3</ns0:v>
      </ns0:c>
      <ns0:c r="L1036" t="n">
        <ns0:v>1</ns0:v>
      </ns0:c>
      <ns0:c r="M1036" t="n">
        <ns0:v>139814</ns0:v>
      </ns0:c>
      <ns0:c r="N1036" t="n">
        <ns0:v>1969</ns0:v>
      </ns0:c>
      <ns0:c r="O1036" t="n">
        <ns0:v>141783</ns0:v>
      </ns0:c>
      <ns0:c r="P1036" t="n">
        <ns0:v>12</ns0:v>
      </ns0:c>
      <ns0:c r="Q1036">
        <ns0:f>IF(AND(L1036=1,O1036*Calculations!$B$2&lt;=Calculations!$B$10*Calculations!$B$4),1,0)</ns0:f>
        <ns0:v>0</ns0:v>
      </ns0:c>
      <ns0:c r="R1036">
        <ns0:f>IF(AND(L1036=1,O1036*Calculations!$B$2&lt;=Calculations!$B$11*Calculations!$B$4),1,0)</ns0:f>
        <ns0:v>0</ns0:v>
      </ns0:c>
    </ns0:row>
    <ns0:row r="1037">
      <ns0:c r="A1037" t="inlineStr">
        <ns0:is>
          <ns0:t>case_1036</ns0:t>
        </ns0:is>
      </ns0:c>
      <ns0:c r="B1037" t="inlineStr">
        <ns0:is>
          <ns0:t>function_0205</ns0:t>
        </ns0:is>
      </ns0:c>
      <ns0:c r="C1037" t="inlineStr">
        <ns0:is>
          <ns0:t>run_011</ns0:t>
        </ns0:is>
      </ns0:c>
      <ns0:c r="D1037" t="inlineStr">
        <ns0:is>
          <ns0:t>log</ns0:t>
        </ns0:is>
      </ns0:c>
      <ns0:c r="E1037" t="inlineStr">
        <ns0:is>
          <ns0:t>gemini-2.5-flash-nothinking</ns0:t>
        </ns0:is>
      </ns0:c>
      <ns0:c r="F1037" t="inlineStr">
        <ns0:is>
          <ns0:t>E0308,E0432,E0560</ns0:t>
        </ns0:is>
      </ns0:c>
      <ns0:c r="G1037" t="n">
        <ns0:v>0</ns0:v>
      </ns0:c>
      <ns0:c r="H1037" t="n">
        <ns0:v>10967</ns0:v>
      </ns0:c>
      <ns0:c r="I1037" t="n">
        <ns0:v>357</ns0:v>
      </ns0:c>
      <ns0:c r="J1037" t="n">
        <ns0:v>11324</ns0:v>
      </ns0:c>
      <ns0:c r="K1037" t="n">
        <ns0:v>3</ns0:v>
      </ns0:c>
      <ns0:c r="L1037" t="n">
        <ns0:v>1</ns0:v>
      </ns0:c>
      <ns0:c r="M1037" t="n">
        <ns0:v>155922</ns0:v>
      </ns0:c>
      <ns0:c r="N1037" t="n">
        <ns0:v>1550</ns0:v>
      </ns0:c>
      <ns0:c r="O1037" t="n">
        <ns0:v>157472</ns0:v>
      </ns0:c>
      <ns0:c r="P1037" t="n">
        <ns0:v>9</ns0:v>
      </ns0:c>
      <ns0:c r="Q1037">
        <ns0:f>IF(AND(L1037=1,O1037*Calculations!$B$2&lt;=Calculations!$B$10*Calculations!$B$4),1,0)</ns0:f>
        <ns0:v>0</ns0:v>
      </ns0:c>
      <ns0:c r="R1037">
        <ns0:f>IF(AND(L1037=1,O1037*Calculations!$B$2&lt;=Calculations!$B$11*Calculations!$B$4),1,0)</ns0:f>
        <ns0:v>0</ns0:v>
      </ns0:c>
    </ns0:row>
    <ns0:row r="1038">
      <ns0:c r="A1038" t="inlineStr">
        <ns0:is>
          <ns0:t>case_1037</ns0:t>
        </ns0:is>
      </ns0:c>
      <ns0:c r="B1038" t="inlineStr">
        <ns0:is>
          <ns0:t>function_0206</ns0:t>
        </ns0:is>
      </ns0:c>
      <ns0:c r="C1038" t="inlineStr">
        <ns0:is>
          <ns0:t>run_011</ns0:t>
        </ns0:is>
      </ns0:c>
      <ns0:c r="D1038" t="inlineStr">
        <ns0:is>
          <ns0:t>log</ns0:t>
        </ns0:is>
      </ns0:c>
      <ns0:c r="E1038" t="inlineStr">
        <ns0:is>
          <ns0:t>gemini-2.5-flash-nothinking</ns0:t>
        </ns0:is>
      </ns0:c>
      <ns0:c r="F1038" t="inlineStr">
        <ns0:is>
          <ns0:t>E0432,E0433,E0615</ns0:t>
        </ns0:is>
      </ns0:c>
      <ns0:c r="G1038" t="n">
        <ns0:v>0</ns0:v>
      </ns0:c>
      <ns0:c r="H1038" t="n">
        <ns0:v>7018</ns0:v>
      </ns0:c>
      <ns0:c r="I1038" t="n">
        <ns0:v>581</ns0:v>
      </ns0:c>
      <ns0:c r="J1038" t="n">
        <ns0:v>7599</ns0:v>
      </ns0:c>
      <ns0:c r="K1038" t="n">
        <ns0:v>3</ns0:v>
      </ns0:c>
      <ns0:c r="L1038" t="n">
        <ns0:v>1</ns0:v>
      </ns0:c>
      <ns0:c r="M1038" t="n">
        <ns0:v>59085</ns0:v>
      </ns0:c>
      <ns0:c r="N1038" t="n">
        <ns0:v>1011</ns0:v>
      </ns0:c>
      <ns0:c r="O1038" t="n">
        <ns0:v>60096</ns0:v>
      </ns0:c>
      <ns0:c r="P1038" t="n">
        <ns0:v>8</ns0:v>
      </ns0:c>
      <ns0:c r="Q1038">
        <ns0:f>IF(AND(L1038=1,O1038*Calculations!$B$2&lt;=Calculations!$B$10*Calculations!$B$4),1,0)</ns0:f>
        <ns0:v>0</ns0:v>
      </ns0:c>
      <ns0:c r="R1038">
        <ns0:f>IF(AND(L1038=1,O1038*Calculations!$B$2&lt;=Calculations!$B$11*Calculations!$B$4),1,0)</ns0:f>
        <ns0:v>0</ns0:v>
      </ns0:c>
    </ns0:row>
    <ns0:row r="1039">
      <ns0:c r="A1039" t="inlineStr">
        <ns0:is>
          <ns0:t>case_1038</ns0:t>
        </ns0:is>
      </ns0:c>
      <ns0:c r="B1039" t="inlineStr">
        <ns0:is>
          <ns0:t>function_0206</ns0:t>
        </ns0:is>
      </ns0:c>
      <ns0:c r="C1039" t="inlineStr">
        <ns0:is>
          <ns0:t>run_011</ns0:t>
        </ns0:is>
      </ns0:c>
      <ns0:c r="D1039" t="inlineStr">
        <ns0:is>
          <ns0:t>log</ns0:t>
        </ns0:is>
      </ns0:c>
      <ns0:c r="E1039" t="inlineStr">
        <ns0:is>
          <ns0:t>gemini-2.5-flash-nothinking</ns0:t>
        </ns0:is>
      </ns0:c>
      <ns0:c r="F1039" t="inlineStr">
        <ns0:is>
          <ns0:t>E0308,E0560</ns0:t>
        </ns0:is>
      </ns0:c>
      <ns0:c r="G1039" t="n">
        <ns0:v>1</ns0:v>
      </ns0:c>
      <ns0:c r="H1039" t="n">
        <ns0:v>0</ns0:v>
      </ns0:c>
      <ns0:c r="I1039" t="n">
        <ns0:v>0</ns0:v>
      </ns0:c>
      <ns0:c r="J1039" t="n">
        <ns0:v>0</ns0:v>
      </ns0:c>
      <ns0:c r="K1039" t="n">
        <ns0:v>0</ns0:v>
      </ns0:c>
      <ns0:c r="L1039" t="n">
        <ns0:v>1</ns0:v>
      </ns0:c>
      <ns0:c r="M1039" t="n">
        <ns0:v>76702</ns0:v>
      </ns0:c>
      <ns0:c r="N1039" t="n">
        <ns0:v>1169</ns0:v>
      </ns0:c>
      <ns0:c r="O1039" t="n">
        <ns0:v>77871</ns0:v>
      </ns0:c>
      <ns0:c r="P1039" t="n">
        <ns0:v>9</ns0:v>
      </ns0:c>
      <ns0:c r="Q1039">
        <ns0:f>IF(AND(L1039=1,O1039*Calculations!$B$2&lt;=Calculations!$B$10*Calculations!$B$4),1,0)</ns0:f>
        <ns0:v>0</ns0:v>
      </ns0:c>
      <ns0:c r="R1039">
        <ns0:f>IF(AND(L1039=1,O1039*Calculations!$B$2&lt;=Calculations!$B$11*Calculations!$B$4),1,0)</ns0:f>
        <ns0:v>0</ns0:v>
      </ns0:c>
    </ns0:row>
    <ns0:row r="1040">
      <ns0:c r="A1040" t="inlineStr">
        <ns0:is>
          <ns0:t>case_1039</ns0:t>
        </ns0:is>
      </ns0:c>
      <ns0:c r="B1040" t="inlineStr">
        <ns0:is>
          <ns0:t>function_0206</ns0:t>
        </ns0:is>
      </ns0:c>
      <ns0:c r="C1040" t="inlineStr">
        <ns0:is>
          <ns0:t>run_011</ns0:t>
        </ns0:is>
      </ns0:c>
      <ns0:c r="D1040" t="inlineStr">
        <ns0:is>
          <ns0:t>log</ns0:t>
        </ns0:is>
      </ns0:c>
      <ns0:c r="E1040" t="inlineStr">
        <ns0:is>
          <ns0:t>gemini-2.5-flash-nothinking</ns0:t>
        </ns0:is>
      </ns0:c>
      <ns0:c r="F1040" t="inlineStr">
        <ns0:is>
          <ns0:t>E0308,E0432,E0433,E0560</ns0:t>
        </ns0:is>
      </ns0:c>
      <ns0:c r="G1040" t="n">
        <ns0:v>0</ns0:v>
      </ns0:c>
      <ns0:c r="H1040" t="n">
        <ns0:v>11398</ns0:v>
      </ns0:c>
      <ns0:c r="I1040" t="n">
        <ns0:v>783</ns0:v>
      </ns0:c>
      <ns0:c r="J1040" t="n">
        <ns0:v>12181</ns0:v>
      </ns0:c>
      <ns0:c r="K1040" t="n">
        <ns0:v>3</ns0:v>
      </ns0:c>
      <ns0:c r="L1040" t="n">
        <ns0:v>0</ns0:v>
      </ns0:c>
      <ns0:c r="M1040" t="n">
        <ns0:v>321959</ns0:v>
      </ns0:c>
      <ns0:c r="N1040" t="n">
        <ns0:v>7057</ns0:v>
      </ns0:c>
      <ns0:c r="O1040" t="n">
        <ns0:v>329016</ns0:v>
      </ns0:c>
      <ns0:c r="P1040" t="n">
        <ns0:v>20</ns0:v>
      </ns0:c>
      <ns0:c r="Q1040">
        <ns0:f>IF(AND(L1040=1,O1040*Calculations!$B$2&lt;=Calculations!$B$10*Calculations!$B$4),1,0)</ns0:f>
        <ns0:v>0</ns0:v>
      </ns0:c>
      <ns0:c r="R1040">
        <ns0:f>IF(AND(L1040=1,O1040*Calculations!$B$2&lt;=Calculations!$B$11*Calculations!$B$4),1,0)</ns0:f>
        <ns0:v>0</ns0:v>
      </ns0:c>
    </ns0:row>
    <ns0:row r="1041">
      <ns0:c r="A1041" t="inlineStr">
        <ns0:is>
          <ns0:t>case_1040</ns0:t>
        </ns0:is>
      </ns0:c>
      <ns0:c r="B1041" t="inlineStr">
        <ns0:is>
          <ns0:t>function_0206</ns0:t>
        </ns0:is>
      </ns0:c>
      <ns0:c r="C1041" t="inlineStr">
        <ns0:is>
          <ns0:t>run_011</ns0:t>
        </ns0:is>
      </ns0:c>
      <ns0:c r="D1041" t="inlineStr">
        <ns0:is>
          <ns0:t>log</ns0:t>
        </ns0:is>
      </ns0:c>
      <ns0:c r="E1041" t="inlineStr">
        <ns0:is>
          <ns0:t>gemini-2.5-flash-nothinking</ns0:t>
        </ns0:is>
      </ns0:c>
      <ns0:c r="F1041" t="inlineStr">
        <ns0:is>
          <ns0:t>E0277,E0308,E0433,E0560</ns0:t>
        </ns0:is>
      </ns0:c>
      <ns0:c r="G1041" t="n">
        <ns0:v>1</ns0:v>
      </ns0:c>
      <ns0:c r="H1041" t="n">
        <ns0:v>3562</ns0:v>
      </ns0:c>
      <ns0:c r="I1041" t="n">
        <ns0:v>112</ns0:v>
      </ns0:c>
      <ns0:c r="J1041" t="n">
        <ns0:v>3674</ns0:v>
      </ns0:c>
      <ns0:c r="K1041" t="n">
        <ns0:v>1</ns0:v>
      </ns0:c>
      <ns0:c r="L1041" t="n">
        <ns0:v>1</ns0:v>
      </ns0:c>
      <ns0:c r="M1041" t="n">
        <ns0:v>79788</ns0:v>
      </ns0:c>
      <ns0:c r="N1041" t="n">
        <ns0:v>1430</ns0:v>
      </ns0:c>
      <ns0:c r="O1041" t="n">
        <ns0:v>81218</ns0:v>
      </ns0:c>
      <ns0:c r="P1041" t="n">
        <ns0:v>9</ns0:v>
      </ns0:c>
      <ns0:c r="Q1041">
        <ns0:f>IF(AND(L1041=1,O1041*Calculations!$B$2&lt;=Calculations!$B$10*Calculations!$B$4),1,0)</ns0:f>
        <ns0:v>0</ns0:v>
      </ns0:c>
      <ns0:c r="R1041">
        <ns0:f>IF(AND(L1041=1,O1041*Calculations!$B$2&lt;=Calculations!$B$11*Calculations!$B$4),1,0)</ns0:f>
        <ns0:v>0</ns0:v>
      </ns0:c>
    </ns0:row>
    <ns0:row r="1042">
      <ns0:c r="A1042" t="inlineStr">
        <ns0:is>
          <ns0:t>case_1041</ns0:t>
        </ns0:is>
      </ns0:c>
      <ns0:c r="B1042" t="inlineStr">
        <ns0:is>
          <ns0:t>function_0207</ns0:t>
        </ns0:is>
      </ns0:c>
      <ns0:c r="C1042" t="inlineStr">
        <ns0:is>
          <ns0:t>run_011</ns0:t>
        </ns0:is>
      </ns0:c>
      <ns0:c r="D1042" t="inlineStr">
        <ns0:is>
          <ns0:t>log</ns0:t>
        </ns0:is>
      </ns0:c>
      <ns0:c r="E1042" t="inlineStr">
        <ns0:is>
          <ns0:t>gemini-2.5-flash-nothinking</ns0:t>
        </ns0:is>
      </ns0:c>
      <ns0:c r="F1042" t="inlineStr">
        <ns0:is>
          <ns0:t>E0560,E0599</ns0:t>
        </ns0:is>
      </ns0:c>
      <ns0:c r="G1042" t="n">
        <ns0:v>0</ns0:v>
      </ns0:c>
      <ns0:c r="H1042" t="n">
        <ns0:v>11350</ns0:v>
      </ns0:c>
      <ns0:c r="I1042" t="n">
        <ns0:v>924</ns0:v>
      </ns0:c>
      <ns0:c r="J1042" t="n">
        <ns0:v>12274</ns0:v>
      </ns0:c>
      <ns0:c r="K1042" t="n">
        <ns0:v>3</ns0:v>
      </ns0:c>
      <ns0:c r="L1042" t="n">
        <ns0:v>0</ns0:v>
      </ns0:c>
      <ns0:c r="M1042" t="n">
        <ns0:v>188336</ns0:v>
      </ns0:c>
      <ns0:c r="N1042" t="n">
        <ns0:v>2191</ns0:v>
      </ns0:c>
      <ns0:c r="O1042" t="n">
        <ns0:v>190527</ns0:v>
      </ns0:c>
      <ns0:c r="P1042" t="n">
        <ns0:v>20</ns0:v>
      </ns0:c>
      <ns0:c r="Q1042">
        <ns0:f>IF(AND(L1042=1,O1042*Calculations!$B$2&lt;=Calculations!$B$10*Calculations!$B$4),1,0)</ns0:f>
        <ns0:v>0</ns0:v>
      </ns0:c>
      <ns0:c r="R1042">
        <ns0:f>IF(AND(L1042=1,O1042*Calculations!$B$2&lt;=Calculations!$B$11*Calculations!$B$4),1,0)</ns0:f>
        <ns0:v>0</ns0:v>
      </ns0:c>
    </ns0:row>
    <ns0:row r="1043">
      <ns0:c r="A1043" t="inlineStr">
        <ns0:is>
          <ns0:t>case_1042</ns0:t>
        </ns0:is>
      </ns0:c>
      <ns0:c r="B1043" t="inlineStr">
        <ns0:is>
          <ns0:t>function_0207</ns0:t>
        </ns0:is>
      </ns0:c>
      <ns0:c r="C1043" t="inlineStr">
        <ns0:is>
          <ns0:t>run_011</ns0:t>
        </ns0:is>
      </ns0:c>
      <ns0:c r="D1043" t="inlineStr">
        <ns0:is>
          <ns0:t>log</ns0:t>
        </ns0:is>
      </ns0:c>
      <ns0:c r="E1043" t="inlineStr">
        <ns0:is>
          <ns0:t>gemini-2.5-flash-nothinking</ns0:t>
        </ns0:is>
      </ns0:c>
      <ns0:c r="F1043" t="inlineStr">
        <ns0:is>
          <ns0:t>E0560,E0599</ns0:t>
        </ns0:is>
      </ns0:c>
      <ns0:c r="G1043" t="n">
        <ns0:v>0</ns0:v>
      </ns0:c>
      <ns0:c r="H1043" t="n">
        <ns0:v>11294</ns0:v>
      </ns0:c>
      <ns0:c r="I1043" t="n">
        <ns0:v>1020</ns0:v>
      </ns0:c>
      <ns0:c r="J1043" t="n">
        <ns0:v>12314</ns0:v>
      </ns0:c>
      <ns0:c r="K1043" t="n">
        <ns0:v>3</ns0:v>
      </ns0:c>
      <ns0:c r="L1043" t="n">
        <ns0:v>1</ns0:v>
      </ns0:c>
      <ns0:c r="M1043" t="n">
        <ns0:v>111994</ns0:v>
      </ns0:c>
      <ns0:c r="N1043" t="n">
        <ns0:v>467</ns0:v>
      </ns0:c>
      <ns0:c r="O1043" t="n">
        <ns0:v>112461</ns0:v>
      </ns0:c>
      <ns0:c r="P1043" t="n">
        <ns0:v>4</ns0:v>
      </ns0:c>
      <ns0:c r="Q1043">
        <ns0:f>IF(AND(L1043=1,O1043*Calculations!$B$2&lt;=Calculations!$B$10*Calculations!$B$4),1,0)</ns0:f>
        <ns0:v>0</ns0:v>
      </ns0:c>
      <ns0:c r="R1043">
        <ns0:f>IF(AND(L1043=1,O1043*Calculations!$B$2&lt;=Calculations!$B$11*Calculations!$B$4),1,0)</ns0:f>
        <ns0:v>0</ns0:v>
      </ns0:c>
    </ns0:row>
    <ns0:row r="1044">
      <ns0:c r="A1044" t="inlineStr">
        <ns0:is>
          <ns0:t>case_1043</ns0:t>
        </ns0:is>
      </ns0:c>
      <ns0:c r="B1044" t="inlineStr">
        <ns0:is>
          <ns0:t>function_0207</ns0:t>
        </ns0:is>
      </ns0:c>
      <ns0:c r="C1044" t="inlineStr">
        <ns0:is>
          <ns0:t>run_011</ns0:t>
        </ns0:is>
      </ns0:c>
      <ns0:c r="D1044" t="inlineStr">
        <ns0:is>
          <ns0:t>log</ns0:t>
        </ns0:is>
      </ns0:c>
      <ns0:c r="E1044" t="inlineStr">
        <ns0:is>
          <ns0:t>gemini-2.5-flash-nothinking</ns0:t>
        </ns0:is>
      </ns0:c>
      <ns0:c r="F1044" t="inlineStr">
        <ns0:is>
          <ns0:t>E0560</ns0:t>
        </ns0:is>
      </ns0:c>
      <ns0:c r="G1044" t="n">
        <ns0:v>0</ns0:v>
      </ns0:c>
      <ns0:c r="H1044" t="n">
        <ns0:v>11306</ns0:v>
      </ns0:c>
      <ns0:c r="I1044" t="n">
        <ns0:v>1062</ns0:v>
      </ns0:c>
      <ns0:c r="J1044" t="n">
        <ns0:v>12368</ns0:v>
      </ns0:c>
      <ns0:c r="K1044" t="n">
        <ns0:v>3</ns0:v>
      </ns0:c>
      <ns0:c r="L1044" t="n">
        <ns0:v>1</ns0:v>
      </ns0:c>
      <ns0:c r="M1044" t="n">
        <ns0:v>123908</ns0:v>
      </ns0:c>
      <ns0:c r="N1044" t="n">
        <ns0:v>1151</ns0:v>
      </ns0:c>
      <ns0:c r="O1044" t="n">
        <ns0:v>125059</ns0:v>
      </ns0:c>
      <ns0:c r="P1044" t="n">
        <ns0:v>4</ns0:v>
      </ns0:c>
      <ns0:c r="Q1044">
        <ns0:f>IF(AND(L1044=1,O1044*Calculations!$B$2&lt;=Calculations!$B$10*Calculations!$B$4),1,0)</ns0:f>
        <ns0:v>0</ns0:v>
      </ns0:c>
      <ns0:c r="R1044">
        <ns0:f>IF(AND(L1044=1,O1044*Calculations!$B$2&lt;=Calculations!$B$11*Calculations!$B$4),1,0)</ns0:f>
        <ns0:v>0</ns0:v>
      </ns0:c>
    </ns0:row>
    <ns0:row r="1045">
      <ns0:c r="A1045" t="inlineStr">
        <ns0:is>
          <ns0:t>case_1044</ns0:t>
        </ns0:is>
      </ns0:c>
      <ns0:c r="B1045" t="inlineStr">
        <ns0:is>
          <ns0:t>function_0207</ns0:t>
        </ns0:is>
      </ns0:c>
      <ns0:c r="C1045" t="inlineStr">
        <ns0:is>
          <ns0:t>run_011</ns0:t>
        </ns0:is>
      </ns0:c>
      <ns0:c r="D1045" t="inlineStr">
        <ns0:is>
          <ns0:t>log</ns0:t>
        </ns0:is>
      </ns0:c>
      <ns0:c r="E1045" t="inlineStr">
        <ns0:is>
          <ns0:t>gemini-2.5-flash-nothinking</ns0:t>
        </ns0:is>
      </ns0:c>
      <ns0:c r="F1045" t="inlineStr">
        <ns0:is>
          <ns0:t>E0433,E0560,E0599</ns0:t>
        </ns0:is>
      </ns0:c>
      <ns0:c r="G1045" t="n">
        <ns0:v>0</ns0:v>
      </ns0:c>
      <ns0:c r="H1045" t="n">
        <ns0:v>11291</ns0:v>
      </ns0:c>
      <ns0:c r="I1045" t="n">
        <ns0:v>660</ns0:v>
      </ns0:c>
      <ns0:c r="J1045" t="n">
        <ns0:v>11951</ns0:v>
      </ns0:c>
      <ns0:c r="K1045" t="n">
        <ns0:v>3</ns0:v>
      </ns0:c>
      <ns0:c r="L1045" t="n">
        <ns0:v>0</ns0:v>
      </ns0:c>
      <ns0:c r="M1045" t="n">
        <ns0:v>232470</ns0:v>
      </ns0:c>
      <ns0:c r="N1045" t="n">
        <ns0:v>5588</ns0:v>
      </ns0:c>
      <ns0:c r="O1045" t="n">
        <ns0:v>238058</ns0:v>
      </ns0:c>
      <ns0:c r="P1045" t="n">
        <ns0:v>21</ns0:v>
      </ns0:c>
      <ns0:c r="Q1045">
        <ns0:f>IF(AND(L1045=1,O1045*Calculations!$B$2&lt;=Calculations!$B$10*Calculations!$B$4),1,0)</ns0:f>
        <ns0:v>0</ns0:v>
      </ns0:c>
      <ns0:c r="R1045">
        <ns0:f>IF(AND(L1045=1,O1045*Calculations!$B$2&lt;=Calculations!$B$11*Calculations!$B$4),1,0)</ns0:f>
        <ns0:v>0</ns0:v>
      </ns0:c>
    </ns0:row>
    <ns0:row r="1046">
      <ns0:c r="A1046" t="inlineStr">
        <ns0:is>
          <ns0:t>case_1045</ns0:t>
        </ns0:is>
      </ns0:c>
      <ns0:c r="B1046" t="inlineStr">
        <ns0:is>
          <ns0:t>function_0208</ns0:t>
        </ns0:is>
      </ns0:c>
      <ns0:c r="C1046" t="inlineStr">
        <ns0:is>
          <ns0:t>run_011</ns0:t>
        </ns0:is>
      </ns0:c>
      <ns0:c r="D1046" t="inlineStr">
        <ns0:is>
          <ns0:t>log</ns0:t>
        </ns0:is>
      </ns0:c>
      <ns0:c r="E1046" t="inlineStr">
        <ns0:is>
          <ns0:t>gemini-2.5-flash-nothinking</ns0:t>
        </ns0:is>
      </ns0:c>
      <ns0:c r="F1046" t="inlineStr">
        <ns0:is>
          <ns0:t>E0308,E0432,E0433,E0599</ns0:t>
        </ns0:is>
      </ns0:c>
      <ns0:c r="G1046" t="n">
        <ns0:v>0</ns0:v>
      </ns0:c>
      <ns0:c r="H1046" t="n">
        <ns0:v>10853</ns0:v>
      </ns0:c>
      <ns0:c r="I1046" t="n">
        <ns0:v>351</ns0:v>
      </ns0:c>
      <ns0:c r="J1046" t="n">
        <ns0:v>11204</ns0:v>
      </ns0:c>
      <ns0:c r="K1046" t="n">
        <ns0:v>3</ns0:v>
      </ns0:c>
      <ns0:c r="L1046" t="n">
        <ns0:v>1</ns0:v>
      </ns0:c>
      <ns0:c r="M1046" t="n">
        <ns0:v>118726</ns0:v>
      </ns0:c>
      <ns0:c r="N1046" t="n">
        <ns0:v>1007</ns0:v>
      </ns0:c>
      <ns0:c r="O1046" t="n">
        <ns0:v>119733</ns0:v>
      </ns0:c>
      <ns0:c r="P1046" t="n">
        <ns0:v>14</ns0:v>
      </ns0:c>
      <ns0:c r="Q1046">
        <ns0:f>IF(AND(L1046=1,O1046*Calculations!$B$2&lt;=Calculations!$B$10*Calculations!$B$4),1,0)</ns0:f>
        <ns0:v>0</ns0:v>
      </ns0:c>
      <ns0:c r="R1046">
        <ns0:f>IF(AND(L1046=1,O1046*Calculations!$B$2&lt;=Calculations!$B$11*Calculations!$B$4),1,0)</ns0:f>
        <ns0:v>0</ns0:v>
      </ns0:c>
    </ns0:row>
    <ns0:row r="1047">
      <ns0:c r="A1047" t="inlineStr">
        <ns0:is>
          <ns0:t>case_1046</ns0:t>
        </ns0:is>
      </ns0:c>
      <ns0:c r="B1047" t="inlineStr">
        <ns0:is>
          <ns0:t>function_0208</ns0:t>
        </ns0:is>
      </ns0:c>
      <ns0:c r="C1047" t="inlineStr">
        <ns0:is>
          <ns0:t>run_011</ns0:t>
        </ns0:is>
      </ns0:c>
      <ns0:c r="D1047" t="inlineStr">
        <ns0:is>
          <ns0:t>log</ns0:t>
        </ns0:is>
      </ns0:c>
      <ns0:c r="E1047" t="inlineStr">
        <ns0:is>
          <ns0:t>gemini-2.5-flash-nothinking</ns0:t>
        </ns0:is>
      </ns0:c>
      <ns0:c r="F1047" t="inlineStr">
        <ns0:is>
          <ns0:t>E0432,E0433,E0599</ns0:t>
        </ns0:is>
      </ns0:c>
      <ns0:c r="G1047" t="n">
        <ns0:v>0</ns0:v>
      </ns0:c>
      <ns0:c r="H1047" t="n">
        <ns0:v>10298</ns0:v>
      </ns0:c>
      <ns0:c r="I1047" t="n">
        <ns0:v>366</ns0:v>
      </ns0:c>
      <ns0:c r="J1047" t="n">
        <ns0:v>10664</ns0:v>
      </ns0:c>
      <ns0:c r="K1047" t="n">
        <ns0:v>3</ns0:v>
      </ns0:c>
      <ns0:c r="L1047" t="n">
        <ns0:v>0</ns0:v>
      </ns0:c>
      <ns0:c r="M1047" t="n">
        <ns0:v>167822</ns0:v>
      </ns0:c>
      <ns0:c r="N1047" t="n">
        <ns0:v>2286</ns0:v>
      </ns0:c>
      <ns0:c r="O1047" t="n">
        <ns0:v>170108</ns0:v>
      </ns0:c>
      <ns0:c r="P1047" t="n">
        <ns0:v>20</ns0:v>
      </ns0:c>
      <ns0:c r="Q1047">
        <ns0:f>IF(AND(L1047=1,O1047*Calculations!$B$2&lt;=Calculations!$B$10*Calculations!$B$4),1,0)</ns0:f>
        <ns0:v>0</ns0:v>
      </ns0:c>
      <ns0:c r="R1047">
        <ns0:f>IF(AND(L1047=1,O1047*Calculations!$B$2&lt;=Calculations!$B$11*Calculations!$B$4),1,0)</ns0:f>
        <ns0:v>0</ns0:v>
      </ns0:c>
    </ns0:row>
    <ns0:row r="1048">
      <ns0:c r="A1048" t="inlineStr">
        <ns0:is>
          <ns0:t>case_1047</ns0:t>
        </ns0:is>
      </ns0:c>
      <ns0:c r="B1048" t="inlineStr">
        <ns0:is>
          <ns0:t>function_0208</ns0:t>
        </ns0:is>
      </ns0:c>
      <ns0:c r="C1048" t="inlineStr">
        <ns0:is>
          <ns0:t>run_011</ns0:t>
        </ns0:is>
      </ns0:c>
      <ns0:c r="D1048" t="inlineStr">
        <ns0:is>
          <ns0:t>log</ns0:t>
        </ns0:is>
      </ns0:c>
      <ns0:c r="E1048" t="inlineStr">
        <ns0:is>
          <ns0:t>gemini-2.5-flash-nothinking</ns0:t>
        </ns0:is>
      </ns0:c>
      <ns0:c r="F1048" t="inlineStr">
        <ns0:is>
          <ns0:t>E0599</ns0:t>
        </ns0:is>
      </ns0:c>
      <ns0:c r="G1048" t="n">
        <ns0:v>1</ns0:v>
      </ns0:c>
      <ns0:c r="H1048" t="n">
        <ns0:v>3601</ns0:v>
      </ns0:c>
      <ns0:c r="I1048" t="n">
        <ns0:v>124</ns0:v>
      </ns0:c>
      <ns0:c r="J1048" t="n">
        <ns0:v>3725</ns0:v>
      </ns0:c>
      <ns0:c r="K1048" t="n">
        <ns0:v>1</ns0:v>
      </ns0:c>
      <ns0:c r="L1048" t="n">
        <ns0:v>1</ns0:v>
      </ns0:c>
      <ns0:c r="M1048" t="n">
        <ns0:v>57562</ns0:v>
      </ns0:c>
      <ns0:c r="N1048" t="n">
        <ns0:v>466</ns0:v>
      </ns0:c>
      <ns0:c r="O1048" t="n">
        <ns0:v>58028</ns0:v>
      </ns0:c>
      <ns0:c r="P1048" t="n">
        <ns0:v>5</ns0:v>
      </ns0:c>
      <ns0:c r="Q1048">
        <ns0:f>IF(AND(L1048=1,O1048*Calculations!$B$2&lt;=Calculations!$B$10*Calculations!$B$4),1,0)</ns0:f>
        <ns0:v>0</ns0:v>
      </ns0:c>
      <ns0:c r="R1048">
        <ns0:f>IF(AND(L1048=1,O1048*Calculations!$B$2&lt;=Calculations!$B$11*Calculations!$B$4),1,0)</ns0:f>
        <ns0:v>0</ns0:v>
      </ns0:c>
    </ns0:row>
    <ns0:row r="1049">
      <ns0:c r="A1049" t="inlineStr">
        <ns0:is>
          <ns0:t>case_1048</ns0:t>
        </ns0:is>
      </ns0:c>
      <ns0:c r="B1049" t="inlineStr">
        <ns0:is>
          <ns0:t>function_0208</ns0:t>
        </ns0:is>
      </ns0:c>
      <ns0:c r="C1049" t="inlineStr">
        <ns0:is>
          <ns0:t>run_011</ns0:t>
        </ns0:is>
      </ns0:c>
      <ns0:c r="D1049" t="inlineStr">
        <ns0:is>
          <ns0:t>log</ns0:t>
        </ns0:is>
      </ns0:c>
      <ns0:c r="E1049" t="inlineStr">
        <ns0:is>
          <ns0:t>gemini-2.5-flash-nothinking</ns0:t>
        </ns0:is>
      </ns0:c>
      <ns0:c r="F1049" t="inlineStr">
        <ns0:is>
          <ns0:t>E0599</ns0:t>
        </ns0:is>
      </ns0:c>
      <ns0:c r="G1049" t="n">
        <ns0:v>1</ns0:v>
      </ns0:c>
      <ns0:c r="H1049" t="n">
        <ns0:v>3535</ns0:v>
      </ns0:c>
      <ns0:c r="I1049" t="n">
        <ns0:v>77</ns0:v>
      </ns0:c>
      <ns0:c r="J1049" t="n">
        <ns0:v>3612</ns0:v>
      </ns0:c>
      <ns0:c r="K1049" t="n">
        <ns0:v>1</ns0:v>
      </ns0:c>
      <ns0:c r="L1049" t="n">
        <ns0:v>1</ns0:v>
      </ns0:c>
      <ns0:c r="M1049" t="n">
        <ns0:v>38906</ns0:v>
      </ns0:c>
      <ns0:c r="N1049" t="n">
        <ns0:v>397</ns0:v>
      </ns0:c>
      <ns0:c r="O1049" t="n">
        <ns0:v>39303</ns0:v>
      </ns0:c>
      <ns0:c r="P1049" t="n">
        <ns0:v>5</ns0:v>
      </ns0:c>
      <ns0:c r="Q1049">
        <ns0:f>IF(AND(L1049=1,O1049*Calculations!$B$2&lt;=Calculations!$B$10*Calculations!$B$4),1,0)</ns0:f>
        <ns0:v>0</ns0:v>
      </ns0:c>
      <ns0:c r="R1049">
        <ns0:f>IF(AND(L1049=1,O1049*Calculations!$B$2&lt;=Calculations!$B$11*Calculations!$B$4),1,0)</ns0:f>
        <ns0:v>1</ns0:v>
      </ns0:c>
    </ns0:row>
    <ns0:row r="1050">
      <ns0:c r="A1050" t="inlineStr">
        <ns0:is>
          <ns0:t>case_1049</ns0:t>
        </ns0:is>
      </ns0:c>
      <ns0:c r="B1050" t="inlineStr">
        <ns0:is>
          <ns0:t>function_0209</ns0:t>
        </ns0:is>
      </ns0:c>
      <ns0:c r="C1050" t="inlineStr">
        <ns0:is>
          <ns0:t>run_011</ns0:t>
        </ns0:is>
      </ns0:c>
      <ns0:c r="D1050" t="inlineStr">
        <ns0:is>
          <ns0:t>log</ns0:t>
        </ns0:is>
      </ns0:c>
      <ns0:c r="E1050" t="inlineStr">
        <ns0:is>
          <ns0:t>gemini-2.5-flash-nothinking</ns0:t>
        </ns0:is>
      </ns0:c>
      <ns0:c r="F1050" t="inlineStr">
        <ns0:is>
          <ns0:t>E0308,E0560</ns0:t>
        </ns0:is>
      </ns0:c>
      <ns0:c r="G1050" t="n">
        <ns0:v>0</ns0:v>
      </ns0:c>
      <ns0:c r="H1050" t="n">
        <ns0:v>11160</ns0:v>
      </ns0:c>
      <ns0:c r="I1050" t="n">
        <ns0:v>710</ns0:v>
      </ns0:c>
      <ns0:c r="J1050" t="n">
        <ns0:v>11870</ns0:v>
      </ns0:c>
      <ns0:c r="K1050" t="n">
        <ns0:v>3</ns0:v>
      </ns0:c>
      <ns0:c r="L1050" t="n">
        <ns0:v>1</ns0:v>
      </ns0:c>
      <ns0:c r="M1050" t="n">
        <ns0:v>68043</ns0:v>
      </ns0:c>
      <ns0:c r="N1050" t="n">
        <ns0:v>1026</ns0:v>
      </ns0:c>
      <ns0:c r="O1050" t="n">
        <ns0:v>69069</ns0:v>
      </ns0:c>
      <ns0:c r="P1050" t="n">
        <ns0:v>6</ns0:v>
      </ns0:c>
      <ns0:c r="Q1050">
        <ns0:f>IF(AND(L1050=1,O1050*Calculations!$B$2&lt;=Calculations!$B$10*Calculations!$B$4),1,0)</ns0:f>
        <ns0:v>0</ns0:v>
      </ns0:c>
      <ns0:c r="R1050">
        <ns0:f>IF(AND(L1050=1,O1050*Calculations!$B$2&lt;=Calculations!$B$11*Calculations!$B$4),1,0)</ns0:f>
        <ns0:v>0</ns0:v>
      </ns0:c>
    </ns0:row>
    <ns0:row r="1051">
      <ns0:c r="A1051" t="inlineStr">
        <ns0:is>
          <ns0:t>case_1050</ns0:t>
        </ns0:is>
      </ns0:c>
      <ns0:c r="B1051" t="inlineStr">
        <ns0:is>
          <ns0:t>function_0209</ns0:t>
        </ns0:is>
      </ns0:c>
      <ns0:c r="C1051" t="inlineStr">
        <ns0:is>
          <ns0:t>run_011</ns0:t>
        </ns0:is>
      </ns0:c>
      <ns0:c r="D1051" t="inlineStr">
        <ns0:is>
          <ns0:t>log</ns0:t>
        </ns0:is>
      </ns0:c>
      <ns0:c r="E1051" t="inlineStr">
        <ns0:is>
          <ns0:t>gemini-2.5-flash-nothinking</ns0:t>
        </ns0:is>
      </ns0:c>
      <ns0:c r="F1051" t="inlineStr">
        <ns0:is>
          <ns0:t>E0308,E0560</ns0:t>
        </ns0:is>
      </ns0:c>
      <ns0:c r="G1051" t="n">
        <ns0:v>1</ns0:v>
      </ns0:c>
      <ns0:c r="H1051" t="n">
        <ns0:v>3602</ns0:v>
      </ns0:c>
      <ns0:c r="I1051" t="n">
        <ns0:v>185</ns0:v>
      </ns0:c>
      <ns0:c r="J1051" t="n">
        <ns0:v>3787</ns0:v>
      </ns0:c>
      <ns0:c r="K1051" t="n">
        <ns0:v>1</ns0:v>
      </ns0:c>
      <ns0:c r="L1051" t="n">
        <ns0:v>1</ns0:v>
      </ns0:c>
      <ns0:c r="M1051" t="n">
        <ns0:v>213902</ns0:v>
      </ns0:c>
      <ns0:c r="N1051" t="n">
        <ns0:v>1743</ns0:v>
      </ns0:c>
      <ns0:c r="O1051" t="n">
        <ns0:v>215645</ns0:v>
      </ns0:c>
      <ns0:c r="P1051" t="n">
        <ns0:v>12</ns0:v>
      </ns0:c>
      <ns0:c r="Q1051">
        <ns0:f>IF(AND(L1051=1,O1051*Calculations!$B$2&lt;=Calculations!$B$10*Calculations!$B$4),1,0)</ns0:f>
        <ns0:v>0</ns0:v>
      </ns0:c>
      <ns0:c r="R1051">
        <ns0:f>IF(AND(L1051=1,O1051*Calculations!$B$2&lt;=Calculations!$B$11*Calculations!$B$4),1,0)</ns0:f>
        <ns0:v>0</ns0:v>
      </ns0:c>
    </ns0:row>
    <ns0:row r="1052">
      <ns0:c r="A1052" t="inlineStr">
        <ns0:is>
          <ns0:t>case_1051</ns0:t>
        </ns0:is>
      </ns0:c>
      <ns0:c r="B1052" t="inlineStr">
        <ns0:is>
          <ns0:t>function_0209</ns0:t>
        </ns0:is>
      </ns0:c>
      <ns0:c r="C1052" t="inlineStr">
        <ns0:is>
          <ns0:t>run_011</ns0:t>
        </ns0:is>
      </ns0:c>
      <ns0:c r="D1052" t="inlineStr">
        <ns0:is>
          <ns0:t>log</ns0:t>
        </ns0:is>
      </ns0:c>
      <ns0:c r="E1052" t="inlineStr">
        <ns0:is>
          <ns0:t>gemini-2.5-flash-nothinking</ns0:t>
        </ns0:is>
      </ns0:c>
      <ns0:c r="F1052" t="inlineStr">
        <ns0:is>
          <ns0:t>E0308,E0560</ns0:t>
        </ns0:is>
      </ns0:c>
      <ns0:c r="G1052" t="n">
        <ns0:v>0</ns0:v>
      </ns0:c>
      <ns0:c r="H1052" t="n">
        <ns0:v>11321</ns0:v>
      </ns0:c>
      <ns0:c r="I1052" t="n">
        <ns0:v>744</ns0:v>
      </ns0:c>
      <ns0:c r="J1052" t="n">
        <ns0:v>12065</ns0:v>
      </ns0:c>
      <ns0:c r="K1052" t="n">
        <ns0:v>3</ns0:v>
      </ns0:c>
      <ns0:c r="L1052" t="n">
        <ns0:v>0</ns0:v>
      </ns0:c>
      <ns0:c r="M1052" t="n">
        <ns0:v>241818</ns0:v>
      </ns0:c>
      <ns0:c r="N1052" t="n">
        <ns0:v>4271</ns0:v>
      </ns0:c>
      <ns0:c r="O1052" t="n">
        <ns0:v>246089</ns0:v>
      </ns0:c>
      <ns0:c r="P1052" t="n">
        <ns0:v>20</ns0:v>
      </ns0:c>
      <ns0:c r="Q1052">
        <ns0:f>IF(AND(L1052=1,O1052*Calculations!$B$2&lt;=Calculations!$B$10*Calculations!$B$4),1,0)</ns0:f>
        <ns0:v>0</ns0:v>
      </ns0:c>
      <ns0:c r="R1052">
        <ns0:f>IF(AND(L1052=1,O1052*Calculations!$B$2&lt;=Calculations!$B$11*Calculations!$B$4),1,0)</ns0:f>
        <ns0:v>0</ns0:v>
      </ns0:c>
    </ns0:row>
    <ns0:row r="1053">
      <ns0:c r="A1053" t="inlineStr">
        <ns0:is>
          <ns0:t>case_1052</ns0:t>
        </ns0:is>
      </ns0:c>
      <ns0:c r="B1053" t="inlineStr">
        <ns0:is>
          <ns0:t>function_0209</ns0:t>
        </ns0:is>
      </ns0:c>
      <ns0:c r="C1053" t="inlineStr">
        <ns0:is>
          <ns0:t>run_011</ns0:t>
        </ns0:is>
      </ns0:c>
      <ns0:c r="D1053" t="inlineStr">
        <ns0:is>
          <ns0:t>log</ns0:t>
        </ns0:is>
      </ns0:c>
      <ns0:c r="E1053" t="inlineStr">
        <ns0:is>
          <ns0:t>gemini-2.5-flash-nothinking</ns0:t>
        </ns0:is>
      </ns0:c>
      <ns0:c r="F1053" t="inlineStr">
        <ns0:is>
          <ns0:t>E0308,E0560</ns0:t>
        </ns0:is>
      </ns0:c>
      <ns0:c r="G1053" t="n">
        <ns0:v>1</ns0:v>
      </ns0:c>
      <ns0:c r="H1053" t="n">
        <ns0:v>3501</ns0:v>
      </ns0:c>
      <ns0:c r="I1053" t="n">
        <ns0:v>130</ns0:v>
      </ns0:c>
      <ns0:c r="J1053" t="n">
        <ns0:v>3631</ns0:v>
      </ns0:c>
      <ns0:c r="K1053" t="n">
        <ns0:v>1</ns0:v>
      </ns0:c>
      <ns0:c r="L1053" t="n">
        <ns0:v>1</ns0:v>
      </ns0:c>
      <ns0:c r="M1053" t="n">
        <ns0:v>78049</ns0:v>
      </ns0:c>
      <ns0:c r="N1053" t="n">
        <ns0:v>1156</ns0:v>
      </ns0:c>
      <ns0:c r="O1053" t="n">
        <ns0:v>79205</ns0:v>
      </ns0:c>
      <ns0:c r="P1053" t="n">
        <ns0:v>9</ns0:v>
      </ns0:c>
      <ns0:c r="Q1053">
        <ns0:f>IF(AND(L1053=1,O1053*Calculations!$B$2&lt;=Calculations!$B$10*Calculations!$B$4),1,0)</ns0:f>
        <ns0:v>0</ns0:v>
      </ns0:c>
      <ns0:c r="R1053">
        <ns0:f>IF(AND(L1053=1,O1053*Calculations!$B$2&lt;=Calculations!$B$11*Calculations!$B$4),1,0)</ns0:f>
        <ns0:v>0</ns0:v>
      </ns0:c>
    </ns0:row>
    <ns0:row r="1054">
      <ns0:c r="A1054" t="inlineStr">
        <ns0:is>
          <ns0:t>case_1053</ns0:t>
        </ns0:is>
      </ns0:c>
      <ns0:c r="B1054" t="inlineStr">
        <ns0:is>
          <ns0:t>function_0210</ns0:t>
        </ns0:is>
      </ns0:c>
      <ns0:c r="C1054" t="inlineStr">
        <ns0:is>
          <ns0:t>run_011</ns0:t>
        </ns0:is>
      </ns0:c>
      <ns0:c r="D1054" t="inlineStr">
        <ns0:is>
          <ns0:t>log</ns0:t>
        </ns0:is>
      </ns0:c>
      <ns0:c r="E1054" t="inlineStr">
        <ns0:is>
          <ns0:t>gemini-2.5-flash-nothinking</ns0:t>
        </ns0:is>
      </ns0:c>
      <ns0:c r="F1054" t="inlineStr">
        <ns0:is>
          <ns0:t>E0599</ns0:t>
        </ns0:is>
      </ns0:c>
      <ns0:c r="G1054" t="n">
        <ns0:v>1</ns0:v>
      </ns0:c>
      <ns0:c r="H1054" t="n">
        <ns0:v>6843</ns0:v>
      </ns0:c>
      <ns0:c r="I1054" t="n">
        <ns0:v>321</ns0:v>
      </ns0:c>
      <ns0:c r="J1054" t="n">
        <ns0:v>7164</ns0:v>
      </ns0:c>
      <ns0:c r="K1054" t="n">
        <ns0:v>2</ns0:v>
      </ns0:c>
      <ns0:c r="L1054" t="n">
        <ns0:v>1</ns0:v>
      </ns0:c>
      <ns0:c r="M1054" t="n">
        <ns0:v>47279</ns0:v>
      </ns0:c>
      <ns0:c r="N1054" t="n">
        <ns0:v>506</ns0:v>
      </ns0:c>
      <ns0:c r="O1054" t="n">
        <ns0:v>47785</ns0:v>
      </ns0:c>
      <ns0:c r="P1054" t="n">
        <ns0:v>6</ns0:v>
      </ns0:c>
      <ns0:c r="Q1054">
        <ns0:f>IF(AND(L1054=1,O1054*Calculations!$B$2&lt;=Calculations!$B$10*Calculations!$B$4),1,0)</ns0:f>
        <ns0:v>0</ns0:v>
      </ns0:c>
      <ns0:c r="R1054">
        <ns0:f>IF(AND(L1054=1,O1054*Calculations!$B$2&lt;=Calculations!$B$11*Calculations!$B$4),1,0)</ns0:f>
        <ns0:v>0</ns0:v>
      </ns0:c>
    </ns0:row>
    <ns0:row r="1055">
      <ns0:c r="A1055" t="inlineStr">
        <ns0:is>
          <ns0:t>case_1054</ns0:t>
        </ns0:is>
      </ns0:c>
      <ns0:c r="B1055" t="inlineStr">
        <ns0:is>
          <ns0:t>function_0210</ns0:t>
        </ns0:is>
      </ns0:c>
      <ns0:c r="C1055" t="inlineStr">
        <ns0:is>
          <ns0:t>run_011</ns0:t>
        </ns0:is>
      </ns0:c>
      <ns0:c r="D1055" t="inlineStr">
        <ns0:is>
          <ns0:t>log</ns0:t>
        </ns0:is>
      </ns0:c>
      <ns0:c r="E1055" t="inlineStr">
        <ns0:is>
          <ns0:t>gemini-2.5-flash-nothinking</ns0:t>
        </ns0:is>
      </ns0:c>
      <ns0:c r="F1055" t="inlineStr">
        <ns0:is>
          <ns0:t>E0261,E0599</ns0:t>
        </ns0:is>
      </ns0:c>
      <ns0:c r="G1055" t="n">
        <ns0:v>1</ns0:v>
      </ns0:c>
      <ns0:c r="H1055" t="n">
        <ns0:v>3278</ns0:v>
      </ns0:c>
      <ns0:c r="I1055" t="n">
        <ns0:v>256</ns0:v>
      </ns0:c>
      <ns0:c r="J1055" t="n">
        <ns0:v>3534</ns0:v>
      </ns0:c>
      <ns0:c r="K1055" t="n">
        <ns0:v>1</ns0:v>
      </ns0:c>
      <ns0:c r="L1055" t="n">
        <ns0:v>0</ns0:v>
      </ns0:c>
      <ns0:c r="M1055" t="n">
        <ns0:v>256738</ns0:v>
      </ns0:c>
      <ns0:c r="N1055" t="n">
        <ns0:v>6753</ns0:v>
      </ns0:c>
      <ns0:c r="O1055" t="n">
        <ns0:v>263491</ns0:v>
      </ns0:c>
      <ns0:c r="P1055" t="n">
        <ns0:v>23</ns0:v>
      </ns0:c>
      <ns0:c r="Q1055">
        <ns0:f>IF(AND(L1055=1,O1055*Calculations!$B$2&lt;=Calculations!$B$10*Calculations!$B$4),1,0)</ns0:f>
        <ns0:v>0</ns0:v>
      </ns0:c>
      <ns0:c r="R1055">
        <ns0:f>IF(AND(L1055=1,O1055*Calculations!$B$2&lt;=Calculations!$B$11*Calculations!$B$4),1,0)</ns0:f>
        <ns0:v>0</ns0:v>
      </ns0:c>
    </ns0:row>
    <ns0:row r="1056">
      <ns0:c r="A1056" t="inlineStr">
        <ns0:is>
          <ns0:t>case_1055</ns0:t>
        </ns0:is>
      </ns0:c>
      <ns0:c r="B1056" t="inlineStr">
        <ns0:is>
          <ns0:t>function_0210</ns0:t>
        </ns0:is>
      </ns0:c>
      <ns0:c r="C1056" t="inlineStr">
        <ns0:is>
          <ns0:t>run_011</ns0:t>
        </ns0:is>
      </ns0:c>
      <ns0:c r="D1056" t="inlineStr">
        <ns0:is>
          <ns0:t>log</ns0:t>
        </ns0:is>
      </ns0:c>
      <ns0:c r="E1056" t="inlineStr">
        <ns0:is>
          <ns0:t>gemini-2.5-flash-nothinking</ns0:t>
        </ns0:is>
      </ns0:c>
      <ns0:c r="F1056" t="inlineStr">
        <ns0:is>
          <ns0:t>E0433,E0599</ns0:t>
        </ns0:is>
      </ns0:c>
      <ns0:c r="G1056" t="n">
        <ns0:v>0</ns0:v>
      </ns0:c>
      <ns0:c r="H1056" t="n">
        <ns0:v>10703</ns0:v>
      </ns0:c>
      <ns0:c r="I1056" t="n">
        <ns0:v>266</ns0:v>
      </ns0:c>
      <ns0:c r="J1056" t="n">
        <ns0:v>10969</ns0:v>
      </ns0:c>
      <ns0:c r="K1056" t="n">
        <ns0:v>3</ns0:v>
      </ns0:c>
      <ns0:c r="L1056" t="n">
        <ns0:v>1</ns0:v>
      </ns0:c>
      <ns0:c r="M1056" t="n">
        <ns0:v>82264</ns0:v>
      </ns0:c>
      <ns0:c r="N1056" t="n">
        <ns0:v>1046</ns0:v>
      </ns0:c>
      <ns0:c r="O1056" t="n">
        <ns0:v>83310</ns0:v>
      </ns0:c>
      <ns0:c r="P1056" t="n">
        <ns0:v>7</ns0:v>
      </ns0:c>
      <ns0:c r="Q1056">
        <ns0:f>IF(AND(L1056=1,O1056*Calculations!$B$2&lt;=Calculations!$B$10*Calculations!$B$4),1,0)</ns0:f>
        <ns0:v>0</ns0:v>
      </ns0:c>
      <ns0:c r="R1056">
        <ns0:f>IF(AND(L1056=1,O1056*Calculations!$B$2&lt;=Calculations!$B$11*Calculations!$B$4),1,0)</ns0:f>
        <ns0:v>0</ns0:v>
      </ns0:c>
    </ns0:row>
    <ns0:row r="1057">
      <ns0:c r="A1057" t="inlineStr">
        <ns0:is>
          <ns0:t>case_1056</ns0:t>
        </ns0:is>
      </ns0:c>
      <ns0:c r="B1057" t="inlineStr">
        <ns0:is>
          <ns0:t>function_0210</ns0:t>
        </ns0:is>
      </ns0:c>
      <ns0:c r="C1057" t="inlineStr">
        <ns0:is>
          <ns0:t>run_011</ns0:t>
        </ns0:is>
      </ns0:c>
      <ns0:c r="D1057" t="inlineStr">
        <ns0:is>
          <ns0:t>log</ns0:t>
        </ns0:is>
      </ns0:c>
      <ns0:c r="E1057" t="inlineStr">
        <ns0:is>
          <ns0:t>gemini-2.5-flash-nothinking</ns0:t>
        </ns0:is>
      </ns0:c>
      <ns0:c r="F1057" t="inlineStr">
        <ns0:is>
          <ns0:t>E0432</ns0:t>
        </ns0:is>
      </ns0:c>
      <ns0:c r="G1057" t="n">
        <ns0:v>1</ns0:v>
      </ns0:c>
      <ns0:c r="H1057" t="n">
        <ns0:v>0</ns0:v>
      </ns0:c>
      <ns0:c r="I1057" t="n">
        <ns0:v>0</ns0:v>
      </ns0:c>
      <ns0:c r="J1057" t="n">
        <ns0:v>0</ns0:v>
      </ns0:c>
      <ns0:c r="K1057" t="n">
        <ns0:v>0</ns0:v>
      </ns0:c>
      <ns0:c r="L1057" t="n">
        <ns0:v>1</ns0:v>
      </ns0:c>
      <ns0:c r="M1057" t="n">
        <ns0:v>108121</ns0:v>
      </ns0:c>
      <ns0:c r="N1057" t="n">
        <ns0:v>590</ns0:v>
      </ns0:c>
      <ns0:c r="O1057" t="n">
        <ns0:v>108711</ns0:v>
      </ns0:c>
      <ns0:c r="P1057" t="n">
        <ns0:v>4</ns0:v>
      </ns0:c>
      <ns0:c r="Q1057">
        <ns0:f>IF(AND(L1057=1,O1057*Calculations!$B$2&lt;=Calculations!$B$10*Calculations!$B$4),1,0)</ns0:f>
        <ns0:v>0</ns0:v>
      </ns0:c>
      <ns0:c r="R1057">
        <ns0:f>IF(AND(L1057=1,O1057*Calculations!$B$2&lt;=Calculations!$B$11*Calculations!$B$4),1,0)</ns0:f>
        <ns0:v>0</ns0:v>
      </ns0:c>
    </ns0:row>
    <ns0:row r="1058">
      <ns0:c r="A1058" t="inlineStr">
        <ns0:is>
          <ns0:t>case_1057</ns0:t>
        </ns0:is>
      </ns0:c>
      <ns0:c r="B1058" t="inlineStr">
        <ns0:is>
          <ns0:t>function_0211</ns0:t>
        </ns0:is>
      </ns0:c>
      <ns0:c r="C1058" t="inlineStr">
        <ns0:is>
          <ns0:t>run_011</ns0:t>
        </ns0:is>
      </ns0:c>
      <ns0:c r="D1058" t="inlineStr">
        <ns0:is>
          <ns0:t>log</ns0:t>
        </ns0:is>
      </ns0:c>
      <ns0:c r="E1058" t="inlineStr">
        <ns0:is>
          <ns0:t>gemini-2.5-flash-nothinking</ns0:t>
        </ns0:is>
      </ns0:c>
      <ns0:c r="F1058" t="inlineStr">
        <ns0:is>
          <ns0:t>E0404,E0405,E0432</ns0:t>
        </ns0:is>
      </ns0:c>
      <ns0:c r="G1058" t="n">
        <ns0:v>0</ns0:v>
      </ns0:c>
      <ns0:c r="H1058" t="n">
        <ns0:v>11581</ns0:v>
      </ns0:c>
      <ns0:c r="I1058" t="n">
        <ns0:v>1344</ns0:v>
      </ns0:c>
      <ns0:c r="J1058" t="n">
        <ns0:v>12925</ns0:v>
      </ns0:c>
      <ns0:c r="K1058" t="n">
        <ns0:v>3</ns0:v>
      </ns0:c>
      <ns0:c r="L1058" t="n">
        <ns0:v>0</ns0:v>
      </ns0:c>
      <ns0:c r="M1058" t="n">
        <ns0:v>186735</ns0:v>
      </ns0:c>
      <ns0:c r="N1058" t="n">
        <ns0:v>2063</ns0:v>
      </ns0:c>
      <ns0:c r="O1058" t="n">
        <ns0:v>188798</ns0:v>
      </ns0:c>
      <ns0:c r="P1058" t="n">
        <ns0:v>20</ns0:v>
      </ns0:c>
      <ns0:c r="Q1058">
        <ns0:f>IF(AND(L1058=1,O1058*Calculations!$B$2&lt;=Calculations!$B$10*Calculations!$B$4),1,0)</ns0:f>
        <ns0:v>0</ns0:v>
      </ns0:c>
      <ns0:c r="R1058">
        <ns0:f>IF(AND(L1058=1,O1058*Calculations!$B$2&lt;=Calculations!$B$11*Calculations!$B$4),1,0)</ns0:f>
        <ns0:v>0</ns0:v>
      </ns0:c>
    </ns0:row>
    <ns0:row r="1059">
      <ns0:c r="A1059" t="inlineStr">
        <ns0:is>
          <ns0:t>case_1058</ns0:t>
        </ns0:is>
      </ns0:c>
      <ns0:c r="B1059" t="inlineStr">
        <ns0:is>
          <ns0:t>function_0211</ns0:t>
        </ns0:is>
      </ns0:c>
      <ns0:c r="C1059" t="inlineStr">
        <ns0:is>
          <ns0:t>run_011</ns0:t>
        </ns0:is>
      </ns0:c>
      <ns0:c r="D1059" t="inlineStr">
        <ns0:is>
          <ns0:t>log</ns0:t>
        </ns0:is>
      </ns0:c>
      <ns0:c r="E1059" t="inlineStr">
        <ns0:is>
          <ns0:t>gemini-2.5-flash-nothinking</ns0:t>
        </ns0:is>
      </ns0:c>
      <ns0:c r="F1059" t="inlineStr">
        <ns0:is>
          <ns0:t>E0432,E0599</ns0:t>
        </ns0:is>
      </ns0:c>
      <ns0:c r="G1059" t="n">
        <ns0:v>0</ns0:v>
      </ns0:c>
      <ns0:c r="H1059" t="n">
        <ns0:v>11752</ns0:v>
      </ns0:c>
      <ns0:c r="I1059" t="n">
        <ns0:v>780</ns0:v>
      </ns0:c>
      <ns0:c r="J1059" t="n">
        <ns0:v>12532</ns0:v>
      </ns0:c>
      <ns0:c r="K1059" t="n">
        <ns0:v>3</ns0:v>
      </ns0:c>
      <ns0:c r="L1059" t="n">
        <ns0:v>1</ns0:v>
      </ns0:c>
      <ns0:c r="M1059" t="n">
        <ns0:v>38382</ns0:v>
      </ns0:c>
      <ns0:c r="N1059" t="n">
        <ns0:v>916</ns0:v>
      </ns0:c>
      <ns0:c r="O1059" t="n">
        <ns0:v>39298</ns0:v>
      </ns0:c>
      <ns0:c r="P1059" t="n">
        <ns0:v>5</ns0:v>
      </ns0:c>
      <ns0:c r="Q1059">
        <ns0:f>IF(AND(L1059=1,O1059*Calculations!$B$2&lt;=Calculations!$B$10*Calculations!$B$4),1,0)</ns0:f>
        <ns0:v>0</ns0:v>
      </ns0:c>
      <ns0:c r="R1059">
        <ns0:f>IF(AND(L1059=1,O1059*Calculations!$B$2&lt;=Calculations!$B$11*Calculations!$B$4),1,0)</ns0:f>
        <ns0:v>1</ns0:v>
      </ns0:c>
    </ns0:row>
    <ns0:row r="1060">
      <ns0:c r="A1060" t="inlineStr">
        <ns0:is>
          <ns0:t>case_1059</ns0:t>
        </ns0:is>
      </ns0:c>
      <ns0:c r="B1060" t="inlineStr">
        <ns0:is>
          <ns0:t>function_0211</ns0:t>
        </ns0:is>
      </ns0:c>
      <ns0:c r="C1060" t="inlineStr">
        <ns0:is>
          <ns0:t>run_011</ns0:t>
        </ns0:is>
      </ns0:c>
      <ns0:c r="D1060" t="inlineStr">
        <ns0:is>
          <ns0:t>log</ns0:t>
        </ns0:is>
      </ns0:c>
      <ns0:c r="E1060" t="inlineStr">
        <ns0:is>
          <ns0:t>gemini-2.5-flash-nothinking</ns0:t>
        </ns0:is>
      </ns0:c>
      <ns0:c r="F1060" t="inlineStr">
        <ns0:is>
          <ns0:t>E0432</ns0:t>
        </ns0:is>
      </ns0:c>
      <ns0:c r="G1060" t="n">
        <ns0:v>1</ns0:v>
      </ns0:c>
      <ns0:c r="H1060" t="n">
        <ns0:v>0</ns0:v>
      </ns0:c>
      <ns0:c r="I1060" t="n">
        <ns0:v>0</ns0:v>
      </ns0:c>
      <ns0:c r="J1060" t="n">
        <ns0:v>0</ns0:v>
      </ns0:c>
      <ns0:c r="K1060" t="n">
        <ns0:v>0</ns0:v>
      </ns0:c>
      <ns0:c r="L1060" t="n">
        <ns0:v>0</ns0:v>
      </ns0:c>
      <ns0:c r="M1060" t="n">
        <ns0:v>187722</ns0:v>
      </ns0:c>
      <ns0:c r="N1060" t="n">
        <ns0:v>3747</ns0:v>
      </ns0:c>
      <ns0:c r="O1060" t="n">
        <ns0:v>191469</ns0:v>
      </ns0:c>
      <ns0:c r="P1060" t="n">
        <ns0:v>20</ns0:v>
      </ns0:c>
      <ns0:c r="Q1060">
        <ns0:f>IF(AND(L1060=1,O1060*Calculations!$B$2&lt;=Calculations!$B$10*Calculations!$B$4),1,0)</ns0:f>
        <ns0:v>0</ns0:v>
      </ns0:c>
      <ns0:c r="R1060">
        <ns0:f>IF(AND(L1060=1,O1060*Calculations!$B$2&lt;=Calculations!$B$11*Calculations!$B$4),1,0)</ns0:f>
        <ns0:v>0</ns0:v>
      </ns0:c>
    </ns0:row>
    <ns0:row r="1061">
      <ns0:c r="A1061" t="inlineStr">
        <ns0:is>
          <ns0:t>case_1060</ns0:t>
        </ns0:is>
      </ns0:c>
      <ns0:c r="B1061" t="inlineStr">
        <ns0:is>
          <ns0:t>function_0211</ns0:t>
        </ns0:is>
      </ns0:c>
      <ns0:c r="C1061" t="inlineStr">
        <ns0:is>
          <ns0:t>run_011</ns0:t>
        </ns0:is>
      </ns0:c>
      <ns0:c r="D1061" t="inlineStr">
        <ns0:is>
          <ns0:t>log</ns0:t>
        </ns0:is>
      </ns0:c>
      <ns0:c r="E1061" t="inlineStr">
        <ns0:is>
          <ns0:t>gemini-2.5-flash-nothinking</ns0:t>
        </ns0:is>
      </ns0:c>
      <ns0:c r="F1061" t="inlineStr">
        <ns0:is>
          <ns0:t>E0433,E0560</ns0:t>
        </ns0:is>
      </ns0:c>
      <ns0:c r="G1061" t="n">
        <ns0:v>0</ns0:v>
      </ns0:c>
      <ns0:c r="H1061" t="n">
        <ns0:v>7502</ns0:v>
      </ns0:c>
      <ns0:c r="I1061" t="n">
        <ns0:v>906</ns0:v>
      </ns0:c>
      <ns0:c r="J1061" t="n">
        <ns0:v>8408</ns0:v>
      </ns0:c>
      <ns0:c r="K1061" t="n">
        <ns0:v>3</ns0:v>
      </ns0:c>
      <ns0:c r="L1061" t="n">
        <ns0:v>0</ns0:v>
      </ns0:c>
      <ns0:c r="M1061" t="n">
        <ns0:v>222587</ns0:v>
      </ns0:c>
      <ns0:c r="N1061" t="n">
        <ns0:v>3462</ns0:v>
      </ns0:c>
      <ns0:c r="O1061" t="n">
        <ns0:v>226049</ns0:v>
      </ns0:c>
      <ns0:c r="P1061" t="n">
        <ns0:v>20</ns0:v>
      </ns0:c>
      <ns0:c r="Q1061">
        <ns0:f>IF(AND(L1061=1,O1061*Calculations!$B$2&lt;=Calculations!$B$10*Calculations!$B$4),1,0)</ns0:f>
        <ns0:v>0</ns0:v>
      </ns0:c>
      <ns0:c r="R1061">
        <ns0:f>IF(AND(L1061=1,O1061*Calculations!$B$2&lt;=Calculations!$B$11*Calculations!$B$4),1,0)</ns0:f>
        <ns0:v>0</ns0:v>
      </ns0:c>
    </ns0:row>
    <ns0:row r="1062">
      <ns0:c r="A1062" t="inlineStr">
        <ns0:is>
          <ns0:t>case_1061</ns0:t>
        </ns0:is>
      </ns0:c>
      <ns0:c r="B1062" t="inlineStr">
        <ns0:is>
          <ns0:t>function_0212</ns0:t>
        </ns0:is>
      </ns0:c>
      <ns0:c r="C1062" t="inlineStr">
        <ns0:is>
          <ns0:t>run_011</ns0:t>
        </ns0:is>
      </ns0:c>
      <ns0:c r="D1062" t="inlineStr">
        <ns0:is>
          <ns0:t>log</ns0:t>
        </ns0:is>
      </ns0:c>
      <ns0:c r="E1062" t="inlineStr">
        <ns0:is>
          <ns0:t>gemini-2.5-flash-nothinking</ns0:t>
        </ns0:is>
      </ns0:c>
      <ns0:c r="F1062" t="inlineStr">
        <ns0:is>
          <ns0:t>E0308,E0432,E0433,E0599</ns0:t>
        </ns0:is>
      </ns0:c>
      <ns0:c r="G1062" t="n">
        <ns0:v>0</ns0:v>
      </ns0:c>
      <ns0:c r="H1062" t="n">
        <ns0:v>10868</ns0:v>
      </ns0:c>
      <ns0:c r="I1062" t="n">
        <ns0:v>1515</ns0:v>
      </ns0:c>
      <ns0:c r="J1062" t="n">
        <ns0:v>12383</ns0:v>
      </ns0:c>
      <ns0:c r="K1062" t="n">
        <ns0:v>3</ns0:v>
      </ns0:c>
      <ns0:c r="L1062" t="n">
        <ns0:v>0</ns0:v>
      </ns0:c>
      <ns0:c r="M1062" t="n">
        <ns0:v>209257</ns0:v>
      </ns0:c>
      <ns0:c r="N1062" t="n">
        <ns0:v>4088</ns0:v>
      </ns0:c>
      <ns0:c r="O1062" t="n">
        <ns0:v>213345</ns0:v>
      </ns0:c>
      <ns0:c r="P1062" t="n">
        <ns0:v>20</ns0:v>
      </ns0:c>
      <ns0:c r="Q1062">
        <ns0:f>IF(AND(L1062=1,O1062*Calculations!$B$2&lt;=Calculations!$B$10*Calculations!$B$4),1,0)</ns0:f>
        <ns0:v>0</ns0:v>
      </ns0:c>
      <ns0:c r="R1062">
        <ns0:f>IF(AND(L1062=1,O1062*Calculations!$B$2&lt;=Calculations!$B$11*Calculations!$B$4),1,0)</ns0:f>
        <ns0:v>0</ns0:v>
      </ns0:c>
    </ns0:row>
    <ns0:row r="1063">
      <ns0:c r="A1063" t="inlineStr">
        <ns0:is>
          <ns0:t>case_1062</ns0:t>
        </ns0:is>
      </ns0:c>
      <ns0:c r="B1063" t="inlineStr">
        <ns0:is>
          <ns0:t>function_0212</ns0:t>
        </ns0:is>
      </ns0:c>
      <ns0:c r="C1063" t="inlineStr">
        <ns0:is>
          <ns0:t>run_011</ns0:t>
        </ns0:is>
      </ns0:c>
      <ns0:c r="D1063" t="inlineStr">
        <ns0:is>
          <ns0:t>log</ns0:t>
        </ns0:is>
      </ns0:c>
      <ns0:c r="E1063" t="inlineStr">
        <ns0:is>
          <ns0:t>gemini-2.5-flash-nothinking</ns0:t>
        </ns0:is>
      </ns0:c>
      <ns0:c r="F1063" t="inlineStr">
        <ns0:is>
          <ns0:t>E0433</ns0:t>
        </ns0:is>
      </ns0:c>
      <ns0:c r="G1063" t="n">
        <ns0:v>0</ns0:v>
      </ns0:c>
      <ns0:c r="H1063" t="n">
        <ns0:v>9636</ns0:v>
      </ns0:c>
      <ns0:c r="I1063" t="n">
        <ns0:v>1586</ns0:v>
      </ns0:c>
      <ns0:c r="J1063" t="n">
        <ns0:v>11222</ns0:v>
      </ns0:c>
      <ns0:c r="K1063" t="n">
        <ns0:v>3</ns0:v>
      </ns0:c>
      <ns0:c r="L1063" t="n">
        <ns0:v>0</ns0:v>
      </ns0:c>
      <ns0:c r="M1063" t="n">
        <ns0:v>290311</ns0:v>
      </ns0:c>
      <ns0:c r="N1063" t="n">
        <ns0:v>3247</ns0:v>
      </ns0:c>
      <ns0:c r="O1063" t="n">
        <ns0:v>293558</ns0:v>
      </ns0:c>
      <ns0:c r="P1063" t="n">
        <ns0:v>20</ns0:v>
      </ns0:c>
      <ns0:c r="Q1063">
        <ns0:f>IF(AND(L1063=1,O1063*Calculations!$B$2&lt;=Calculations!$B$10*Calculations!$B$4),1,0)</ns0:f>
        <ns0:v>0</ns0:v>
      </ns0:c>
      <ns0:c r="R1063">
        <ns0:f>IF(AND(L1063=1,O1063*Calculations!$B$2&lt;=Calculations!$B$11*Calculations!$B$4),1,0)</ns0:f>
        <ns0:v>0</ns0:v>
      </ns0:c>
    </ns0:row>
    <ns0:row r="1064">
      <ns0:c r="A1064" t="inlineStr">
        <ns0:is>
          <ns0:t>case_1063</ns0:t>
        </ns0:is>
      </ns0:c>
      <ns0:c r="B1064" t="inlineStr">
        <ns0:is>
          <ns0:t>function_0212</ns0:t>
        </ns0:is>
      </ns0:c>
      <ns0:c r="C1064" t="inlineStr">
        <ns0:is>
          <ns0:t>run_011</ns0:t>
        </ns0:is>
      </ns0:c>
      <ns0:c r="D1064" t="inlineStr">
        <ns0:is>
          <ns0:t>log</ns0:t>
        </ns0:is>
      </ns0:c>
      <ns0:c r="E1064" t="inlineStr">
        <ns0:is>
          <ns0:t>gemini-2.5-flash-nothinking</ns0:t>
        </ns0:is>
      </ns0:c>
      <ns0:c r="F1064" t="inlineStr">
        <ns0:is>
          <ns0:t>E0432,E0433,E0560,E0599</ns0:t>
        </ns0:is>
      </ns0:c>
      <ns0:c r="G1064" t="n">
        <ns0:v>0</ns0:v>
      </ns0:c>
      <ns0:c r="H1064" t="n">
        <ns0:v>10377</ns0:v>
      </ns0:c>
      <ns0:c r="I1064" t="n">
        <ns0:v>439</ns0:v>
      </ns0:c>
      <ns0:c r="J1064" t="n">
        <ns0:v>10816</ns0:v>
      </ns0:c>
      <ns0:c r="K1064" t="n">
        <ns0:v>3</ns0:v>
      </ns0:c>
      <ns0:c r="L1064" t="n">
        <ns0:v>1</ns0:v>
      </ns0:c>
      <ns0:c r="M1064" t="n">
        <ns0:v>135429</ns0:v>
      </ns0:c>
      <ns0:c r="N1064" t="n">
        <ns0:v>2118</ns0:v>
      </ns0:c>
      <ns0:c r="O1064" t="n">
        <ns0:v>137547</ns0:v>
      </ns0:c>
      <ns0:c r="P1064" t="n">
        <ns0:v>15</ns0:v>
      </ns0:c>
      <ns0:c r="Q1064">
        <ns0:f>IF(AND(L1064=1,O1064*Calculations!$B$2&lt;=Calculations!$B$10*Calculations!$B$4),1,0)</ns0:f>
        <ns0:v>0</ns0:v>
      </ns0:c>
      <ns0:c r="R1064">
        <ns0:f>IF(AND(L1064=1,O1064*Calculations!$B$2&lt;=Calculations!$B$11*Calculations!$B$4),1,0)</ns0:f>
        <ns0:v>0</ns0:v>
      </ns0:c>
    </ns0:row>
    <ns0:row r="1065">
      <ns0:c r="A1065" t="inlineStr">
        <ns0:is>
          <ns0:t>case_1064</ns0:t>
        </ns0:is>
      </ns0:c>
      <ns0:c r="B1065" t="inlineStr">
        <ns0:is>
          <ns0:t>function_0212</ns0:t>
        </ns0:is>
      </ns0:c>
      <ns0:c r="C1065" t="inlineStr">
        <ns0:is>
          <ns0:t>run_011</ns0:t>
        </ns0:is>
      </ns0:c>
      <ns0:c r="D1065" t="inlineStr">
        <ns0:is>
          <ns0:t>log</ns0:t>
        </ns0:is>
      </ns0:c>
      <ns0:c r="E1065" t="inlineStr">
        <ns0:is>
          <ns0:t>gemini-2.5-flash-nothinking</ns0:t>
        </ns0:is>
      </ns0:c>
      <ns0:c r="F1065" t="inlineStr">
        <ns0:is>
          <ns0:t>E0308</ns0:t>
        </ns0:is>
      </ns0:c>
      <ns0:c r="G1065" t="n">
        <ns0:v>0</ns0:v>
      </ns0:c>
      <ns0:c r="H1065" t="n">
        <ns0:v>10969</ns0:v>
      </ns0:c>
      <ns0:c r="I1065" t="n">
        <ns0:v>405</ns0:v>
      </ns0:c>
      <ns0:c r="J1065" t="n">
        <ns0:v>11374</ns0:v>
      </ns0:c>
      <ns0:c r="K1065" t="n">
        <ns0:v>3</ns0:v>
      </ns0:c>
      <ns0:c r="L1065" t="n">
        <ns0:v>1</ns0:v>
      </ns0:c>
      <ns0:c r="M1065" t="n">
        <ns0:v>22215</ns0:v>
      </ns0:c>
      <ns0:c r="N1065" t="n">
        <ns0:v>429</ns0:v>
      </ns0:c>
      <ns0:c r="O1065" t="n">
        <ns0:v>22644</ns0:v>
      </ns0:c>
      <ns0:c r="P1065" t="n">
        <ns0:v>3</ns0:v>
      </ns0:c>
      <ns0:c r="Q1065">
        <ns0:f>IF(AND(L1065=1,O1065*Calculations!$B$2&lt;=Calculations!$B$10*Calculations!$B$4),1,0)</ns0:f>
        <ns0:v>1</ns0:v>
      </ns0:c>
      <ns0:c r="R1065">
        <ns0:f>IF(AND(L1065=1,O1065*Calculations!$B$2&lt;=Calculations!$B$11*Calculations!$B$4),1,0)</ns0:f>
        <ns0:v>1</ns0:v>
      </ns0:c>
    </ns0:row>
    <ns0:row r="1066">
      <ns0:c r="A1066" t="inlineStr">
        <ns0:is>
          <ns0:t>case_1065</ns0:t>
        </ns0:is>
      </ns0:c>
      <ns0:c r="B1066" t="inlineStr">
        <ns0:is>
          <ns0:t>function_0213</ns0:t>
        </ns0:is>
      </ns0:c>
      <ns0:c r="C1066" t="inlineStr">
        <ns0:is>
          <ns0:t>run_011</ns0:t>
        </ns0:is>
      </ns0:c>
      <ns0:c r="D1066" t="inlineStr">
        <ns0:is>
          <ns0:t>log</ns0:t>
        </ns0:is>
      </ns0:c>
      <ns0:c r="E1066" t="inlineStr">
        <ns0:is>
          <ns0:t>gemini-2.5-flash-nothinking</ns0:t>
        </ns0:is>
      </ns0:c>
      <ns0:c r="F1066" t="inlineStr">
        <ns0:is>
          <ns0:t>E0599</ns0:t>
        </ns0:is>
      </ns0:c>
      <ns0:c r="G1066" t="n">
        <ns0:v>1</ns0:v>
      </ns0:c>
      <ns0:c r="H1066" t="n">
        <ns0:v>3651</ns0:v>
      </ns0:c>
      <ns0:c r="I1066" t="n">
        <ns0:v>129</ns0:v>
      </ns0:c>
      <ns0:c r="J1066" t="n">
        <ns0:v>3780</ns0:v>
      </ns0:c>
      <ns0:c r="K1066" t="n">
        <ns0:v>1</ns0:v>
      </ns0:c>
      <ns0:c r="L1066" t="n">
        <ns0:v>1</ns0:v>
      </ns0:c>
      <ns0:c r="M1066" t="n">
        <ns0:v>109543</ns0:v>
      </ns0:c>
      <ns0:c r="N1066" t="n">
        <ns0:v>562</ns0:v>
      </ns0:c>
      <ns0:c r="O1066" t="n">
        <ns0:v>110105</ns0:v>
      </ns0:c>
      <ns0:c r="P1066" t="n">
        <ns0:v>4</ns0:v>
      </ns0:c>
      <ns0:c r="Q1066">
        <ns0:f>IF(AND(L1066=1,O1066*Calculations!$B$2&lt;=Calculations!$B$10*Calculations!$B$4),1,0)</ns0:f>
        <ns0:v>0</ns0:v>
      </ns0:c>
      <ns0:c r="R1066">
        <ns0:f>IF(AND(L1066=1,O1066*Calculations!$B$2&lt;=Calculations!$B$11*Calculations!$B$4),1,0)</ns0:f>
        <ns0:v>0</ns0:v>
      </ns0:c>
    </ns0:row>
    <ns0:row r="1067">
      <ns0:c r="A1067" t="inlineStr">
        <ns0:is>
          <ns0:t>case_1066</ns0:t>
        </ns0:is>
      </ns0:c>
      <ns0:c r="B1067" t="inlineStr">
        <ns0:is>
          <ns0:t>function_0213</ns0:t>
        </ns0:is>
      </ns0:c>
      <ns0:c r="C1067" t="inlineStr">
        <ns0:is>
          <ns0:t>run_011</ns0:t>
        </ns0:is>
      </ns0:c>
      <ns0:c r="D1067" t="inlineStr">
        <ns0:is>
          <ns0:t>log</ns0:t>
        </ns0:is>
      </ns0:c>
      <ns0:c r="E1067" t="inlineStr">
        <ns0:is>
          <ns0:t>gemini-2.5-flash-nothinking</ns0:t>
        </ns0:is>
      </ns0:c>
      <ns0:c r="F1067" t="inlineStr">
        <ns0:is>
          <ns0:t>E0599</ns0:t>
        </ns0:is>
      </ns0:c>
      <ns0:c r="G1067" t="n">
        <ns0:v>1</ns0:v>
      </ns0:c>
      <ns0:c r="H1067" t="n">
        <ns0:v>3660</ns0:v>
      </ns0:c>
      <ns0:c r="I1067" t="n">
        <ns0:v>135</ns0:v>
      </ns0:c>
      <ns0:c r="J1067" t="n">
        <ns0:v>3795</ns0:v>
      </ns0:c>
      <ns0:c r="K1067" t="n">
        <ns0:v>1</ns0:v>
      </ns0:c>
      <ns0:c r="L1067" t="n">
        <ns0:v>1</ns0:v>
      </ns0:c>
      <ns0:c r="M1067" t="n">
        <ns0:v>40143</ns0:v>
      </ns0:c>
      <ns0:c r="N1067" t="n">
        <ns0:v>613</ns0:v>
      </ns0:c>
      <ns0:c r="O1067" t="n">
        <ns0:v>40756</ns0:v>
      </ns0:c>
      <ns0:c r="P1067" t="n">
        <ns0:v>5</ns0:v>
      </ns0:c>
      <ns0:c r="Q1067">
        <ns0:f>IF(AND(L1067=1,O1067*Calculations!$B$2&lt;=Calculations!$B$10*Calculations!$B$4),1,0)</ns0:f>
        <ns0:v>0</ns0:v>
      </ns0:c>
      <ns0:c r="R1067">
        <ns0:f>IF(AND(L1067=1,O1067*Calculations!$B$2&lt;=Calculations!$B$11*Calculations!$B$4),1,0)</ns0:f>
        <ns0:v>1</ns0:v>
      </ns0:c>
    </ns0:row>
    <ns0:row r="1068">
      <ns0:c r="A1068" t="inlineStr">
        <ns0:is>
          <ns0:t>case_1067</ns0:t>
        </ns0:is>
      </ns0:c>
      <ns0:c r="B1068" t="inlineStr">
        <ns0:is>
          <ns0:t>function_0213</ns0:t>
        </ns0:is>
      </ns0:c>
      <ns0:c r="C1068" t="inlineStr">
        <ns0:is>
          <ns0:t>run_011</ns0:t>
        </ns0:is>
      </ns0:c>
      <ns0:c r="D1068" t="inlineStr">
        <ns0:is>
          <ns0:t>log</ns0:t>
        </ns0:is>
      </ns0:c>
      <ns0:c r="E1068" t="inlineStr">
        <ns0:is>
          <ns0:t>gemini-2.5-flash-nothinking</ns0:t>
        </ns0:is>
      </ns0:c>
      <ns0:c r="F1068" t="inlineStr">
        <ns0:is>
          <ns0:t>E0308,E0599</ns0:t>
        </ns0:is>
      </ns0:c>
      <ns0:c r="G1068" t="n">
        <ns0:v>0</ns0:v>
      </ns0:c>
      <ns0:c r="H1068" t="n">
        <ns0:v>10943</ns0:v>
      </ns0:c>
      <ns0:c r="I1068" t="n">
        <ns0:v>410</ns0:v>
      </ns0:c>
      <ns0:c r="J1068" t="n">
        <ns0:v>11353</ns0:v>
      </ns0:c>
      <ns0:c r="K1068" t="n">
        <ns0:v>3</ns0:v>
      </ns0:c>
      <ns0:c r="L1068" t="n">
        <ns0:v>0</ns0:v>
      </ns0:c>
      <ns0:c r="M1068" t="n">
        <ns0:v>283737</ns0:v>
      </ns0:c>
      <ns0:c r="N1068" t="n">
        <ns0:v>1207</ns0:v>
      </ns0:c>
      <ns0:c r="O1068" t="n">
        <ns0:v>284944</ns0:v>
      </ns0:c>
      <ns0:c r="P1068" t="n">
        <ns0:v>9</ns0:v>
      </ns0:c>
      <ns0:c r="Q1068">
        <ns0:f>IF(AND(L1068=1,O1068*Calculations!$B$2&lt;=Calculations!$B$10*Calculations!$B$4),1,0)</ns0:f>
        <ns0:v>0</ns0:v>
      </ns0:c>
      <ns0:c r="R1068">
        <ns0:f>IF(AND(L1068=1,O1068*Calculations!$B$2&lt;=Calculations!$B$11*Calculations!$B$4),1,0)</ns0:f>
        <ns0:v>0</ns0:v>
      </ns0:c>
    </ns0:row>
    <ns0:row r="1069">
      <ns0:c r="A1069" t="inlineStr">
        <ns0:is>
          <ns0:t>case_1068</ns0:t>
        </ns0:is>
      </ns0:c>
      <ns0:c r="B1069" t="inlineStr">
        <ns0:is>
          <ns0:t>function_0213</ns0:t>
        </ns0:is>
      </ns0:c>
      <ns0:c r="C1069" t="inlineStr">
        <ns0:is>
          <ns0:t>run_011</ns0:t>
        </ns0:is>
      </ns0:c>
      <ns0:c r="D1069" t="inlineStr">
        <ns0:is>
          <ns0:t>log</ns0:t>
        </ns0:is>
      </ns0:c>
      <ns0:c r="E1069" t="inlineStr">
        <ns0:is>
          <ns0:t>gemini-2.5-flash-nothinking</ns0:t>
        </ns0:is>
      </ns0:c>
      <ns0:c r="F1069" t="inlineStr">
        <ns0:is>
          <ns0:t>E0599</ns0:t>
        </ns0:is>
      </ns0:c>
      <ns0:c r="G1069" t="n">
        <ns0:v>1</ns0:v>
      </ns0:c>
      <ns0:c r="H1069" t="n">
        <ns0:v>3573</ns0:v>
      </ns0:c>
      <ns0:c r="I1069" t="n">
        <ns0:v>129</ns0:v>
      </ns0:c>
      <ns0:c r="J1069" t="n">
        <ns0:v>3702</ns0:v>
      </ns0:c>
      <ns0:c r="K1069" t="n">
        <ns0:v>1</ns0:v>
      </ns0:c>
      <ns0:c r="L1069" t="n">
        <ns0:v>1</ns0:v>
      </ns0:c>
      <ns0:c r="M1069" t="n">
        <ns0:v>142783</ns0:v>
      </ns0:c>
      <ns0:c r="N1069" t="n">
        <ns0:v>1140</ns0:v>
      </ns0:c>
      <ns0:c r="O1069" t="n">
        <ns0:v>143923</ns0:v>
      </ns0:c>
      <ns0:c r="P1069" t="n">
        <ns0:v>5</ns0:v>
      </ns0:c>
      <ns0:c r="Q1069">
        <ns0:f>IF(AND(L1069=1,O1069*Calculations!$B$2&lt;=Calculations!$B$10*Calculations!$B$4),1,0)</ns0:f>
        <ns0:v>0</ns0:v>
      </ns0:c>
      <ns0:c r="R1069">
        <ns0:f>IF(AND(L1069=1,O1069*Calculations!$B$2&lt;=Calculations!$B$11*Calculations!$B$4),1,0)</ns0:f>
        <ns0:v>0</ns0:v>
      </ns0:c>
    </ns0:row>
    <ns0:row r="1070">
      <ns0:c r="A1070" t="inlineStr">
        <ns0:is>
          <ns0:t>case_1069</ns0:t>
        </ns0:is>
      </ns0:c>
      <ns0:c r="B1070" t="inlineStr">
        <ns0:is>
          <ns0:t>function_0214</ns0:t>
        </ns0:is>
      </ns0:c>
      <ns0:c r="C1070" t="inlineStr">
        <ns0:is>
          <ns0:t>run_011</ns0:t>
        </ns0:is>
      </ns0:c>
      <ns0:c r="D1070" t="inlineStr">
        <ns0:is>
          <ns0:t>log</ns0:t>
        </ns0:is>
      </ns0:c>
      <ns0:c r="E1070" t="inlineStr">
        <ns0:is>
          <ns0:t>gemini-2.5-flash-nothinking</ns0:t>
        </ns0:is>
      </ns0:c>
      <ns0:c r="F1070" t="inlineStr">
        <ns0:is>
          <ns0:t>E0432</ns0:t>
        </ns0:is>
      </ns0:c>
      <ns0:c r="G1070" t="n">
        <ns0:v>1</ns0:v>
      </ns0:c>
      <ns0:c r="H1070" t="n">
        <ns0:v>0</ns0:v>
      </ns0:c>
      <ns0:c r="I1070" t="n">
        <ns0:v>0</ns0:v>
      </ns0:c>
      <ns0:c r="J1070" t="n">
        <ns0:v>0</ns0:v>
      </ns0:c>
      <ns0:c r="K1070" t="n">
        <ns0:v>0</ns0:v>
      </ns0:c>
      <ns0:c r="L1070" t="n">
        <ns0:v>1</ns0:v>
      </ns0:c>
      <ns0:c r="M1070" t="n">
        <ns0:v>21291</ns0:v>
      </ns0:c>
      <ns0:c r="N1070" t="n">
        <ns0:v>238</ns0:v>
      </ns0:c>
      <ns0:c r="O1070" t="n">
        <ns0:v>21529</ns0:v>
      </ns0:c>
      <ns0:c r="P1070" t="n">
        <ns0:v>3</ns0:v>
      </ns0:c>
      <ns0:c r="Q1070">
        <ns0:f>IF(AND(L1070=1,O1070*Calculations!$B$2&lt;=Calculations!$B$10*Calculations!$B$4),1,0)</ns0:f>
        <ns0:v>1</ns0:v>
      </ns0:c>
      <ns0:c r="R1070">
        <ns0:f>IF(AND(L1070=1,O1070*Calculations!$B$2&lt;=Calculations!$B$11*Calculations!$B$4),1,0)</ns0:f>
        <ns0:v>1</ns0:v>
      </ns0:c>
    </ns0:row>
    <ns0:row r="1071">
      <ns0:c r="A1071" t="inlineStr">
        <ns0:is>
          <ns0:t>case_1070</ns0:t>
        </ns0:is>
      </ns0:c>
      <ns0:c r="B1071" t="inlineStr">
        <ns0:is>
          <ns0:t>function_0214</ns0:t>
        </ns0:is>
      </ns0:c>
      <ns0:c r="C1071" t="inlineStr">
        <ns0:is>
          <ns0:t>run_011</ns0:t>
        </ns0:is>
      </ns0:c>
      <ns0:c r="D1071" t="inlineStr">
        <ns0:is>
          <ns0:t>log</ns0:t>
        </ns0:is>
      </ns0:c>
      <ns0:c r="E1071" t="inlineStr">
        <ns0:is>
          <ns0:t>gemini-2.5-flash-nothinking</ns0:t>
        </ns0:is>
      </ns0:c>
      <ns0:c r="F1071" t="inlineStr">
        <ns0:is>
          <ns0:t>E0061,E0432,E0599</ns0:t>
        </ns0:is>
      </ns0:c>
      <ns0:c r="G1071" t="n">
        <ns0:v>0</ns0:v>
      </ns0:c>
      <ns0:c r="H1071" t="n">
        <ns0:v>9282</ns0:v>
      </ns0:c>
      <ns0:c r="I1071" t="n">
        <ns0:v>234</ns0:v>
      </ns0:c>
      <ns0:c r="J1071" t="n">
        <ns0:v>9516</ns0:v>
      </ns0:c>
      <ns0:c r="K1071" t="n">
        <ns0:v>3</ns0:v>
      </ns0:c>
      <ns0:c r="L1071" t="n">
        <ns0:v>0</ns0:v>
      </ns0:c>
      <ns0:c r="M1071" t="n">
        <ns0:v>76857</ns0:v>
      </ns0:c>
      <ns0:c r="N1071" t="n">
        <ns0:v>1180</ns0:v>
      </ns0:c>
      <ns0:c r="O1071" t="n">
        <ns0:v>78037</ns0:v>
      </ns0:c>
      <ns0:c r="P1071" t="n">
        <ns0:v>10</ns0:v>
      </ns0:c>
      <ns0:c r="Q1071">
        <ns0:f>IF(AND(L1071=1,O1071*Calculations!$B$2&lt;=Calculations!$B$10*Calculations!$B$4),1,0)</ns0:f>
        <ns0:v>0</ns0:v>
      </ns0:c>
      <ns0:c r="R1071">
        <ns0:f>IF(AND(L1071=1,O1071*Calculations!$B$2&lt;=Calculations!$B$11*Calculations!$B$4),1,0)</ns0:f>
        <ns0:v>0</ns0:v>
      </ns0:c>
    </ns0:row>
    <ns0:row r="1072">
      <ns0:c r="A1072" t="inlineStr">
        <ns0:is>
          <ns0:t>case_1071</ns0:t>
        </ns0:is>
      </ns0:c>
      <ns0:c r="B1072" t="inlineStr">
        <ns0:is>
          <ns0:t>function_0214</ns0:t>
        </ns0:is>
      </ns0:c>
      <ns0:c r="C1072" t="inlineStr">
        <ns0:is>
          <ns0:t>run_011</ns0:t>
        </ns0:is>
      </ns0:c>
      <ns0:c r="D1072" t="inlineStr">
        <ns0:is>
          <ns0:t>log</ns0:t>
        </ns0:is>
      </ns0:c>
      <ns0:c r="E1072" t="inlineStr">
        <ns0:is>
          <ns0:t>gemini-2.5-flash-nothinking</ns0:t>
        </ns0:is>
      </ns0:c>
      <ns0:c r="F1072" t="inlineStr">
        <ns0:is>
          <ns0:t>E0432,E0599</ns0:t>
        </ns0:is>
      </ns0:c>
      <ns0:c r="G1072" t="n">
        <ns0:v>0</ns0:v>
      </ns0:c>
      <ns0:c r="H1072" t="n">
        <ns0:v>9115</ns0:v>
      </ns0:c>
      <ns0:c r="I1072" t="n">
        <ns0:v>255</ns0:v>
      </ns0:c>
      <ns0:c r="J1072" t="n">
        <ns0:v>9370</ns0:v>
      </ns0:c>
      <ns0:c r="K1072" t="n">
        <ns0:v>3</ns0:v>
      </ns0:c>
      <ns0:c r="L1072" t="n">
        <ns0:v>1</ns0:v>
      </ns0:c>
      <ns0:c r="M1072" t="n">
        <ns0:v>85718</ns0:v>
      </ns0:c>
      <ns0:c r="N1072" t="n">
        <ns0:v>966</ns0:v>
      </ns0:c>
      <ns0:c r="O1072" t="n">
        <ns0:v>86684</ns0:v>
      </ns0:c>
      <ns0:c r="P1072" t="n">
        <ns0:v>10</ns0:v>
      </ns0:c>
      <ns0:c r="Q1072">
        <ns0:f>IF(AND(L1072=1,O1072*Calculations!$B$2&lt;=Calculations!$B$10*Calculations!$B$4),1,0)</ns0:f>
        <ns0:v>0</ns0:v>
      </ns0:c>
      <ns0:c r="R1072">
        <ns0:f>IF(AND(L1072=1,O1072*Calculations!$B$2&lt;=Calculations!$B$11*Calculations!$B$4),1,0)</ns0:f>
        <ns0:v>0</ns0:v>
      </ns0:c>
    </ns0:row>
    <ns0:row r="1073">
      <ns0:c r="A1073" t="inlineStr">
        <ns0:is>
          <ns0:t>case_1072</ns0:t>
        </ns0:is>
      </ns0:c>
      <ns0:c r="B1073" t="inlineStr">
        <ns0:is>
          <ns0:t>function_0214</ns0:t>
        </ns0:is>
      </ns0:c>
      <ns0:c r="C1073" t="inlineStr">
        <ns0:is>
          <ns0:t>run_011</ns0:t>
        </ns0:is>
      </ns0:c>
      <ns0:c r="D1073" t="inlineStr">
        <ns0:is>
          <ns0:t>log</ns0:t>
        </ns0:is>
      </ns0:c>
      <ns0:c r="E1073" t="inlineStr">
        <ns0:is>
          <ns0:t>gemini-2.5-flash-nothinking</ns0:t>
        </ns0:is>
      </ns0:c>
      <ns0:c r="F1073" t="inlineStr">
        <ns0:is>
          <ns0:t>E0432</ns0:t>
        </ns0:is>
      </ns0:c>
      <ns0:c r="G1073" t="n">
        <ns0:v>1</ns0:v>
      </ns0:c>
      <ns0:c r="H1073" t="n">
        <ns0:v>0</ns0:v>
      </ns0:c>
      <ns0:c r="I1073" t="n">
        <ns0:v>0</ns0:v>
      </ns0:c>
      <ns0:c r="J1073" t="n">
        <ns0:v>0</ns0:v>
      </ns0:c>
      <ns0:c r="K1073" t="n">
        <ns0:v>0</ns0:v>
      </ns0:c>
      <ns0:c r="L1073" t="n">
        <ns0:v>1</ns0:v>
      </ns0:c>
      <ns0:c r="M1073" t="n">
        <ns0:v>20066</ns0:v>
      </ns0:c>
      <ns0:c r="N1073" t="n">
        <ns0:v>250</ns0:v>
      </ns0:c>
      <ns0:c r="O1073" t="n">
        <ns0:v>20316</ns0:v>
      </ns0:c>
      <ns0:c r="P1073" t="n">
        <ns0:v>3</ns0:v>
      </ns0:c>
      <ns0:c r="Q1073">
        <ns0:f>IF(AND(L1073=1,O1073*Calculations!$B$2&lt;=Calculations!$B$10*Calculations!$B$4),1,0)</ns0:f>
        <ns0:v>1</ns0:v>
      </ns0:c>
      <ns0:c r="R1073">
        <ns0:f>IF(AND(L1073=1,O1073*Calculations!$B$2&lt;=Calculations!$B$11*Calculations!$B$4),1,0)</ns0:f>
        <ns0:v>1</ns0:v>
      </ns0:c>
    </ns0:row>
    <ns0:row r="1074">
      <ns0:c r="A1074" t="inlineStr">
        <ns0:is>
          <ns0:t>case_1073</ns0:t>
        </ns0:is>
      </ns0:c>
      <ns0:c r="B1074" t="inlineStr">
        <ns0:is>
          <ns0:t>function_0215</ns0:t>
        </ns0:is>
      </ns0:c>
      <ns0:c r="C1074" t="inlineStr">
        <ns0:is>
          <ns0:t>run_011</ns0:t>
        </ns0:is>
      </ns0:c>
      <ns0:c r="D1074" t="inlineStr">
        <ns0:is>
          <ns0:t>log</ns0:t>
        </ns0:is>
      </ns0:c>
      <ns0:c r="E1074" t="inlineStr">
        <ns0:is>
          <ns0:t>gemini-2.5-flash-nothinking</ns0:t>
        </ns0:is>
      </ns0:c>
      <ns0:c r="F1074" t="inlineStr">
        <ns0:is>
          <ns0:t>E0599</ns0:t>
        </ns0:is>
      </ns0:c>
      <ns0:c r="G1074" t="n">
        <ns0:v>1</ns0:v>
      </ns0:c>
      <ns0:c r="H1074" t="n">
        <ns0:v>2878</ns0:v>
      </ns0:c>
      <ns0:c r="I1074" t="n">
        <ns0:v>113</ns0:v>
      </ns0:c>
      <ns0:c r="J1074" t="n">
        <ns0:v>2991</ns0:v>
      </ns0:c>
      <ns0:c r="K1074" t="n">
        <ns0:v>1</ns0:v>
      </ns0:c>
      <ns0:c r="L1074" t="n">
        <ns0:v>1</ns0:v>
      </ns0:c>
      <ns0:c r="M1074" t="n">
        <ns0:v>96054</ns0:v>
      </ns0:c>
      <ns0:c r="N1074" t="n">
        <ns0:v>1302</ns0:v>
      </ns0:c>
      <ns0:c r="O1074" t="n">
        <ns0:v>97356</ns0:v>
      </ns0:c>
      <ns0:c r="P1074" t="n">
        <ns0:v>7</ns0:v>
      </ns0:c>
      <ns0:c r="Q1074">
        <ns0:f>IF(AND(L1074=1,O1074*Calculations!$B$2&lt;=Calculations!$B$10*Calculations!$B$4),1,0)</ns0:f>
        <ns0:v>0</ns0:v>
      </ns0:c>
      <ns0:c r="R1074">
        <ns0:f>IF(AND(L1074=1,O1074*Calculations!$B$2&lt;=Calculations!$B$11*Calculations!$B$4),1,0)</ns0:f>
        <ns0:v>0</ns0:v>
      </ns0:c>
    </ns0:row>
    <ns0:row r="1075">
      <ns0:c r="A1075" t="inlineStr">
        <ns0:is>
          <ns0:t>case_1074</ns0:t>
        </ns0:is>
      </ns0:c>
      <ns0:c r="B1075" t="inlineStr">
        <ns0:is>
          <ns0:t>function_0215</ns0:t>
        </ns0:is>
      </ns0:c>
      <ns0:c r="C1075" t="inlineStr">
        <ns0:is>
          <ns0:t>run_011</ns0:t>
        </ns0:is>
      </ns0:c>
      <ns0:c r="D1075" t="inlineStr">
        <ns0:is>
          <ns0:t>log</ns0:t>
        </ns0:is>
      </ns0:c>
      <ns0:c r="E1075" t="inlineStr">
        <ns0:is>
          <ns0:t>gemini-2.5-flash-nothinking</ns0:t>
        </ns0:is>
      </ns0:c>
      <ns0:c r="F1075" t="inlineStr">
        <ns0:is>
          <ns0:t>E0308,E0560</ns0:t>
        </ns0:is>
      </ns0:c>
      <ns0:c r="G1075" t="n">
        <ns0:v>1</ns0:v>
      </ns0:c>
      <ns0:c r="H1075" t="n">
        <ns0:v>3062</ns0:v>
      </ns0:c>
      <ns0:c r="I1075" t="n">
        <ns0:v>115</ns0:v>
      </ns0:c>
      <ns0:c r="J1075" t="n">
        <ns0:v>3177</ns0:v>
      </ns0:c>
      <ns0:c r="K1075" t="n">
        <ns0:v>1</ns0:v>
      </ns0:c>
      <ns0:c r="L1075" t="n">
        <ns0:v>1</ns0:v>
      </ns0:c>
      <ns0:c r="M1075" t="n">
        <ns0:v>111093</ns0:v>
      </ns0:c>
      <ns0:c r="N1075" t="n">
        <ns0:v>682</ns0:v>
      </ns0:c>
      <ns0:c r="O1075" t="n">
        <ns0:v>111775</ns0:v>
      </ns0:c>
      <ns0:c r="P1075" t="n">
        <ns0:v>4</ns0:v>
      </ns0:c>
      <ns0:c r="Q1075">
        <ns0:f>IF(AND(L1075=1,O1075*Calculations!$B$2&lt;=Calculations!$B$10*Calculations!$B$4),1,0)</ns0:f>
        <ns0:v>0</ns0:v>
      </ns0:c>
      <ns0:c r="R1075">
        <ns0:f>IF(AND(L1075=1,O1075*Calculations!$B$2&lt;=Calculations!$B$11*Calculations!$B$4),1,0)</ns0:f>
        <ns0:v>0</ns0:v>
      </ns0:c>
    </ns0:row>
    <ns0:row r="1076">
      <ns0:c r="A1076" t="inlineStr">
        <ns0:is>
          <ns0:t>case_1075</ns0:t>
        </ns0:is>
      </ns0:c>
      <ns0:c r="B1076" t="inlineStr">
        <ns0:is>
          <ns0:t>function_0215</ns0:t>
        </ns0:is>
      </ns0:c>
      <ns0:c r="C1076" t="inlineStr">
        <ns0:is>
          <ns0:t>run_011</ns0:t>
        </ns0:is>
      </ns0:c>
      <ns0:c r="D1076" t="inlineStr">
        <ns0:is>
          <ns0:t>log</ns0:t>
        </ns0:is>
      </ns0:c>
      <ns0:c r="E1076" t="inlineStr">
        <ns0:is>
          <ns0:t>gemini-2.5-flash-nothinking</ns0:t>
        </ns0:is>
      </ns0:c>
      <ns0:c r="F1076" t="inlineStr">
        <ns0:is>
          <ns0:t>E0308,E0560</ns0:t>
        </ns0:is>
      </ns0:c>
      <ns0:c r="G1076" t="n">
        <ns0:v>1</ns0:v>
      </ns0:c>
      <ns0:c r="H1076" t="n">
        <ns0:v>3035</ns0:v>
      </ns0:c>
      <ns0:c r="I1076" t="n">
        <ns0:v>133</ns0:v>
      </ns0:c>
      <ns0:c r="J1076" t="n">
        <ns0:v>3168</ns0:v>
      </ns0:c>
      <ns0:c r="K1076" t="n">
        <ns0:v>1</ns0:v>
      </ns0:c>
      <ns0:c r="L1076" t="n">
        <ns0:v>0</ns0:v>
      </ns0:c>
      <ns0:c r="M1076" t="n">
        <ns0:v>204855</ns0:v>
      </ns0:c>
      <ns0:c r="N1076" t="n">
        <ns0:v>3671</ns0:v>
      </ns0:c>
      <ns0:c r="O1076" t="n">
        <ns0:v>208526</ns0:v>
      </ns0:c>
      <ns0:c r="P1076" t="n">
        <ns0:v>20</ns0:v>
      </ns0:c>
      <ns0:c r="Q1076">
        <ns0:f>IF(AND(L1076=1,O1076*Calculations!$B$2&lt;=Calculations!$B$10*Calculations!$B$4),1,0)</ns0:f>
        <ns0:v>0</ns0:v>
      </ns0:c>
      <ns0:c r="R1076">
        <ns0:f>IF(AND(L1076=1,O1076*Calculations!$B$2&lt;=Calculations!$B$11*Calculations!$B$4),1,0)</ns0:f>
        <ns0:v>0</ns0:v>
      </ns0:c>
    </ns0:row>
    <ns0:row r="1077">
      <ns0:c r="A1077" t="inlineStr">
        <ns0:is>
          <ns0:t>case_1076</ns0:t>
        </ns0:is>
      </ns0:c>
      <ns0:c r="B1077" t="inlineStr">
        <ns0:is>
          <ns0:t>function_0216</ns0:t>
        </ns0:is>
      </ns0:c>
      <ns0:c r="C1077" t="inlineStr">
        <ns0:is>
          <ns0:t>run_011</ns0:t>
        </ns0:is>
      </ns0:c>
      <ns0:c r="D1077" t="inlineStr">
        <ns0:is>
          <ns0:t>log</ns0:t>
        </ns0:is>
      </ns0:c>
      <ns0:c r="E1077" t="inlineStr">
        <ns0:is>
          <ns0:t>gemini-2.5-flash-nothinking</ns0:t>
        </ns0:is>
      </ns0:c>
      <ns0:c r="F1077" t="inlineStr">
        <ns0:is>
          <ns0:t>E0061,E0599</ns0:t>
        </ns0:is>
      </ns0:c>
      <ns0:c r="G1077" t="n">
        <ns0:v>1</ns0:v>
      </ns0:c>
      <ns0:c r="H1077" t="n">
        <ns0:v>5940</ns0:v>
      </ns0:c>
      <ns0:c r="I1077" t="n">
        <ns0:v>130</ns0:v>
      </ns0:c>
      <ns0:c r="J1077" t="n">
        <ns0:v>6070</ns0:v>
      </ns0:c>
      <ns0:c r="K1077" t="n">
        <ns0:v>2</ns0:v>
      </ns0:c>
      <ns0:c r="L1077" t="n">
        <ns0:v>1</ns0:v>
      </ns0:c>
      <ns0:c r="M1077" t="n">
        <ns0:v>36588</ns0:v>
      </ns0:c>
      <ns0:c r="N1077" t="n">
        <ns0:v>586</ns0:v>
      </ns0:c>
      <ns0:c r="O1077" t="n">
        <ns0:v>37174</ns0:v>
      </ns0:c>
      <ns0:c r="P1077" t="n">
        <ns0:v>5</ns0:v>
      </ns0:c>
      <ns0:c r="Q1077">
        <ns0:f>IF(AND(L1077=1,O1077*Calculations!$B$2&lt;=Calculations!$B$10*Calculations!$B$4),1,0)</ns0:f>
        <ns0:v>0</ns0:v>
      </ns0:c>
      <ns0:c r="R1077">
        <ns0:f>IF(AND(L1077=1,O1077*Calculations!$B$2&lt;=Calculations!$B$11*Calculations!$B$4),1,0)</ns0:f>
        <ns0:v>1</ns0:v>
      </ns0:c>
    </ns0:row>
    <ns0:row r="1078">
      <ns0:c r="A1078" t="inlineStr">
        <ns0:is>
          <ns0:t>case_1077</ns0:t>
        </ns0:is>
      </ns0:c>
      <ns0:c r="B1078" t="inlineStr">
        <ns0:is>
          <ns0:t>function_0216</ns0:t>
        </ns0:is>
      </ns0:c>
      <ns0:c r="C1078" t="inlineStr">
        <ns0:is>
          <ns0:t>run_011</ns0:t>
        </ns0:is>
      </ns0:c>
      <ns0:c r="D1078" t="inlineStr">
        <ns0:is>
          <ns0:t>log</ns0:t>
        </ns0:is>
      </ns0:c>
      <ns0:c r="E1078" t="inlineStr">
        <ns0:is>
          <ns0:t>gemini-2.5-flash-nothinking</ns0:t>
        </ns0:is>
      </ns0:c>
      <ns0:c r="F1078" t="inlineStr">
        <ns0:is>
          <ns0:t>E0277,E0308</ns0:t>
        </ns0:is>
      </ns0:c>
      <ns0:c r="G1078" t="n">
        <ns0:v>1</ns0:v>
      </ns0:c>
      <ns0:c r="H1078" t="n">
        <ns0:v>3563</ns0:v>
      </ns0:c>
      <ns0:c r="I1078" t="n">
        <ns0:v>131</ns0:v>
      </ns0:c>
      <ns0:c r="J1078" t="n">
        <ns0:v>3694</ns0:v>
      </ns0:c>
      <ns0:c r="K1078" t="n">
        <ns0:v>1</ns0:v>
      </ns0:c>
      <ns0:c r="L1078" t="n">
        <ns0:v>0</ns0:v>
      </ns0:c>
      <ns0:c r="M1078" t="n">
        <ns0:v>238327</ns0:v>
      </ns0:c>
      <ns0:c r="N1078" t="n">
        <ns0:v>5810</ns0:v>
      </ns0:c>
      <ns0:c r="O1078" t="n">
        <ns0:v>244137</ns0:v>
      </ns0:c>
      <ns0:c r="P1078" t="n">
        <ns0:v>24</ns0:v>
      </ns0:c>
      <ns0:c r="Q1078">
        <ns0:f>IF(AND(L1078=1,O1078*Calculations!$B$2&lt;=Calculations!$B$10*Calculations!$B$4),1,0)</ns0:f>
        <ns0:v>0</ns0:v>
      </ns0:c>
      <ns0:c r="R1078">
        <ns0:f>IF(AND(L1078=1,O1078*Calculations!$B$2&lt;=Calculations!$B$11*Calculations!$B$4),1,0)</ns0:f>
        <ns0:v>0</ns0:v>
      </ns0:c>
    </ns0:row>
    <ns0:row r="1079">
      <ns0:c r="A1079" t="inlineStr">
        <ns0:is>
          <ns0:t>case_1078</ns0:t>
        </ns0:is>
      </ns0:c>
      <ns0:c r="B1079" t="inlineStr">
        <ns0:is>
          <ns0:t>function_0216</ns0:t>
        </ns0:is>
      </ns0:c>
      <ns0:c r="C1079" t="inlineStr">
        <ns0:is>
          <ns0:t>run_011</ns0:t>
        </ns0:is>
      </ns0:c>
      <ns0:c r="D1079" t="inlineStr">
        <ns0:is>
          <ns0:t>log</ns0:t>
        </ns0:is>
      </ns0:c>
      <ns0:c r="E1079" t="inlineStr">
        <ns0:is>
          <ns0:t>gemini-2.5-flash-nothinking</ns0:t>
        </ns0:is>
      </ns0:c>
      <ns0:c r="F1079" t="inlineStr">
        <ns0:is>
          <ns0:t>E0277,E0308,E0560</ns0:t>
        </ns0:is>
      </ns0:c>
      <ns0:c r="G1079" t="n">
        <ns0:v>1</ns0:v>
      </ns0:c>
      <ns0:c r="H1079" t="n">
        <ns0:v>3059</ns0:v>
      </ns0:c>
      <ns0:c r="I1079" t="n">
        <ns0:v>148</ns0:v>
      </ns0:c>
      <ns0:c r="J1079" t="n">
        <ns0:v>3207</ns0:v>
      </ns0:c>
      <ns0:c r="K1079" t="n">
        <ns0:v>1</ns0:v>
      </ns0:c>
      <ns0:c r="L1079" t="n">
        <ns0:v>0</ns0:v>
      </ns0:c>
      <ns0:c r="M1079" t="n">
        <ns0:v>41991</ns0:v>
      </ns0:c>
      <ns0:c r="N1079" t="n">
        <ns0:v>979</ns0:v>
      </ns0:c>
      <ns0:c r="O1079" t="n">
        <ns0:v>42970</ns0:v>
      </ns0:c>
      <ns0:c r="P1079" t="n">
        <ns0:v>5</ns0:v>
      </ns0:c>
      <ns0:c r="Q1079">
        <ns0:f>IF(AND(L1079=1,O1079*Calculations!$B$2&lt;=Calculations!$B$10*Calculations!$B$4),1,0)</ns0:f>
        <ns0:v>0</ns0:v>
      </ns0:c>
      <ns0:c r="R1079">
        <ns0:f>IF(AND(L1079=1,O1079*Calculations!$B$2&lt;=Calculations!$B$11*Calculations!$B$4),1,0)</ns0:f>
        <ns0:v>0</ns0:v>
      </ns0:c>
    </ns0:row>
    <ns0:row r="1080">
      <ns0:c r="A1080" t="inlineStr">
        <ns0:is>
          <ns0:t>case_1079</ns0:t>
        </ns0:is>
      </ns0:c>
      <ns0:c r="B1080" t="inlineStr">
        <ns0:is>
          <ns0:t>function_0216</ns0:t>
        </ns0:is>
      </ns0:c>
      <ns0:c r="C1080" t="inlineStr">
        <ns0:is>
          <ns0:t>run_011</ns0:t>
        </ns0:is>
      </ns0:c>
      <ns0:c r="D1080" t="inlineStr">
        <ns0:is>
          <ns0:t>log</ns0:t>
        </ns0:is>
      </ns0:c>
      <ns0:c r="E1080" t="inlineStr">
        <ns0:is>
          <ns0:t>gemini-2.5-flash-nothinking</ns0:t>
        </ns0:is>
      </ns0:c>
      <ns0:c r="F1080" t="inlineStr">
        <ns0:is>
          <ns0:t>E0061</ns0:t>
        </ns0:is>
      </ns0:c>
      <ns0:c r="G1080" t="n">
        <ns0:v>1</ns0:v>
      </ns0:c>
      <ns0:c r="H1080" t="n">
        <ns0:v>2651</ns0:v>
      </ns0:c>
      <ns0:c r="I1080" t="n">
        <ns0:v>57</ns0:v>
      </ns0:c>
      <ns0:c r="J1080" t="n">
        <ns0:v>2708</ns0:v>
      </ns0:c>
      <ns0:c r="K1080" t="n">
        <ns0:v>1</ns0:v>
      </ns0:c>
      <ns0:c r="L1080" t="n">
        <ns0:v>1</ns0:v>
      </ns0:c>
      <ns0:c r="M1080" t="n">
        <ns0:v>21717</ns0:v>
      </ns0:c>
      <ns0:c r="N1080" t="n">
        <ns0:v>164</ns0:v>
      </ns0:c>
      <ns0:c r="O1080" t="n">
        <ns0:v>21881</ns0:v>
      </ns0:c>
      <ns0:c r="P1080" t="n">
        <ns0:v>3</ns0:v>
      </ns0:c>
      <ns0:c r="Q1080">
        <ns0:f>IF(AND(L1080=1,O1080*Calculations!$B$2&lt;=Calculations!$B$10*Calculations!$B$4),1,0)</ns0:f>
        <ns0:v>1</ns0:v>
      </ns0:c>
      <ns0:c r="R1080">
        <ns0:f>IF(AND(L1080=1,O1080*Calculations!$B$2&lt;=Calculations!$B$11*Calculations!$B$4),1,0)</ns0:f>
        <ns0:v>1</ns0:v>
      </ns0:c>
    </ns0:row>
    <ns0:row r="1081">
      <ns0:c r="A1081" t="inlineStr">
        <ns0:is>
          <ns0:t>case_1080</ns0:t>
        </ns0:is>
      </ns0:c>
      <ns0:c r="B1081" t="inlineStr">
        <ns0:is>
          <ns0:t>function_0217</ns0:t>
        </ns0:is>
      </ns0:c>
      <ns0:c r="C1081" t="inlineStr">
        <ns0:is>
          <ns0:t>run_011</ns0:t>
        </ns0:is>
      </ns0:c>
      <ns0:c r="D1081" t="inlineStr">
        <ns0:is>
          <ns0:t>log</ns0:t>
        </ns0:is>
      </ns0:c>
      <ns0:c r="E1081" t="inlineStr">
        <ns0:is>
          <ns0:t>gemini-2.5-flash-nothinking</ns0:t>
        </ns0:is>
      </ns0:c>
      <ns0:c r="F1081" t="inlineStr">
        <ns0:is>
          <ns0:t>E0061,E0599</ns0:t>
        </ns0:is>
      </ns0:c>
      <ns0:c r="G1081" t="n">
        <ns0:v>0</ns0:v>
      </ns0:c>
      <ns0:c r="H1081" t="n">
        <ns0:v>9473</ns0:v>
      </ns0:c>
      <ns0:c r="I1081" t="n">
        <ns0:v>237</ns0:v>
      </ns0:c>
      <ns0:c r="J1081" t="n">
        <ns0:v>9710</ns0:v>
      </ns0:c>
      <ns0:c r="K1081" t="n">
        <ns0:v>3</ns0:v>
      </ns0:c>
      <ns0:c r="L1081" t="n">
        <ns0:v>0</ns0:v>
      </ns0:c>
      <ns0:c r="M1081" t="n">
        <ns0:v>185318</ns0:v>
      </ns0:c>
      <ns0:c r="N1081" t="n">
        <ns0:v>1740</ns0:v>
      </ns0:c>
      <ns0:c r="O1081" t="n">
        <ns0:v>187058</ns0:v>
      </ns0:c>
      <ns0:c r="P1081" t="n">
        <ns0:v>20</ns0:v>
      </ns0:c>
      <ns0:c r="Q1081">
        <ns0:f>IF(AND(L1081=1,O1081*Calculations!$B$2&lt;=Calculations!$B$10*Calculations!$B$4),1,0)</ns0:f>
        <ns0:v>0</ns0:v>
      </ns0:c>
      <ns0:c r="R1081">
        <ns0:f>IF(AND(L1081=1,O1081*Calculations!$B$2&lt;=Calculations!$B$11*Calculations!$B$4),1,0)</ns0:f>
        <ns0:v>0</ns0:v>
      </ns0:c>
    </ns0:row>
    <ns0:row r="1082">
      <ns0:c r="A1082" t="inlineStr">
        <ns0:is>
          <ns0:t>case_1081</ns0:t>
        </ns0:is>
      </ns0:c>
      <ns0:c r="B1082" t="inlineStr">
        <ns0:is>
          <ns0:t>function_0217</ns0:t>
        </ns0:is>
      </ns0:c>
      <ns0:c r="C1082" t="inlineStr">
        <ns0:is>
          <ns0:t>run_011</ns0:t>
        </ns0:is>
      </ns0:c>
      <ns0:c r="D1082" t="inlineStr">
        <ns0:is>
          <ns0:t>log</ns0:t>
        </ns0:is>
      </ns0:c>
      <ns0:c r="E1082" t="inlineStr">
        <ns0:is>
          <ns0:t>gemini-2.5-flash-nothinking</ns0:t>
        </ns0:is>
      </ns0:c>
      <ns0:c r="F1082" t="inlineStr">
        <ns0:is>
          <ns0:t>E0277,E0560</ns0:t>
        </ns0:is>
      </ns0:c>
      <ns0:c r="G1082" t="n">
        <ns0:v>1</ns0:v>
      </ns0:c>
      <ns0:c r="H1082" t="n">
        <ns0:v>3046</ns0:v>
      </ns0:c>
      <ns0:c r="I1082" t="n">
        <ns0:v>110</ns0:v>
      </ns0:c>
      <ns0:c r="J1082" t="n">
        <ns0:v>3156</ns0:v>
      </ns0:c>
      <ns0:c r="K1082" t="n">
        <ns0:v>1</ns0:v>
      </ns0:c>
      <ns0:c r="L1082" t="n">
        <ns0:v>1</ns0:v>
      </ns0:c>
      <ns0:c r="M1082" t="n">
        <ns0:v>145608</ns0:v>
      </ns0:c>
      <ns0:c r="N1082" t="n">
        <ns0:v>3806</ns0:v>
      </ns0:c>
      <ns0:c r="O1082" t="n">
        <ns0:v>149414</ns0:v>
      </ns0:c>
      <ns0:c r="P1082" t="n">
        <ns0:v>17</ns0:v>
      </ns0:c>
      <ns0:c r="Q1082">
        <ns0:f>IF(AND(L1082=1,O1082*Calculations!$B$2&lt;=Calculations!$B$10*Calculations!$B$4),1,0)</ns0:f>
        <ns0:v>0</ns0:v>
      </ns0:c>
      <ns0:c r="R1082">
        <ns0:f>IF(AND(L1082=1,O1082*Calculations!$B$2&lt;=Calculations!$B$11*Calculations!$B$4),1,0)</ns0:f>
        <ns0:v>0</ns0:v>
      </ns0:c>
    </ns0:row>
    <ns0:row r="1083">
      <ns0:c r="A1083" t="inlineStr">
        <ns0:is>
          <ns0:t>case_1082</ns0:t>
        </ns0:is>
      </ns0:c>
      <ns0:c r="B1083" t="inlineStr">
        <ns0:is>
          <ns0:t>function_0218</ns0:t>
        </ns0:is>
      </ns0:c>
      <ns0:c r="C1083" t="inlineStr">
        <ns0:is>
          <ns0:t>run_011</ns0:t>
        </ns0:is>
      </ns0:c>
      <ns0:c r="D1083" t="inlineStr">
        <ns0:is>
          <ns0:t>log</ns0:t>
        </ns0:is>
      </ns0:c>
      <ns0:c r="E1083" t="inlineStr">
        <ns0:is>
          <ns0:t>gemini-2.5-flash-nothinking</ns0:t>
        </ns0:is>
      </ns0:c>
      <ns0:c r="F1083" t="inlineStr">
        <ns0:is>
          <ns0:t>E0433</ns0:t>
        </ns0:is>
      </ns0:c>
      <ns0:c r="G1083" t="n">
        <ns0:v>0</ns0:v>
      </ns0:c>
      <ns0:c r="H1083" t="n">
        <ns0:v>6708</ns0:v>
      </ns0:c>
      <ns0:c r="I1083" t="n">
        <ns0:v>186</ns0:v>
      </ns0:c>
      <ns0:c r="J1083" t="n">
        <ns0:v>6894</ns0:v>
      </ns0:c>
      <ns0:c r="K1083" t="n">
        <ns0:v>3</ns0:v>
      </ns0:c>
      <ns0:c r="L1083" t="n">
        <ns0:v>1</ns0:v>
      </ns0:c>
      <ns0:c r="M1083" t="n">
        <ns0:v>20137</ns0:v>
      </ns0:c>
      <ns0:c r="N1083" t="n">
        <ns0:v>267</ns0:v>
      </ns0:c>
      <ns0:c r="O1083" t="n">
        <ns0:v>20404</ns0:v>
      </ns0:c>
      <ns0:c r="P1083" t="n">
        <ns0:v>3</ns0:v>
      </ns0:c>
      <ns0:c r="Q1083">
        <ns0:f>IF(AND(L1083=1,O1083*Calculations!$B$2&lt;=Calculations!$B$10*Calculations!$B$4),1,0)</ns0:f>
        <ns0:v>1</ns0:v>
      </ns0:c>
      <ns0:c r="R1083">
        <ns0:f>IF(AND(L1083=1,O1083*Calculations!$B$2&lt;=Calculations!$B$11*Calculations!$B$4),1,0)</ns0:f>
        <ns0:v>1</ns0:v>
      </ns0:c>
    </ns0:row>
    <ns0:row r="1084">
      <ns0:c r="A1084" t="inlineStr">
        <ns0:is>
          <ns0:t>case_1083</ns0:t>
        </ns0:is>
      </ns0:c>
      <ns0:c r="B1084" t="inlineStr">
        <ns0:is>
          <ns0:t>function_0219</ns0:t>
        </ns0:is>
      </ns0:c>
      <ns0:c r="C1084" t="inlineStr">
        <ns0:is>
          <ns0:t>run_011</ns0:t>
        </ns0:is>
      </ns0:c>
      <ns0:c r="D1084" t="inlineStr">
        <ns0:is>
          <ns0:t>log</ns0:t>
        </ns0:is>
      </ns0:c>
      <ns0:c r="E1084" t="inlineStr">
        <ns0:is>
          <ns0:t>gemini-2.5-flash-nothinking</ns0:t>
        </ns0:is>
      </ns0:c>
      <ns0:c r="F1084" t="inlineStr">
        <ns0:is>
          <ns0:t>E0061,E0432,E0433</ns0:t>
        </ns0:is>
      </ns0:c>
      <ns0:c r="G1084" t="n">
        <ns0:v>0</ns0:v>
      </ns0:c>
      <ns0:c r="H1084" t="n">
        <ns0:v>8794</ns0:v>
      </ns0:c>
      <ns0:c r="I1084" t="n">
        <ns0:v>228</ns0:v>
      </ns0:c>
      <ns0:c r="J1084" t="n">
        <ns0:v>9022</ns0:v>
      </ns0:c>
      <ns0:c r="K1084" t="n">
        <ns0:v>3</ns0:v>
      </ns0:c>
      <ns0:c r="L1084" t="n">
        <ns0:v>1</ns0:v>
      </ns0:c>
      <ns0:c r="M1084" t="n">
        <ns0:v>55572</ns0:v>
      </ns0:c>
      <ns0:c r="N1084" t="n">
        <ns0:v>996</ns0:v>
      </ns0:c>
      <ns0:c r="O1084" t="n">
        <ns0:v>56568</ns0:v>
      </ns0:c>
      <ns0:c r="P1084" t="n">
        <ns0:v>7</ns0:v>
      </ns0:c>
      <ns0:c r="Q1084">
        <ns0:f>IF(AND(L1084=1,O1084*Calculations!$B$2&lt;=Calculations!$B$10*Calculations!$B$4),1,0)</ns0:f>
        <ns0:v>0</ns0:v>
      </ns0:c>
      <ns0:c r="R1084">
        <ns0:f>IF(AND(L1084=1,O1084*Calculations!$B$2&lt;=Calculations!$B$11*Calculations!$B$4),1,0)</ns0:f>
        <ns0:v>0</ns0:v>
      </ns0:c>
    </ns0:row>
    <ns0:row r="1085">
      <ns0:c r="A1085" t="inlineStr">
        <ns0:is>
          <ns0:t>case_1084</ns0:t>
        </ns0:is>
      </ns0:c>
      <ns0:c r="B1085" t="inlineStr">
        <ns0:is>
          <ns0:t>function_0219</ns0:t>
        </ns0:is>
      </ns0:c>
      <ns0:c r="C1085" t="inlineStr">
        <ns0:is>
          <ns0:t>run_011</ns0:t>
        </ns0:is>
      </ns0:c>
      <ns0:c r="D1085" t="inlineStr">
        <ns0:is>
          <ns0:t>log</ns0:t>
        </ns0:is>
      </ns0:c>
      <ns0:c r="E1085" t="inlineStr">
        <ns0:is>
          <ns0:t>gemini-2.5-flash-nothinking</ns0:t>
        </ns0:is>
      </ns0:c>
      <ns0:c r="F1085" t="inlineStr">
        <ns0:is>
          <ns0:t>E0432,E0433,E0599</ns0:t>
        </ns0:is>
      </ns0:c>
      <ns0:c r="G1085" t="n">
        <ns0:v>0</ns0:v>
      </ns0:c>
      <ns0:c r="H1085" t="n">
        <ns0:v>9916</ns0:v>
      </ns0:c>
      <ns0:c r="I1085" t="n">
        <ns0:v>624</ns0:v>
      </ns0:c>
      <ns0:c r="J1085" t="n">
        <ns0:v>10540</ns0:v>
      </ns0:c>
      <ns0:c r="K1085" t="n">
        <ns0:v>3</ns0:v>
      </ns0:c>
      <ns0:c r="L1085" t="n">
        <ns0:v>0</ns0:v>
      </ns0:c>
      <ns0:c r="M1085" t="n">
        <ns0:v>180747</ns0:v>
      </ns0:c>
      <ns0:c r="N1085" t="n">
        <ns0:v>2449</ns0:v>
      </ns0:c>
      <ns0:c r="O1085" t="n">
        <ns0:v>183196</ns0:v>
      </ns0:c>
      <ns0:c r="P1085" t="n">
        <ns0:v>20</ns0:v>
      </ns0:c>
      <ns0:c r="Q1085">
        <ns0:f>IF(AND(L1085=1,O1085*Calculations!$B$2&lt;=Calculations!$B$10*Calculations!$B$4),1,0)</ns0:f>
        <ns0:v>0</ns0:v>
      </ns0:c>
      <ns0:c r="R1085">
        <ns0:f>IF(AND(L1085=1,O1085*Calculations!$B$2&lt;=Calculations!$B$11*Calculations!$B$4),1,0)</ns0:f>
        <ns0:v>0</ns0:v>
      </ns0:c>
    </ns0:row>
    <ns0:row r="1086">
      <ns0:c r="A1086" t="inlineStr">
        <ns0:is>
          <ns0:t>case_1085</ns0:t>
        </ns0:is>
      </ns0:c>
      <ns0:c r="B1086" t="inlineStr">
        <ns0:is>
          <ns0:t>function_0219</ns0:t>
        </ns0:is>
      </ns0:c>
      <ns0:c r="C1086" t="inlineStr">
        <ns0:is>
          <ns0:t>run_011</ns0:t>
        </ns0:is>
      </ns0:c>
      <ns0:c r="D1086" t="inlineStr">
        <ns0:is>
          <ns0:t>log</ns0:t>
        </ns0:is>
      </ns0:c>
      <ns0:c r="E1086" t="inlineStr">
        <ns0:is>
          <ns0:t>gemini-2.5-flash-nothinking</ns0:t>
        </ns0:is>
      </ns0:c>
      <ns0:c r="F1086" t="inlineStr">
        <ns0:is>
          <ns0:t>E0061,E0432,E0433,E0599</ns0:t>
        </ns0:is>
      </ns0:c>
      <ns0:c r="G1086" t="n">
        <ns0:v>0</ns0:v>
      </ns0:c>
      <ns0:c r="H1086" t="n">
        <ns0:v>9089</ns0:v>
      </ns0:c>
      <ns0:c r="I1086" t="n">
        <ns0:v>286</ns0:v>
      </ns0:c>
      <ns0:c r="J1086" t="n">
        <ns0:v>9375</ns0:v>
      </ns0:c>
      <ns0:c r="K1086" t="n">
        <ns0:v>3</ns0:v>
      </ns0:c>
      <ns0:c r="L1086" t="n">
        <ns0:v>1</ns0:v>
      </ns0:c>
      <ns0:c r="M1086" t="n">
        <ns0:v>191719</ns0:v>
      </ns0:c>
      <ns0:c r="N1086" t="n">
        <ns0:v>2380</ns0:v>
      </ns0:c>
      <ns0:c r="O1086" t="n">
        <ns0:v>194099</ns0:v>
      </ns0:c>
      <ns0:c r="P1086" t="n">
        <ns0:v>20</ns0:v>
      </ns0:c>
      <ns0:c r="Q1086">
        <ns0:f>IF(AND(L1086=1,O1086*Calculations!$B$2&lt;=Calculations!$B$10*Calculations!$B$4),1,0)</ns0:f>
        <ns0:v>0</ns0:v>
      </ns0:c>
      <ns0:c r="R1086">
        <ns0:f>IF(AND(L1086=1,O1086*Calculations!$B$2&lt;=Calculations!$B$11*Calculations!$B$4),1,0)</ns0:f>
        <ns0:v>0</ns0:v>
      </ns0:c>
    </ns0:row>
    <ns0:row r="1087">
      <ns0:c r="A1087" t="inlineStr">
        <ns0:is>
          <ns0:t>case_1086</ns0:t>
        </ns0:is>
      </ns0:c>
      <ns0:c r="B1087" t="inlineStr">
        <ns0:is>
          <ns0:t>function_0219</ns0:t>
        </ns0:is>
      </ns0:c>
      <ns0:c r="C1087" t="inlineStr">
        <ns0:is>
          <ns0:t>run_011</ns0:t>
        </ns0:is>
      </ns0:c>
      <ns0:c r="D1087" t="inlineStr">
        <ns0:is>
          <ns0:t>log</ns0:t>
        </ns0:is>
      </ns0:c>
      <ns0:c r="E1087" t="inlineStr">
        <ns0:is>
          <ns0:t>gemini-2.5-flash-nothinking</ns0:t>
        </ns0:is>
      </ns0:c>
      <ns0:c r="F1087" t="inlineStr">
        <ns0:is>
          <ns0:t>E0061,E0599</ns0:t>
        </ns0:is>
      </ns0:c>
      <ns0:c r="G1087" t="n">
        <ns0:v>1</ns0:v>
      </ns0:c>
      <ns0:c r="H1087" t="n">
        <ns0:v>3611</ns0:v>
      </ns0:c>
      <ns0:c r="I1087" t="n">
        <ns0:v>68</ns0:v>
      </ns0:c>
      <ns0:c r="J1087" t="n">
        <ns0:v>3679</ns0:v>
      </ns0:c>
      <ns0:c r="K1087" t="n">
        <ns0:v>1</ns0:v>
      </ns0:c>
      <ns0:c r="L1087" t="n">
        <ns0:v>1</ns0:v>
      </ns0:c>
      <ns0:c r="M1087" t="n">
        <ns0:v>112398</ns0:v>
      </ns0:c>
      <ns0:c r="N1087" t="n">
        <ns0:v>1585</ns0:v>
      </ns0:c>
      <ns0:c r="O1087" t="n">
        <ns0:v>113983</ns0:v>
      </ns0:c>
      <ns0:c r="P1087" t="n">
        <ns0:v>14</ns0:v>
      </ns0:c>
      <ns0:c r="Q1087">
        <ns0:f>IF(AND(L1087=1,O1087*Calculations!$B$2&lt;=Calculations!$B$10*Calculations!$B$4),1,0)</ns0:f>
        <ns0:v>0</ns0:v>
      </ns0:c>
      <ns0:c r="R1087">
        <ns0:f>IF(AND(L1087=1,O1087*Calculations!$B$2&lt;=Calculations!$B$11*Calculations!$B$4),1,0)</ns0:f>
        <ns0:v>0</ns0:v>
      </ns0:c>
    </ns0:row>
    <ns0:row r="1088">
      <ns0:c r="A1088" t="inlineStr">
        <ns0:is>
          <ns0:t>case_1087</ns0:t>
        </ns0:is>
      </ns0:c>
      <ns0:c r="B1088" t="inlineStr">
        <ns0:is>
          <ns0:t>function_0220</ns0:t>
        </ns0:is>
      </ns0:c>
      <ns0:c r="C1088" t="inlineStr">
        <ns0:is>
          <ns0:t>run_011</ns0:t>
        </ns0:is>
      </ns0:c>
      <ns0:c r="D1088" t="inlineStr">
        <ns0:is>
          <ns0:t>log</ns0:t>
        </ns0:is>
      </ns0:c>
      <ns0:c r="E1088" t="inlineStr">
        <ns0:is>
          <ns0:t>gemini-2.5-flash-nothinking</ns0:t>
        </ns0:is>
      </ns0:c>
      <ns0:c r="F1088" t="inlineStr">
        <ns0:is>
          <ns0:t>E0063,E0560</ns0:t>
        </ns0:is>
      </ns0:c>
      <ns0:c r="G1088" t="n">
        <ns0:v>1</ns0:v>
      </ns0:c>
      <ns0:c r="H1088" t="n">
        <ns0:v>3552</ns0:v>
      </ns0:c>
      <ns0:c r="I1088" t="n">
        <ns0:v>120</ns0:v>
      </ns0:c>
      <ns0:c r="J1088" t="n">
        <ns0:v>3672</ns0:v>
      </ns0:c>
      <ns0:c r="K1088" t="n">
        <ns0:v>1</ns0:v>
      </ns0:c>
      <ns0:c r="L1088" t="n">
        <ns0:v>1</ns0:v>
      </ns0:c>
      <ns0:c r="M1088" t="n">
        <ns0:v>108771</ns0:v>
      </ns0:c>
      <ns0:c r="N1088" t="n">
        <ns0:v>759</ns0:v>
      </ns0:c>
      <ns0:c r="O1088" t="n">
        <ns0:v>109530</ns0:v>
      </ns0:c>
      <ns0:c r="P1088" t="n">
        <ns0:v>4</ns0:v>
      </ns0:c>
      <ns0:c r="Q1088">
        <ns0:f>IF(AND(L1088=1,O1088*Calculations!$B$2&lt;=Calculations!$B$10*Calculations!$B$4),1,0)</ns0:f>
        <ns0:v>0</ns0:v>
      </ns0:c>
      <ns0:c r="R1088">
        <ns0:f>IF(AND(L1088=1,O1088*Calculations!$B$2&lt;=Calculations!$B$11*Calculations!$B$4),1,0)</ns0:f>
        <ns0:v>0</ns0:v>
      </ns0:c>
    </ns0:row>
    <ns0:row r="1089">
      <ns0:c r="A1089" t="inlineStr">
        <ns0:is>
          <ns0:t>case_1088</ns0:t>
        </ns0:is>
      </ns0:c>
      <ns0:c r="B1089" t="inlineStr">
        <ns0:is>
          <ns0:t>function_0221</ns0:t>
        </ns0:is>
      </ns0:c>
      <ns0:c r="C1089" t="inlineStr">
        <ns0:is>
          <ns0:t>run_011</ns0:t>
        </ns0:is>
      </ns0:c>
      <ns0:c r="D1089" t="inlineStr">
        <ns0:is>
          <ns0:t>log</ns0:t>
        </ns0:is>
      </ns0:c>
      <ns0:c r="E1089" t="inlineStr">
        <ns0:is>
          <ns0:t>gemini-2.5-flash-nothinking</ns0:t>
        </ns0:is>
      </ns0:c>
      <ns0:c r="F1089" t="inlineStr">
        <ns0:is>
          <ns0:t>E0432</ns0:t>
        </ns0:is>
      </ns0:c>
      <ns0:c r="G1089" t="n">
        <ns0:v>1</ns0:v>
      </ns0:c>
      <ns0:c r="H1089" t="n">
        <ns0:v>0</ns0:v>
      </ns0:c>
      <ns0:c r="I1089" t="n">
        <ns0:v>0</ns0:v>
      </ns0:c>
      <ns0:c r="J1089" t="n">
        <ns0:v>0</ns0:v>
      </ns0:c>
      <ns0:c r="K1089" t="n">
        <ns0:v>0</ns0:v>
      </ns0:c>
      <ns0:c r="L1089" t="n">
        <ns0:v>1</ns0:v>
      </ns0:c>
      <ns0:c r="M1089" t="n">
        <ns0:v>13745</ns0:v>
      </ns0:c>
      <ns0:c r="N1089" t="n">
        <ns0:v>476</ns0:v>
      </ns0:c>
      <ns0:c r="O1089" t="n">
        <ns0:v>14221</ns0:v>
      </ns0:c>
      <ns0:c r="P1089" t="n">
        <ns0:v>2</ns0:v>
      </ns0:c>
      <ns0:c r="Q1089">
        <ns0:f>IF(AND(L1089=1,O1089*Calculations!$B$2&lt;=Calculations!$B$10*Calculations!$B$4),1,0)</ns0:f>
        <ns0:v>1</ns0:v>
      </ns0:c>
      <ns0:c r="R1089">
        <ns0:f>IF(AND(L1089=1,O1089*Calculations!$B$2&lt;=Calculations!$B$11*Calculations!$B$4),1,0)</ns0:f>
        <ns0:v>1</ns0:v>
      </ns0:c>
    </ns0:row>
    <ns0:row r="1090">
      <ns0:c r="A1090" t="inlineStr">
        <ns0:is>
          <ns0:t>case_1089</ns0:t>
        </ns0:is>
      </ns0:c>
      <ns0:c r="B1090" t="inlineStr">
        <ns0:is>
          <ns0:t>function_0221</ns0:t>
        </ns0:is>
      </ns0:c>
      <ns0:c r="C1090" t="inlineStr">
        <ns0:is>
          <ns0:t>run_011</ns0:t>
        </ns0:is>
      </ns0:c>
      <ns0:c r="D1090" t="inlineStr">
        <ns0:is>
          <ns0:t>log</ns0:t>
        </ns0:is>
      </ns0:c>
      <ns0:c r="E1090" t="inlineStr">
        <ns0:is>
          <ns0:t>gemini-2.5-flash-nothinking</ns0:t>
        </ns0:is>
      </ns0:c>
      <ns0:c r="F1090" t="inlineStr">
        <ns0:is>
          <ns0:t>E0432</ns0:t>
        </ns0:is>
      </ns0:c>
      <ns0:c r="G1090" t="n">
        <ns0:v>1</ns0:v>
      </ns0:c>
      <ns0:c r="H1090" t="n">
        <ns0:v>0</ns0:v>
      </ns0:c>
      <ns0:c r="I1090" t="n">
        <ns0:v>0</ns0:v>
      </ns0:c>
      <ns0:c r="J1090" t="n">
        <ns0:v>0</ns0:v>
      </ns0:c>
      <ns0:c r="K1090" t="n">
        <ns0:v>0</ns0:v>
      </ns0:c>
      <ns0:c r="L1090" t="n">
        <ns0:v>0</ns0:v>
      </ns0:c>
      <ns0:c r="M1090" t="n">
        <ns0:v>171564</ns0:v>
      </ns0:c>
      <ns0:c r="N1090" t="n">
        <ns0:v>2144</ns0:v>
      </ns0:c>
      <ns0:c r="O1090" t="n">
        <ns0:v>173708</ns0:v>
      </ns0:c>
      <ns0:c r="P1090" t="n">
        <ns0:v>20</ns0:v>
      </ns0:c>
      <ns0:c r="Q1090">
        <ns0:f>IF(AND(L1090=1,O1090*Calculations!$B$2&lt;=Calculations!$B$10*Calculations!$B$4),1,0)</ns0:f>
        <ns0:v>0</ns0:v>
      </ns0:c>
      <ns0:c r="R1090">
        <ns0:f>IF(AND(L1090=1,O1090*Calculations!$B$2&lt;=Calculations!$B$11*Calculations!$B$4),1,0)</ns0:f>
        <ns0:v>0</ns0:v>
      </ns0:c>
    </ns0:row>
    <ns0:row r="1091">
      <ns0:c r="A1091" t="inlineStr">
        <ns0:is>
          <ns0:t>case_1090</ns0:t>
        </ns0:is>
      </ns0:c>
      <ns0:c r="B1091" t="inlineStr">
        <ns0:is>
          <ns0:t>function_0222</ns0:t>
        </ns0:is>
      </ns0:c>
      <ns0:c r="C1091" t="inlineStr">
        <ns0:is>
          <ns0:t>run_011</ns0:t>
        </ns0:is>
      </ns0:c>
      <ns0:c r="D1091" t="inlineStr">
        <ns0:is>
          <ns0:t>log</ns0:t>
        </ns0:is>
      </ns0:c>
      <ns0:c r="E1091" t="inlineStr">
        <ns0:is>
          <ns0:t>gemini-2.5-flash-nothinking</ns0:t>
        </ns0:is>
      </ns0:c>
      <ns0:c r="F1091" t="inlineStr">
        <ns0:is>
          <ns0:t>E0432,E0433</ns0:t>
        </ns0:is>
      </ns0:c>
      <ns0:c r="G1091" t="n">
        <ns0:v>0</ns0:v>
      </ns0:c>
      <ns0:c r="H1091" t="n">
        <ns0:v>7726</ns0:v>
      </ns0:c>
      <ns0:c r="I1091" t="n">
        <ns0:v>1519</ns0:v>
      </ns0:c>
      <ns0:c r="J1091" t="n">
        <ns0:v>9245</ns0:v>
      </ns0:c>
      <ns0:c r="K1091" t="n">
        <ns0:v>3</ns0:v>
      </ns0:c>
      <ns0:c r="L1091" t="n">
        <ns0:v>1</ns0:v>
      </ns0:c>
      <ns0:c r="M1091" t="n">
        <ns0:v>30022</ns0:v>
      </ns0:c>
      <ns0:c r="N1091" t="n">
        <ns0:v>766</ns0:v>
      </ns0:c>
      <ns0:c r="O1091" t="n">
        <ns0:v>30788</ns0:v>
      </ns0:c>
      <ns0:c r="P1091" t="n">
        <ns0:v>4</ns0:v>
      </ns0:c>
      <ns0:c r="Q1091">
        <ns0:f>IF(AND(L1091=1,O1091*Calculations!$B$2&lt;=Calculations!$B$10*Calculations!$B$4),1,0)</ns0:f>
        <ns0:v>0</ns0:v>
      </ns0:c>
      <ns0:c r="R1091">
        <ns0:f>IF(AND(L1091=1,O1091*Calculations!$B$2&lt;=Calculations!$B$11*Calculations!$B$4),1,0)</ns0:f>
        <ns0:v>1</ns0:v>
      </ns0:c>
    </ns0:row>
    <ns0:row r="1092">
      <ns0:c r="A1092" t="inlineStr">
        <ns0:is>
          <ns0:t>case_1091</ns0:t>
        </ns0:is>
      </ns0:c>
      <ns0:c r="B1092" t="inlineStr">
        <ns0:is>
          <ns0:t>function_0222</ns0:t>
        </ns0:is>
      </ns0:c>
      <ns0:c r="C1092" t="inlineStr">
        <ns0:is>
          <ns0:t>run_011</ns0:t>
        </ns0:is>
      </ns0:c>
      <ns0:c r="D1092" t="inlineStr">
        <ns0:is>
          <ns0:t>log</ns0:t>
        </ns0:is>
      </ns0:c>
      <ns0:c r="E1092" t="inlineStr">
        <ns0:is>
          <ns0:t>gemini-2.5-flash-nothinking</ns0:t>
        </ns0:is>
      </ns0:c>
      <ns0:c r="F1092" t="inlineStr">
        <ns0:is>
          <ns0:t>E0432</ns0:t>
        </ns0:is>
      </ns0:c>
      <ns0:c r="G1092" t="n">
        <ns0:v>1</ns0:v>
      </ns0:c>
      <ns0:c r="H1092" t="n">
        <ns0:v>0</ns0:v>
      </ns0:c>
      <ns0:c r="I1092" t="n">
        <ns0:v>0</ns0:v>
      </ns0:c>
      <ns0:c r="J1092" t="n">
        <ns0:v>0</ns0:v>
      </ns0:c>
      <ns0:c r="K1092" t="n">
        <ns0:v>0</ns0:v>
      </ns0:c>
      <ns0:c r="L1092" t="n">
        <ns0:v>1</ns0:v>
      </ns0:c>
      <ns0:c r="M1092" t="n">
        <ns0:v>21124</ns0:v>
      </ns0:c>
      <ns0:c r="N1092" t="n">
        <ns0:v>236</ns0:v>
      </ns0:c>
      <ns0:c r="O1092" t="n">
        <ns0:v>21360</ns0:v>
      </ns0:c>
      <ns0:c r="P1092" t="n">
        <ns0:v>3</ns0:v>
      </ns0:c>
      <ns0:c r="Q1092">
        <ns0:f>IF(AND(L1092=1,O1092*Calculations!$B$2&lt;=Calculations!$B$10*Calculations!$B$4),1,0)</ns0:f>
        <ns0:v>1</ns0:v>
      </ns0:c>
      <ns0:c r="R1092">
        <ns0:f>IF(AND(L1092=1,O1092*Calculations!$B$2&lt;=Calculations!$B$11*Calculations!$B$4),1,0)</ns0:f>
        <ns0:v>1</ns0:v>
      </ns0:c>
    </ns0:row>
    <ns0:row r="1093">
      <ns0:c r="A1093" t="inlineStr">
        <ns0:is>
          <ns0:t>case_1092</ns0:t>
        </ns0:is>
      </ns0:c>
      <ns0:c r="B1093" t="inlineStr">
        <ns0:is>
          <ns0:t>function_0223</ns0:t>
        </ns0:is>
      </ns0:c>
      <ns0:c r="C1093" t="inlineStr">
        <ns0:is>
          <ns0:t>run_011</ns0:t>
        </ns0:is>
      </ns0:c>
      <ns0:c r="D1093" t="inlineStr">
        <ns0:is>
          <ns0:t>log</ns0:t>
        </ns0:is>
      </ns0:c>
      <ns0:c r="E1093" t="inlineStr">
        <ns0:is>
          <ns0:t>gemini-2.5-flash-nothinking</ns0:t>
        </ns0:is>
      </ns0:c>
      <ns0:c r="F1093" t="inlineStr">
        <ns0:is>
          <ns0:t>E0433</ns0:t>
        </ns0:is>
      </ns0:c>
      <ns0:c r="G1093" t="n">
        <ns0:v>0</ns0:v>
      </ns0:c>
      <ns0:c r="H1093" t="n">
        <ns0:v>3835</ns0:v>
      </ns0:c>
      <ns0:c r="I1093" t="n">
        <ns0:v>669</ns0:v>
      </ns0:c>
      <ns0:c r="J1093" t="n">
        <ns0:v>4504</ns0:v>
      </ns0:c>
      <ns0:c r="K1093" t="n">
        <ns0:v>3</ns0:v>
      </ns0:c>
      <ns0:c r="L1093" t="n">
        <ns0:v>1</ns0:v>
      </ns0:c>
      <ns0:c r="M1093" t="n">
        <ns0:v>51272</ns0:v>
      </ns0:c>
      <ns0:c r="N1093" t="n">
        <ns0:v>1132</ns0:v>
      </ns0:c>
      <ns0:c r="O1093" t="n">
        <ns0:v>52404</ns0:v>
      </ns0:c>
      <ns0:c r="P1093" t="n">
        <ns0:v>6</ns0:v>
      </ns0:c>
      <ns0:c r="Q1093">
        <ns0:f>IF(AND(L1093=1,O1093*Calculations!$B$2&lt;=Calculations!$B$10*Calculations!$B$4),1,0)</ns0:f>
        <ns0:v>0</ns0:v>
      </ns0:c>
      <ns0:c r="R1093">
        <ns0:f>IF(AND(L1093=1,O1093*Calculations!$B$2&lt;=Calculations!$B$11*Calculations!$B$4),1,0)</ns0:f>
        <ns0:v>0</ns0:v>
      </ns0:c>
    </ns0:row>
    <ns0:row r="1094">
      <ns0:c r="A1094" t="inlineStr">
        <ns0:is>
          <ns0:t>case_1093</ns0:t>
        </ns0:is>
      </ns0:c>
      <ns0:c r="B1094" t="inlineStr">
        <ns0:is>
          <ns0:t>function_0223</ns0:t>
        </ns0:is>
      </ns0:c>
      <ns0:c r="C1094" t="inlineStr">
        <ns0:is>
          <ns0:t>run_011</ns0:t>
        </ns0:is>
      </ns0:c>
      <ns0:c r="D1094" t="inlineStr">
        <ns0:is>
          <ns0:t>log</ns0:t>
        </ns0:is>
      </ns0:c>
      <ns0:c r="E1094" t="inlineStr">
        <ns0:is>
          <ns0:t>gemini-2.5-flash-nothinking</ns0:t>
        </ns0:is>
      </ns0:c>
      <ns0:c r="F1094" t="inlineStr">
        <ns0:is>
          <ns0:t>E0433</ns0:t>
        </ns0:is>
      </ns0:c>
      <ns0:c r="G1094" t="n">
        <ns0:v>0</ns0:v>
      </ns0:c>
      <ns0:c r="H1094" t="n">
        <ns0:v>4678</ns0:v>
      </ns0:c>
      <ns0:c r="I1094" t="n">
        <ns0:v>1326</ns0:v>
      </ns0:c>
      <ns0:c r="J1094" t="n">
        <ns0:v>6004</ns0:v>
      </ns0:c>
      <ns0:c r="K1094" t="n">
        <ns0:v>3</ns0:v>
      </ns0:c>
      <ns0:c r="L1094" t="n">
        <ns0:v>0</ns0:v>
      </ns0:c>
      <ns0:c r="M1094" t="n">
        <ns0:v>224631</ns0:v>
      </ns0:c>
      <ns0:c r="N1094" t="n">
        <ns0:v>5138</ns0:v>
      </ns0:c>
      <ns0:c r="O1094" t="n">
        <ns0:v>229769</ns0:v>
      </ns0:c>
      <ns0:c r="P1094" t="n">
        <ns0:v>20</ns0:v>
      </ns0:c>
      <ns0:c r="Q1094">
        <ns0:f>IF(AND(L1094=1,O1094*Calculations!$B$2&lt;=Calculations!$B$10*Calculations!$B$4),1,0)</ns0:f>
        <ns0:v>0</ns0:v>
      </ns0:c>
      <ns0:c r="R1094">
        <ns0:f>IF(AND(L1094=1,O1094*Calculations!$B$2&lt;=Calculations!$B$11*Calculations!$B$4),1,0)</ns0:f>
        <ns0:v>0</ns0:v>
      </ns0:c>
    </ns0:row>
    <ns0:row r="1095">
      <ns0:c r="A1095" t="inlineStr">
        <ns0:is>
          <ns0:t>case_1094</ns0:t>
        </ns0:is>
      </ns0:c>
      <ns0:c r="B1095" t="inlineStr">
        <ns0:is>
          <ns0:t>function_0224</ns0:t>
        </ns0:is>
      </ns0:c>
      <ns0:c r="C1095" t="inlineStr">
        <ns0:is>
          <ns0:t>run_011</ns0:t>
        </ns0:is>
      </ns0:c>
      <ns0:c r="D1095" t="inlineStr">
        <ns0:is>
          <ns0:t>log</ns0:t>
        </ns0:is>
      </ns0:c>
      <ns0:c r="E1095" t="inlineStr">
        <ns0:is>
          <ns0:t>gemini-2.5-flash-nothinking</ns0:t>
        </ns0:is>
      </ns0:c>
      <ns0:c r="F1095" t="inlineStr">
        <ns0:is>
          <ns0:t>E0308</ns0:t>
        </ns0:is>
      </ns0:c>
      <ns0:c r="G1095" t="n">
        <ns0:v>0</ns0:v>
      </ns0:c>
      <ns0:c r="H1095" t="n">
        <ns0:v>3686</ns0:v>
      </ns0:c>
      <ns0:c r="I1095" t="n">
        <ns0:v>799</ns0:v>
      </ns0:c>
      <ns0:c r="J1095" t="n">
        <ns0:v>4485</ns0:v>
      </ns0:c>
      <ns0:c r="K1095" t="n">
        <ns0:v>3</ns0:v>
      </ns0:c>
      <ns0:c r="L1095" t="n">
        <ns0:v>1</ns0:v>
      </ns0:c>
      <ns0:c r="M1095" t="n">
        <ns0:v>78299</ns0:v>
      </ns0:c>
      <ns0:c r="N1095" t="n">
        <ns0:v>1715</ns0:v>
      </ns0:c>
      <ns0:c r="O1095" t="n">
        <ns0:v>80014</ns0:v>
      </ns0:c>
      <ns0:c r="P1095" t="n">
        <ns0:v>8</ns0:v>
      </ns0:c>
      <ns0:c r="Q1095">
        <ns0:f>IF(AND(L1095=1,O1095*Calculations!$B$2&lt;=Calculations!$B$10*Calculations!$B$4),1,0)</ns0:f>
        <ns0:v>0</ns0:v>
      </ns0:c>
      <ns0:c r="R1095">
        <ns0:f>IF(AND(L1095=1,O1095*Calculations!$B$2&lt;=Calculations!$B$11*Calculations!$B$4),1,0)</ns0:f>
        <ns0:v>0</ns0:v>
      </ns0:c>
    </ns0:row>
    <ns0:row r="1096">
      <ns0:c r="A1096" t="inlineStr">
        <ns0:is>
          <ns0:t>case_1095</ns0:t>
        </ns0:is>
      </ns0:c>
      <ns0:c r="B1096" t="inlineStr">
        <ns0:is>
          <ns0:t>function_0224</ns0:t>
        </ns0:is>
      </ns0:c>
      <ns0:c r="C1096" t="inlineStr">
        <ns0:is>
          <ns0:t>run_011</ns0:t>
        </ns0:is>
      </ns0:c>
      <ns0:c r="D1096" t="inlineStr">
        <ns0:is>
          <ns0:t>log</ns0:t>
        </ns0:is>
      </ns0:c>
      <ns0:c r="E1096" t="inlineStr">
        <ns0:is>
          <ns0:t>gemini-2.5-flash-nothinking</ns0:t>
        </ns0:is>
      </ns0:c>
      <ns0:c r="F1096" t="inlineStr">
        <ns0:is>
          <ns0:t>E0432,E0433</ns0:t>
        </ns0:is>
      </ns0:c>
      <ns0:c r="G1096" t="n">
        <ns0:v>0</ns0:v>
      </ns0:c>
      <ns0:c r="H1096" t="n">
        <ns0:v>6640</ns0:v>
      </ns0:c>
      <ns0:c r="I1096" t="n">
        <ns0:v>509</ns0:v>
      </ns0:c>
      <ns0:c r="J1096" t="n">
        <ns0:v>7149</ns0:v>
      </ns0:c>
      <ns0:c r="K1096" t="n">
        <ns0:v>3</ns0:v>
      </ns0:c>
      <ns0:c r="L1096" t="n">
        <ns0:v>0</ns0:v>
      </ns0:c>
      <ns0:c r="M1096" t="n">
        <ns0:v>205450</ns0:v>
      </ns0:c>
      <ns0:c r="N1096" t="n">
        <ns0:v>2637</ns0:v>
      </ns0:c>
      <ns0:c r="O1096" t="n">
        <ns0:v>208087</ns0:v>
      </ns0:c>
      <ns0:c r="P1096" t="n">
        <ns0:v>20</ns0:v>
      </ns0:c>
      <ns0:c r="Q1096">
        <ns0:f>IF(AND(L1096=1,O1096*Calculations!$B$2&lt;=Calculations!$B$10*Calculations!$B$4),1,0)</ns0:f>
        <ns0:v>0</ns0:v>
      </ns0:c>
      <ns0:c r="R1096">
        <ns0:f>IF(AND(L1096=1,O1096*Calculations!$B$2&lt;=Calculations!$B$11*Calculations!$B$4),1,0)</ns0:f>
        <ns0:v>0</ns0:v>
      </ns0:c>
    </ns0:row>
    <ns0:row r="1097">
      <ns0:c r="A1097" t="inlineStr">
        <ns0:is>
          <ns0:t>case_1096</ns0:t>
        </ns0:is>
      </ns0:c>
      <ns0:c r="B1097" t="inlineStr">
        <ns0:is>
          <ns0:t>function_0225</ns0:t>
        </ns0:is>
      </ns0:c>
      <ns0:c r="C1097" t="inlineStr">
        <ns0:is>
          <ns0:t>run_011</ns0:t>
        </ns0:is>
      </ns0:c>
      <ns0:c r="D1097" t="inlineStr">
        <ns0:is>
          <ns0:t>log</ns0:t>
        </ns0:is>
      </ns0:c>
      <ns0:c r="E1097" t="inlineStr">
        <ns0:is>
          <ns0:t>gemini-2.5-flash-nothinking</ns0:t>
        </ns0:is>
      </ns0:c>
      <ns0:c r="F1097" t="inlineStr">
        <ns0:is>
          <ns0:t>E0369,E0432</ns0:t>
        </ns0:is>
      </ns0:c>
      <ns0:c r="G1097" t="n">
        <ns0:v>0</ns0:v>
      </ns0:c>
      <ns0:c r="H1097" t="n">
        <ns0:v>0</ns0:v>
      </ns0:c>
      <ns0:c r="I1097" t="n">
        <ns0:v>0</ns0:v>
      </ns0:c>
      <ns0:c r="J1097" t="n">
        <ns0:v>0</ns0:v>
      </ns0:c>
      <ns0:c r="K1097" t="n">
        <ns0:v>0</ns0:v>
      </ns0:c>
      <ns0:c r="L1097" t="n">
        <ns0:v>0</ns0:v>
      </ns0:c>
      <ns0:c r="M1097" t="n">
        <ns0:v>235185</ns0:v>
      </ns0:c>
      <ns0:c r="N1097" t="n">
        <ns0:v>8075</ns0:v>
      </ns0:c>
      <ns0:c r="O1097" t="n">
        <ns0:v>243260</ns0:v>
      </ns0:c>
      <ns0:c r="P1097" t="n">
        <ns0:v>20</ns0:v>
      </ns0:c>
      <ns0:c r="Q1097">
        <ns0:f>IF(AND(L1097=1,O1097*Calculations!$B$2&lt;=Calculations!$B$10*Calculations!$B$4),1,0)</ns0:f>
        <ns0:v>0</ns0:v>
      </ns0:c>
      <ns0:c r="R1097">
        <ns0:f>IF(AND(L1097=1,O1097*Calculations!$B$2&lt;=Calculations!$B$11*Calculations!$B$4),1,0)</ns0:f>
        <ns0:v>0</ns0:v>
      </ns0:c>
    </ns0:row>
    <ns0:row r="1098">
      <ns0:c r="A1098" t="inlineStr">
        <ns0:is>
          <ns0:t>case_1097</ns0:t>
        </ns0:is>
      </ns0:c>
      <ns0:c r="B1098" t="inlineStr">
        <ns0:is>
          <ns0:t>function_0225</ns0:t>
        </ns0:is>
      </ns0:c>
      <ns0:c r="C1098" t="inlineStr">
        <ns0:is>
          <ns0:t>run_011</ns0:t>
        </ns0:is>
      </ns0:c>
      <ns0:c r="D1098" t="inlineStr">
        <ns0:is>
          <ns0:t>log</ns0:t>
        </ns0:is>
      </ns0:c>
      <ns0:c r="E1098" t="inlineStr">
        <ns0:is>
          <ns0:t>gemini-2.5-flash-nothinking</ns0:t>
        </ns0:is>
      </ns0:c>
      <ns0:c r="F1098" t="inlineStr">
        <ns0:is>
          <ns0:t>E0432,E0599</ns0:t>
        </ns0:is>
      </ns0:c>
      <ns0:c r="G1098" t="n">
        <ns0:v>0</ns0:v>
      </ns0:c>
      <ns0:c r="H1098" t="n">
        <ns0:v>4108</ns0:v>
      </ns0:c>
      <ns0:c r="I1098" t="n">
        <ns0:v>1489</ns0:v>
      </ns0:c>
      <ns0:c r="J1098" t="n">
        <ns0:v>5597</ns0:v>
      </ns0:c>
      <ns0:c r="K1098" t="n">
        <ns0:v>3</ns0:v>
      </ns0:c>
      <ns0:c r="L1098" t="n">
        <ns0:v>0</ns0:v>
      </ns0:c>
      <ns0:c r="M1098" t="n">
        <ns0:v>93918</ns0:v>
      </ns0:c>
      <ns0:c r="N1098" t="n">
        <ns0:v>1858</ns0:v>
      </ns0:c>
      <ns0:c r="O1098" t="n">
        <ns0:v>95776</ns0:v>
      </ns0:c>
      <ns0:c r="P1098" t="n">
        <ns0:v>10</ns0:v>
      </ns0:c>
      <ns0:c r="Q1098">
        <ns0:f>IF(AND(L1098=1,O1098*Calculations!$B$2&lt;=Calculations!$B$10*Calculations!$B$4),1,0)</ns0:f>
        <ns0:v>0</ns0:v>
      </ns0:c>
      <ns0:c r="R1098">
        <ns0:f>IF(AND(L1098=1,O1098*Calculations!$B$2&lt;=Calculations!$B$11*Calculations!$B$4),1,0)</ns0:f>
        <ns0:v>0</ns0:v>
      </ns0:c>
    </ns0:row>
    <ns0:row r="1099">
      <ns0:c r="A1099" t="inlineStr">
        <ns0:is>
          <ns0:t>case_1098</ns0:t>
        </ns0:is>
      </ns0:c>
      <ns0:c r="B1099" t="inlineStr">
        <ns0:is>
          <ns0:t>function_0226</ns0:t>
        </ns0:is>
      </ns0:c>
      <ns0:c r="C1099" t="inlineStr">
        <ns0:is>
          <ns0:t>run_011</ns0:t>
        </ns0:is>
      </ns0:c>
      <ns0:c r="D1099" t="inlineStr">
        <ns0:is>
          <ns0:t>log</ns0:t>
        </ns0:is>
      </ns0:c>
      <ns0:c r="E1099" t="inlineStr">
        <ns0:is>
          <ns0:t>gemini-2.5-flash-nothinking</ns0:t>
        </ns0:is>
      </ns0:c>
      <ns0:c r="F1099" t="inlineStr">
        <ns0:is>
          <ns0:t>E0432</ns0:t>
        </ns0:is>
      </ns0:c>
      <ns0:c r="G1099" t="n">
        <ns0:v>1</ns0:v>
      </ns0:c>
      <ns0:c r="H1099" t="n">
        <ns0:v>0</ns0:v>
      </ns0:c>
      <ns0:c r="I1099" t="n">
        <ns0:v>0</ns0:v>
      </ns0:c>
      <ns0:c r="J1099" t="n">
        <ns0:v>0</ns0:v>
      </ns0:c>
      <ns0:c r="K1099" t="n">
        <ns0:v>0</ns0:v>
      </ns0:c>
      <ns0:c r="L1099" t="n">
        <ns0:v>1</ns0:v>
      </ns0:c>
      <ns0:c r="M1099" t="n">
        <ns0:v>52340</ns0:v>
      </ns0:c>
      <ns0:c r="N1099" t="n">
        <ns0:v>1675</ns0:v>
      </ns0:c>
      <ns0:c r="O1099" t="n">
        <ns0:v>54015</ns0:v>
      </ns0:c>
      <ns0:c r="P1099" t="n">
        <ns0:v>7</ns0:v>
      </ns0:c>
      <ns0:c r="Q1099">
        <ns0:f>IF(AND(L1099=1,O1099*Calculations!$B$2&lt;=Calculations!$B$10*Calculations!$B$4),1,0)</ns0:f>
        <ns0:v>0</ns0:v>
      </ns0:c>
      <ns0:c r="R1099">
        <ns0:f>IF(AND(L1099=1,O1099*Calculations!$B$2&lt;=Calculations!$B$11*Calculations!$B$4),1,0)</ns0:f>
        <ns0:v>0</ns0:v>
      </ns0:c>
    </ns0:row>
    <ns0:row r="1100">
      <ns0:c r="A1100" t="inlineStr">
        <ns0:is>
          <ns0:t>case_1099</ns0:t>
        </ns0:is>
      </ns0:c>
      <ns0:c r="B1100" t="inlineStr">
        <ns0:is>
          <ns0:t>function_0227</ns0:t>
        </ns0:is>
      </ns0:c>
      <ns0:c r="C1100" t="inlineStr">
        <ns0:is>
          <ns0:t>run_011</ns0:t>
        </ns0:is>
      </ns0:c>
      <ns0:c r="D1100" t="inlineStr">
        <ns0:is>
          <ns0:t>log</ns0:t>
        </ns0:is>
      </ns0:c>
      <ns0:c r="E1100" t="inlineStr">
        <ns0:is>
          <ns0:t>gemini-2.5-flash-nothinking</ns0:t>
        </ns0:is>
      </ns0:c>
      <ns0:c r="F1100" t="inlineStr">
        <ns0:is>
          <ns0:t>E0433</ns0:t>
        </ns0:is>
      </ns0:c>
      <ns0:c r="G1100" t="n">
        <ns0:v>0</ns0:v>
      </ns0:c>
      <ns0:c r="H1100" t="n">
        <ns0:v>2359</ns0:v>
      </ns0:c>
      <ns0:c r="I1100" t="n">
        <ns0:v>231</ns0:v>
      </ns0:c>
      <ns0:c r="J1100" t="n">
        <ns0:v>2590</ns0:v>
      </ns0:c>
      <ns0:c r="K1100" t="n">
        <ns0:v>3</ns0:v>
      </ns0:c>
      <ns0:c r="L1100" t="n">
        <ns0:v>1</ns0:v>
      </ns0:c>
      <ns0:c r="M1100" t="n">
        <ns0:v>20916</ns0:v>
      </ns0:c>
      <ns0:c r="N1100" t="n">
        <ns0:v>311</ns0:v>
      </ns0:c>
      <ns0:c r="O1100" t="n">
        <ns0:v>21227</ns0:v>
      </ns0:c>
      <ns0:c r="P1100" t="n">
        <ns0:v>3</ns0:v>
      </ns0:c>
      <ns0:c r="Q1100">
        <ns0:f>IF(AND(L1100=1,O1100*Calculations!$B$2&lt;=Calculations!$B$10*Calculations!$B$4),1,0)</ns0:f>
        <ns0:v>1</ns0:v>
      </ns0:c>
      <ns0:c r="R1100">
        <ns0:f>IF(AND(L1100=1,O1100*Calculations!$B$2&lt;=Calculations!$B$11*Calculations!$B$4),1,0)</ns0:f>
        <ns0:v>1</ns0:v>
      </ns0:c>
    </ns0:row>
    <ns0:row r="1101">
      <ns0:c r="A1101" t="inlineStr">
        <ns0:is>
          <ns0:t>case_1100</ns0:t>
        </ns0:is>
      </ns0:c>
      <ns0:c r="B1101" t="inlineStr">
        <ns0:is>
          <ns0:t>function_0227</ns0:t>
        </ns0:is>
      </ns0:c>
      <ns0:c r="C1101" t="inlineStr">
        <ns0:is>
          <ns0:t>run_011</ns0:t>
        </ns0:is>
      </ns0:c>
      <ns0:c r="D1101" t="inlineStr">
        <ns0:is>
          <ns0:t>log</ns0:t>
        </ns0:is>
      </ns0:c>
      <ns0:c r="E1101" t="inlineStr">
        <ns0:is>
          <ns0:t>gemini-2.5-flash-nothinking</ns0:t>
        </ns0:is>
      </ns0:c>
      <ns0:c r="F1101" t="inlineStr">
        <ns0:is>
          <ns0:t>E0433</ns0:t>
        </ns0:is>
      </ns0:c>
      <ns0:c r="G1101" t="n">
        <ns0:v>0</ns0:v>
      </ns0:c>
      <ns0:c r="H1101" t="n">
        <ns0:v>2827</ns0:v>
      </ns0:c>
      <ns0:c r="I1101" t="n">
        <ns0:v>490</ns0:v>
      </ns0:c>
      <ns0:c r="J1101" t="n">
        <ns0:v>3317</ns0:v>
      </ns0:c>
      <ns0:c r="K1101" t="n">
        <ns0:v>3</ns0:v>
      </ns0:c>
      <ns0:c r="L1101" t="n">
        <ns0:v>1</ns0:v>
      </ns0:c>
      <ns0:c r="M1101" t="n">
        <ns0:v>36260</ns0:v>
      </ns0:c>
      <ns0:c r="N1101" t="n">
        <ns0:v>335</ns0:v>
      </ns0:c>
      <ns0:c r="O1101" t="n">
        <ns0:v>36595</ns0:v>
      </ns0:c>
      <ns0:c r="P1101" t="n">
        <ns0:v>5</ns0:v>
      </ns0:c>
      <ns0:c r="Q1101">
        <ns0:f>IF(AND(L1101=1,O1101*Calculations!$B$2&lt;=Calculations!$B$10*Calculations!$B$4),1,0)</ns0:f>
        <ns0:v>0</ns0:v>
      </ns0:c>
      <ns0:c r="R1101">
        <ns0:f>IF(AND(L1101=1,O1101*Calculations!$B$2&lt;=Calculations!$B$11*Calculations!$B$4),1,0)</ns0:f>
        <ns0:v>1</ns0:v>
      </ns0:c>
    </ns0:row>
    <ns0:row r="1102">
      <ns0:c r="A1102" t="inlineStr">
        <ns0:is>
          <ns0:t>case_1101</ns0:t>
        </ns0:is>
      </ns0:c>
      <ns0:c r="B1102" t="inlineStr">
        <ns0:is>
          <ns0:t>function_0228</ns0:t>
        </ns0:is>
      </ns0:c>
      <ns0:c r="C1102" t="inlineStr">
        <ns0:is>
          <ns0:t>run_012</ns0:t>
        </ns0:is>
      </ns0:c>
      <ns0:c r="D1102" t="inlineStr">
        <ns0:is>
          <ns0:t>mio</ns0:t>
        </ns0:is>
      </ns0:c>
      <ns0:c r="E1102" t="inlineStr">
        <ns0:is>
          <ns0:t>gemini-2.5-flash-nothinking</ns0:t>
        </ns0:is>
      </ns0:c>
      <ns0:c r="F1102" t="inlineStr">
        <ns0:is>
          <ns0:t>E0433</ns0:t>
        </ns0:is>
      </ns0:c>
      <ns0:c r="G1102" t="n">
        <ns0:v>0</ns0:v>
      </ns0:c>
      <ns0:c r="H1102" t="n">
        <ns0:v>7053</ns0:v>
      </ns0:c>
      <ns0:c r="I1102" t="n">
        <ns0:v>144</ns0:v>
      </ns0:c>
      <ns0:c r="J1102" t="n">
        <ns0:v>7197</ns0:v>
      </ns0:c>
      <ns0:c r="K1102" t="n">
        <ns0:v>3</ns0:v>
      </ns0:c>
      <ns0:c r="L1102" t="n">
        <ns0:v>1</ns0:v>
      </ns0:c>
      <ns0:c r="M1102" t="n">
        <ns0:v>43229</ns0:v>
      </ns0:c>
      <ns0:c r="N1102" t="n">
        <ns0:v>866</ns0:v>
      </ns0:c>
      <ns0:c r="O1102" t="n">
        <ns0:v>44095</ns0:v>
      </ns0:c>
      <ns0:c r="P1102" t="n">
        <ns0:v>6</ns0:v>
      </ns0:c>
      <ns0:c r="Q1102">
        <ns0:f>IF(AND(L1102=1,O1102*Calculations!$B$2&lt;=Calculations!$B$10*Calculations!$B$4),1,0)</ns0:f>
        <ns0:v>0</ns0:v>
      </ns0:c>
      <ns0:c r="R1102">
        <ns0:f>IF(AND(L1102=1,O1102*Calculations!$B$2&lt;=Calculations!$B$11*Calculations!$B$4),1,0)</ns0:f>
        <ns0:v>1</ns0:v>
      </ns0:c>
    </ns0:row>
    <ns0:row r="1103">
      <ns0:c r="A1103" t="inlineStr">
        <ns0:is>
          <ns0:t>case_1102</ns0:t>
        </ns0:is>
      </ns0:c>
      <ns0:c r="B1103" t="inlineStr">
        <ns0:is>
          <ns0:t>function_0228</ns0:t>
        </ns0:is>
      </ns0:c>
      <ns0:c r="C1103" t="inlineStr">
        <ns0:is>
          <ns0:t>run_012</ns0:t>
        </ns0:is>
      </ns0:c>
      <ns0:c r="D1103" t="inlineStr">
        <ns0:is>
          <ns0:t>mio</ns0:t>
        </ns0:is>
      </ns0:c>
      <ns0:c r="E1103" t="inlineStr">
        <ns0:is>
          <ns0:t>gemini-2.5-flash-nothinking</ns0:t>
        </ns0:is>
      </ns0:c>
      <ns0:c r="F1103" t="inlineStr">
        <ns0:is>
          <ns0:t>E0433</ns0:t>
        </ns0:is>
      </ns0:c>
      <ns0:c r="G1103" t="n">
        <ns0:v>0</ns0:v>
      </ns0:c>
      <ns0:c r="H1103" t="n">
        <ns0:v>7059</ns0:v>
      </ns0:c>
      <ns0:c r="I1103" t="n">
        <ns0:v>138</ns0:v>
      </ns0:c>
      <ns0:c r="J1103" t="n">
        <ns0:v>7197</ns0:v>
      </ns0:c>
      <ns0:c r="K1103" t="n">
        <ns0:v>3</ns0:v>
      </ns0:c>
      <ns0:c r="L1103" t="n">
        <ns0:v>1</ns0:v>
      </ns0:c>
      <ns0:c r="M1103" t="n">
        <ns0:v>35912</ns0:v>
      </ns0:c>
      <ns0:c r="N1103" t="n">
        <ns0:v>459</ns0:v>
      </ns0:c>
      <ns0:c r="O1103" t="n">
        <ns0:v>36371</ns0:v>
      </ns0:c>
      <ns0:c r="P1103" t="n">
        <ns0:v>5</ns0:v>
      </ns0:c>
      <ns0:c r="Q1103">
        <ns0:f>IF(AND(L1103=1,O1103*Calculations!$B$2&lt;=Calculations!$B$10*Calculations!$B$4),1,0)</ns0:f>
        <ns0:v>0</ns0:v>
      </ns0:c>
      <ns0:c r="R1103">
        <ns0:f>IF(AND(L1103=1,O1103*Calculations!$B$2&lt;=Calculations!$B$11*Calculations!$B$4),1,0)</ns0:f>
        <ns0:v>1</ns0:v>
      </ns0:c>
    </ns0:row>
    <ns0:row r="1104">
      <ns0:c r="A1104" t="inlineStr">
        <ns0:is>
          <ns0:t>case_1103</ns0:t>
        </ns0:is>
      </ns0:c>
      <ns0:c r="B1104" t="inlineStr">
        <ns0:is>
          <ns0:t>function_0229</ns0:t>
        </ns0:is>
      </ns0:c>
      <ns0:c r="C1104" t="inlineStr">
        <ns0:is>
          <ns0:t>run_012</ns0:t>
        </ns0:is>
      </ns0:c>
      <ns0:c r="D1104" t="inlineStr">
        <ns0:is>
          <ns0:t>mio</ns0:t>
        </ns0:is>
      </ns0:c>
      <ns0:c r="E1104" t="inlineStr">
        <ns0:is>
          <ns0:t>gemini-2.5-flash-nothinking</ns0:t>
        </ns0:is>
      </ns0:c>
      <ns0:c r="F1104" t="inlineStr">
        <ns0:is>
          <ns0:t>E0433</ns0:t>
        </ns0:is>
      </ns0:c>
      <ns0:c r="G1104" t="n">
        <ns0:v>0</ns0:v>
      </ns0:c>
      <ns0:c r="H1104" t="n">
        <ns0:v>7220</ns0:v>
      </ns0:c>
      <ns0:c r="I1104" t="n">
        <ns0:v>153</ns0:v>
      </ns0:c>
      <ns0:c r="J1104" t="n">
        <ns0:v>7373</ns0:v>
      </ns0:c>
      <ns0:c r="K1104" t="n">
        <ns0:v>3</ns0:v>
      </ns0:c>
      <ns0:c r="L1104" t="n">
        <ns0:v>1</ns0:v>
      </ns0:c>
      <ns0:c r="M1104" t="n">
        <ns0:v>36542</ns0:v>
      </ns0:c>
      <ns0:c r="N1104" t="n">
        <ns0:v>591</ns0:v>
      </ns0:c>
      <ns0:c r="O1104" t="n">
        <ns0:v>37133</ns0:v>
      </ns0:c>
      <ns0:c r="P1104" t="n">
        <ns0:v>5</ns0:v>
      </ns0:c>
      <ns0:c r="Q1104">
        <ns0:f>IF(AND(L1104=1,O1104*Calculations!$B$2&lt;=Calculations!$B$10*Calculations!$B$4),1,0)</ns0:f>
        <ns0:v>0</ns0:v>
      </ns0:c>
      <ns0:c r="R1104">
        <ns0:f>IF(AND(L1104=1,O1104*Calculations!$B$2&lt;=Calculations!$B$11*Calculations!$B$4),1,0)</ns0:f>
        <ns0:v>1</ns0:v>
      </ns0:c>
    </ns0:row>
    <ns0:row r="1105">
      <ns0:c r="A1105" t="inlineStr">
        <ns0:is>
          <ns0:t>case_1104</ns0:t>
        </ns0:is>
      </ns0:c>
      <ns0:c r="B1105" t="inlineStr">
        <ns0:is>
          <ns0:t>function_0229</ns0:t>
        </ns0:is>
      </ns0:c>
      <ns0:c r="C1105" t="inlineStr">
        <ns0:is>
          <ns0:t>run_012</ns0:t>
        </ns0:is>
      </ns0:c>
      <ns0:c r="D1105" t="inlineStr">
        <ns0:is>
          <ns0:t>mio</ns0:t>
        </ns0:is>
      </ns0:c>
      <ns0:c r="E1105" t="inlineStr">
        <ns0:is>
          <ns0:t>gemini-2.5-flash-nothinking</ns0:t>
        </ns0:is>
      </ns0:c>
      <ns0:c r="F1105" t="inlineStr"/>
      <ns0:c r="G1105" t="n">
        <ns0:v>0</ns0:v>
      </ns0:c>
      <ns0:c r="H1105" t="n">
        <ns0:v>8526</ns0:v>
      </ns0:c>
      <ns0:c r="I1105" t="n">
        <ns0:v>165</ns0:v>
      </ns0:c>
      <ns0:c r="J1105" t="n">
        <ns0:v>8691</ns0:v>
      </ns0:c>
      <ns0:c r="K1105" t="n">
        <ns0:v>3</ns0:v>
      </ns0:c>
      <ns0:c r="L1105" t="n">
        <ns0:v>1</ns0:v>
      </ns0:c>
      <ns0:c r="M1105" t="n">
        <ns0:v>27800</ns0:v>
      </ns0:c>
      <ns0:c r="N1105" t="n">
        <ns0:v>376</ns0:v>
      </ns0:c>
      <ns0:c r="O1105" t="n">
        <ns0:v>28176</ns0:v>
      </ns0:c>
      <ns0:c r="P1105" t="n">
        <ns0:v>4</ns0:v>
      </ns0:c>
      <ns0:c r="Q1105">
        <ns0:f>IF(AND(L1105=1,O1105*Calculations!$B$2&lt;=Calculations!$B$10*Calculations!$B$4),1,0)</ns0:f>
        <ns0:v>0</ns0:v>
      </ns0:c>
      <ns0:c r="R1105">
        <ns0:f>IF(AND(L1105=1,O1105*Calculations!$B$2&lt;=Calculations!$B$11*Calculations!$B$4),1,0)</ns0:f>
        <ns0:v>1</ns0:v>
      </ns0:c>
    </ns0:row>
    <ns0:row r="1106">
      <ns0:c r="A1106" t="inlineStr">
        <ns0:is>
          <ns0:t>case_1105</ns0:t>
        </ns0:is>
      </ns0:c>
      <ns0:c r="B1106" t="inlineStr">
        <ns0:is>
          <ns0:t>function_0230</ns0:t>
        </ns0:is>
      </ns0:c>
      <ns0:c r="C1106" t="inlineStr">
        <ns0:is>
          <ns0:t>run_012</ns0:t>
        </ns0:is>
      </ns0:c>
      <ns0:c r="D1106" t="inlineStr">
        <ns0:is>
          <ns0:t>mio</ns0:t>
        </ns0:is>
      </ns0:c>
      <ns0:c r="E1106" t="inlineStr">
        <ns0:is>
          <ns0:t>gemini-2.5-flash-nothinking</ns0:t>
        </ns0:is>
      </ns0:c>
      <ns0:c r="F1106" t="inlineStr">
        <ns0:is>
          <ns0:t>E0308,E0425,E0432,E0560</ns0:t>
        </ns0:is>
      </ns0:c>
      <ns0:c r="G1106" t="n">
        <ns0:v>0</ns0:v>
      </ns0:c>
      <ns0:c r="H1106" t="n">
        <ns0:v>32803</ns0:v>
      </ns0:c>
      <ns0:c r="I1106" t="n">
        <ns0:v>3419</ns0:v>
      </ns0:c>
      <ns0:c r="J1106" t="n">
        <ns0:v>36222</ns0:v>
      </ns0:c>
      <ns0:c r="K1106" t="n">
        <ns0:v>9</ns0:v>
      </ns0:c>
      <ns0:c r="L1106" t="n">
        <ns0:v>0</ns0:v>
      </ns0:c>
      <ns0:c r="M1106" t="n">
        <ns0:v>394145</ns0:v>
      </ns0:c>
      <ns0:c r="N1106" t="n">
        <ns0:v>6516</ns0:v>
      </ns0:c>
      <ns0:c r="O1106" t="n">
        <ns0:v>400661</ns0:v>
      </ns0:c>
      <ns0:c r="P1106" t="n">
        <ns0:v>21</ns0:v>
      </ns0:c>
      <ns0:c r="Q1106">
        <ns0:f>IF(AND(L1106=1,O1106*Calculations!$B$2&lt;=Calculations!$B$10*Calculations!$B$4),1,0)</ns0:f>
        <ns0:v>0</ns0:v>
      </ns0:c>
      <ns0:c r="R1106">
        <ns0:f>IF(AND(L1106=1,O1106*Calculations!$B$2&lt;=Calculations!$B$11*Calculations!$B$4),1,0)</ns0:f>
        <ns0:v>0</ns0:v>
      </ns0:c>
    </ns0:row>
    <ns0:row r="1107">
      <ns0:c r="A1107" t="inlineStr">
        <ns0:is>
          <ns0:t>case_1106</ns0:t>
        </ns0:is>
      </ns0:c>
      <ns0:c r="B1107" t="inlineStr">
        <ns0:is>
          <ns0:t>function_0230</ns0:t>
        </ns0:is>
      </ns0:c>
      <ns0:c r="C1107" t="inlineStr">
        <ns0:is>
          <ns0:t>run_012</ns0:t>
        </ns0:is>
      </ns0:c>
      <ns0:c r="D1107" t="inlineStr">
        <ns0:is>
          <ns0:t>mio</ns0:t>
        </ns0:is>
      </ns0:c>
      <ns0:c r="E1107" t="inlineStr">
        <ns0:is>
          <ns0:t>gemini-2.5-flash-nothinking</ns0:t>
        </ns0:is>
      </ns0:c>
      <ns0:c r="F1107" t="inlineStr">
        <ns0:is>
          <ns0:t>E0599</ns0:t>
        </ns0:is>
      </ns0:c>
      <ns0:c r="G1107" t="n">
        <ns0:v>0</ns0:v>
      </ns0:c>
      <ns0:c r="H1107" t="n">
        <ns0:v>9281</ns0:v>
      </ns0:c>
      <ns0:c r="I1107" t="n">
        <ns0:v>276</ns0:v>
      </ns0:c>
      <ns0:c r="J1107" t="n">
        <ns0:v>9557</ns0:v>
      </ns0:c>
      <ns0:c r="K1107" t="n">
        <ns0:v>3</ns0:v>
      </ns0:c>
      <ns0:c r="L1107" t="n">
        <ns0:v>1</ns0:v>
      </ns0:c>
      <ns0:c r="M1107" t="n">
        <ns0:v>94430</ns0:v>
      </ns0:c>
      <ns0:c r="N1107" t="n">
        <ns0:v>1693</ns0:v>
      </ns0:c>
      <ns0:c r="O1107" t="n">
        <ns0:v>96123</ns0:v>
      </ns0:c>
      <ns0:c r="P1107" t="n">
        <ns0:v>10</ns0:v>
      </ns0:c>
      <ns0:c r="Q1107">
        <ns0:f>IF(AND(L1107=1,O1107*Calculations!$B$2&lt;=Calculations!$B$10*Calculations!$B$4),1,0)</ns0:f>
        <ns0:v>0</ns0:v>
      </ns0:c>
      <ns0:c r="R1107">
        <ns0:f>IF(AND(L1107=1,O1107*Calculations!$B$2&lt;=Calculations!$B$11*Calculations!$B$4),1,0)</ns0:f>
        <ns0:v>0</ns0:v>
      </ns0:c>
    </ns0:row>
    <ns0:row r="1108">
      <ns0:c r="A1108" t="inlineStr">
        <ns0:is>
          <ns0:t>case_1107</ns0:t>
        </ns0:is>
      </ns0:c>
      <ns0:c r="B1108" t="inlineStr">
        <ns0:is>
          <ns0:t>function_0231</ns0:t>
        </ns0:is>
      </ns0:c>
      <ns0:c r="C1108" t="inlineStr">
        <ns0:is>
          <ns0:t>run_012</ns0:t>
        </ns0:is>
      </ns0:c>
      <ns0:c r="D1108" t="inlineStr">
        <ns0:is>
          <ns0:t>mio</ns0:t>
        </ns0:is>
      </ns0:c>
      <ns0:c r="E1108" t="inlineStr">
        <ns0:is>
          <ns0:t>gemini-2.5-flash-nothinking</ns0:t>
        </ns0:is>
      </ns0:c>
      <ns0:c r="F1108" t="inlineStr">
        <ns0:is>
          <ns0:t>E0433,E0599</ns0:t>
        </ns0:is>
      </ns0:c>
      <ns0:c r="G1108" t="n">
        <ns0:v>0</ns0:v>
      </ns0:c>
      <ns0:c r="H1108" t="n">
        <ns0:v>10218</ns0:v>
      </ns0:c>
      <ns0:c r="I1108" t="n">
        <ns0:v>1893</ns0:v>
      </ns0:c>
      <ns0:c r="J1108" t="n">
        <ns0:v>12111</ns0:v>
      </ns0:c>
      <ns0:c r="K1108" t="n">
        <ns0:v>3</ns0:v>
      </ns0:c>
      <ns0:c r="L1108" t="n">
        <ns0:v>0</ns0:v>
      </ns0:c>
      <ns0:c r="M1108" t="n">
        <ns0:v>264649</ns0:v>
      </ns0:c>
      <ns0:c r="N1108" t="n">
        <ns0:v>2470</ns0:v>
      </ns0:c>
      <ns0:c r="O1108" t="n">
        <ns0:v>267119</ns0:v>
      </ns0:c>
      <ns0:c r="P1108" t="n">
        <ns0:v>20</ns0:v>
      </ns0:c>
      <ns0:c r="Q1108">
        <ns0:f>IF(AND(L1108=1,O1108*Calculations!$B$2&lt;=Calculations!$B$10*Calculations!$B$4),1,0)</ns0:f>
        <ns0:v>0</ns0:v>
      </ns0:c>
      <ns0:c r="R1108">
        <ns0:f>IF(AND(L1108=1,O1108*Calculations!$B$2&lt;=Calculations!$B$11*Calculations!$B$4),1,0)</ns0:f>
        <ns0:v>0</ns0:v>
      </ns0:c>
    </ns0:row>
    <ns0:row r="1109">
      <ns0:c r="A1109" t="inlineStr">
        <ns0:is>
          <ns0:t>case_1108</ns0:t>
        </ns0:is>
      </ns0:c>
      <ns0:c r="B1109" t="inlineStr">
        <ns0:is>
          <ns0:t>function_0231</ns0:t>
        </ns0:is>
      </ns0:c>
      <ns0:c r="C1109" t="inlineStr">
        <ns0:is>
          <ns0:t>run_012</ns0:t>
        </ns0:is>
      </ns0:c>
      <ns0:c r="D1109" t="inlineStr">
        <ns0:is>
          <ns0:t>mio</ns0:t>
        </ns0:is>
      </ns0:c>
      <ns0:c r="E1109" t="inlineStr">
        <ns0:is>
          <ns0:t>gemini-2.5-flash-nothinking</ns0:t>
        </ns0:is>
      </ns0:c>
      <ns0:c r="F1109" t="inlineStr">
        <ns0:is>
          <ns0:t>E0599</ns0:t>
        </ns0:is>
      </ns0:c>
      <ns0:c r="G1109" t="n">
        <ns0:v>0</ns0:v>
      </ns0:c>
      <ns0:c r="H1109" t="n">
        <ns0:v>23212</ns0:v>
      </ns0:c>
      <ns0:c r="I1109" t="n">
        <ns0:v>1046</ns0:v>
      </ns0:c>
      <ns0:c r="J1109" t="n">
        <ns0:v>24258</ns0:v>
      </ns0:c>
      <ns0:c r="K1109" t="n">
        <ns0:v>7</ns0:v>
      </ns0:c>
      <ns0:c r="L1109" t="n">
        <ns0:v>0</ns0:v>
      </ns0:c>
      <ns0:c r="M1109" t="n">
        <ns0:v>436766</ns0:v>
      </ns0:c>
      <ns0:c r="N1109" t="n">
        <ns0:v>9292</ns0:v>
      </ns0:c>
      <ns0:c r="O1109" t="n">
        <ns0:v>446058</ns0:v>
      </ns0:c>
      <ns0:c r="P1109" t="n">
        <ns0:v>23</ns0:v>
      </ns0:c>
      <ns0:c r="Q1109">
        <ns0:f>IF(AND(L1109=1,O1109*Calculations!$B$2&lt;=Calculations!$B$10*Calculations!$B$4),1,0)</ns0:f>
        <ns0:v>0</ns0:v>
      </ns0:c>
      <ns0:c r="R1109">
        <ns0:f>IF(AND(L1109=1,O1109*Calculations!$B$2&lt;=Calculations!$B$11*Calculations!$B$4),1,0)</ns0:f>
        <ns0:v>0</ns0:v>
      </ns0:c>
    </ns0:row>
    <ns0:row r="1110">
      <ns0:c r="A1110" t="inlineStr">
        <ns0:is>
          <ns0:t>case_1109</ns0:t>
        </ns0:is>
      </ns0:c>
      <ns0:c r="B1110" t="inlineStr">
        <ns0:is>
          <ns0:t>function_0232</ns0:t>
        </ns0:is>
      </ns0:c>
      <ns0:c r="C1110" t="inlineStr">
        <ns0:is>
          <ns0:t>run_012</ns0:t>
        </ns0:is>
      </ns0:c>
      <ns0:c r="D1110" t="inlineStr">
        <ns0:is>
          <ns0:t>mio</ns0:t>
        </ns0:is>
      </ns0:c>
      <ns0:c r="E1110" t="inlineStr">
        <ns0:is>
          <ns0:t>gemini-2.5-flash-nothinking</ns0:t>
        </ns0:is>
      </ns0:c>
      <ns0:c r="F1110" t="inlineStr"/>
      <ns0:c r="G1110" t="n">
        <ns0:v>0</ns0:v>
      </ns0:c>
      <ns0:c r="H1110" t="n">
        <ns0:v>6677</ns0:v>
      </ns0:c>
      <ns0:c r="I1110" t="n">
        <ns0:v>171</ns0:v>
      </ns0:c>
      <ns0:c r="J1110" t="n">
        <ns0:v>6848</ns0:v>
      </ns0:c>
      <ns0:c r="K1110" t="n">
        <ns0:v>3</ns0:v>
      </ns0:c>
      <ns0:c r="L1110" t="n">
        <ns0:v>1</ns0:v>
      </ns0:c>
      <ns0:c r="M1110" t="n">
        <ns0:v>37513</ns0:v>
      </ns0:c>
      <ns0:c r="N1110" t="n">
        <ns0:v>296</ns0:v>
      </ns0:c>
      <ns0:c r="O1110" t="n">
        <ns0:v>37809</ns0:v>
      </ns0:c>
      <ns0:c r="P1110" t="n">
        <ns0:v>5</ns0:v>
      </ns0:c>
      <ns0:c r="Q1110">
        <ns0:f>IF(AND(L1110=1,O1110*Calculations!$B$2&lt;=Calculations!$B$10*Calculations!$B$4),1,0)</ns0:f>
        <ns0:v>0</ns0:v>
      </ns0:c>
      <ns0:c r="R1110">
        <ns0:f>IF(AND(L1110=1,O1110*Calculations!$B$2&lt;=Calculations!$B$11*Calculations!$B$4),1,0)</ns0:f>
        <ns0:v>1</ns0:v>
      </ns0:c>
    </ns0:row>
    <ns0:row r="1111">
      <ns0:c r="A1111" t="inlineStr">
        <ns0:is>
          <ns0:t>case_1110</ns0:t>
        </ns0:is>
      </ns0:c>
      <ns0:c r="B1111" t="inlineStr">
        <ns0:is>
          <ns0:t>function_0232</ns0:t>
        </ns0:is>
      </ns0:c>
      <ns0:c r="C1111" t="inlineStr">
        <ns0:is>
          <ns0:t>run_012</ns0:t>
        </ns0:is>
      </ns0:c>
      <ns0:c r="D1111" t="inlineStr">
        <ns0:is>
          <ns0:t>mio</ns0:t>
        </ns0:is>
      </ns0:c>
      <ns0:c r="E1111" t="inlineStr">
        <ns0:is>
          <ns0:t>gemini-2.5-flash-nothinking</ns0:t>
        </ns0:is>
      </ns0:c>
      <ns0:c r="F1111" t="inlineStr"/>
      <ns0:c r="G1111" t="n">
        <ns0:v>0</ns0:v>
      </ns0:c>
      <ns0:c r="H1111" t="n">
        <ns0:v>6792</ns0:v>
      </ns0:c>
      <ns0:c r="I1111" t="n">
        <ns0:v>168</ns0:v>
      </ns0:c>
      <ns0:c r="J1111" t="n">
        <ns0:v>6960</ns0:v>
      </ns0:c>
      <ns0:c r="K1111" t="n">
        <ns0:v>3</ns0:v>
      </ns0:c>
      <ns0:c r="L1111" t="n">
        <ns0:v>1</ns0:v>
      </ns0:c>
      <ns0:c r="M1111" t="n">
        <ns0:v>45428</ns0:v>
      </ns0:c>
      <ns0:c r="N1111" t="n">
        <ns0:v>374</ns0:v>
      </ns0:c>
      <ns0:c r="O1111" t="n">
        <ns0:v>45802</ns0:v>
      </ns0:c>
      <ns0:c r="P1111" t="n">
        <ns0:v>6</ns0:v>
      </ns0:c>
      <ns0:c r="Q1111">
        <ns0:f>IF(AND(L1111=1,O1111*Calculations!$B$2&lt;=Calculations!$B$10*Calculations!$B$4),1,0)</ns0:f>
        <ns0:v>0</ns0:v>
      </ns0:c>
      <ns0:c r="R1111">
        <ns0:f>IF(AND(L1111=1,O1111*Calculations!$B$2&lt;=Calculations!$B$11*Calculations!$B$4),1,0)</ns0:f>
        <ns0:v>1</ns0:v>
      </ns0:c>
    </ns0:row>
    <ns0:row r="1112">
      <ns0:c r="A1112" t="inlineStr">
        <ns0:is>
          <ns0:t>case_1111</ns0:t>
        </ns0:is>
      </ns0:c>
      <ns0:c r="B1112" t="inlineStr">
        <ns0:is>
          <ns0:t>function_0233</ns0:t>
        </ns0:is>
      </ns0:c>
      <ns0:c r="C1112" t="inlineStr">
        <ns0:is>
          <ns0:t>run_012</ns0:t>
        </ns0:is>
      </ns0:c>
      <ns0:c r="D1112" t="inlineStr">
        <ns0:is>
          <ns0:t>mio</ns0:t>
        </ns0:is>
      </ns0:c>
      <ns0:c r="E1112" t="inlineStr">
        <ns0:is>
          <ns0:t>gemini-2.5-flash-nothinking</ns0:t>
        </ns0:is>
      </ns0:c>
      <ns0:c r="F1112" t="inlineStr">
        <ns0:is>
          <ns0:t>E0599</ns0:t>
        </ns0:is>
      </ns0:c>
      <ns0:c r="G1112" t="n">
        <ns0:v>1</ns0:v>
      </ns0:c>
      <ns0:c r="H1112" t="n">
        <ns0:v>6330</ns0:v>
      </ns0:c>
      <ns0:c r="I1112" t="n">
        <ns0:v>258</ns0:v>
      </ns0:c>
      <ns0:c r="J1112" t="n">
        <ns0:v>6588</ns0:v>
      </ns0:c>
      <ns0:c r="K1112" t="n">
        <ns0:v>3</ns0:v>
      </ns0:c>
      <ns0:c r="L1112" t="n">
        <ns0:v>0</ns0:v>
      </ns0:c>
      <ns0:c r="M1112" t="n">
        <ns0:v>108316</ns0:v>
      </ns0:c>
      <ns0:c r="N1112" t="n">
        <ns0:v>1546</ns0:v>
      </ns0:c>
      <ns0:c r="O1112" t="n">
        <ns0:v>109862</ns0:v>
      </ns0:c>
      <ns0:c r="P1112" t="n">
        <ns0:v>13</ns0:v>
      </ns0:c>
      <ns0:c r="Q1112">
        <ns0:f>IF(AND(L1112=1,O1112*Calculations!$B$2&lt;=Calculations!$B$10*Calculations!$B$4),1,0)</ns0:f>
        <ns0:v>0</ns0:v>
      </ns0:c>
      <ns0:c r="R1112">
        <ns0:f>IF(AND(L1112=1,O1112*Calculations!$B$2&lt;=Calculations!$B$11*Calculations!$B$4),1,0)</ns0:f>
        <ns0:v>0</ns0:v>
      </ns0:c>
    </ns0:row>
    <ns0:row r="1113">
      <ns0:c r="A1113" t="inlineStr">
        <ns0:is>
          <ns0:t>case_1112</ns0:t>
        </ns0:is>
      </ns0:c>
      <ns0:c r="B1113" t="inlineStr">
        <ns0:is>
          <ns0:t>function_0233</ns0:t>
        </ns0:is>
      </ns0:c>
      <ns0:c r="C1113" t="inlineStr">
        <ns0:is>
          <ns0:t>run_012</ns0:t>
        </ns0:is>
      </ns0:c>
      <ns0:c r="D1113" t="inlineStr">
        <ns0:is>
          <ns0:t>mio</ns0:t>
        </ns0:is>
      </ns0:c>
      <ns0:c r="E1113" t="inlineStr">
        <ns0:is>
          <ns0:t>gemini-2.5-flash-nothinking</ns0:t>
        </ns0:is>
      </ns0:c>
      <ns0:c r="F1113" t="inlineStr"/>
      <ns0:c r="G1113" t="n">
        <ns0:v>0</ns0:v>
      </ns0:c>
      <ns0:c r="H1113" t="n">
        <ns0:v>6647</ns0:v>
      </ns0:c>
      <ns0:c r="I1113" t="n">
        <ns0:v>243</ns0:v>
      </ns0:c>
      <ns0:c r="J1113" t="n">
        <ns0:v>6890</ns0:v>
      </ns0:c>
      <ns0:c r="K1113" t="n">
        <ns0:v>3</ns0:v>
      </ns0:c>
      <ns0:c r="L1113" t="n">
        <ns0:v>1</ns0:v>
      </ns0:c>
      <ns0:c r="M1113" t="n">
        <ns0:v>27602</ns0:v>
      </ns0:c>
      <ns0:c r="N1113" t="n">
        <ns0:v>394</ns0:v>
      </ns0:c>
      <ns0:c r="O1113" t="n">
        <ns0:v>27996</ns0:v>
      </ns0:c>
      <ns0:c r="P1113" t="n">
        <ns0:v>4</ns0:v>
      </ns0:c>
      <ns0:c r="Q1113">
        <ns0:f>IF(AND(L1113=1,O1113*Calculations!$B$2&lt;=Calculations!$B$10*Calculations!$B$4),1,0)</ns0:f>
        <ns0:v>0</ns0:v>
      </ns0:c>
      <ns0:c r="R1113">
        <ns0:f>IF(AND(L1113=1,O1113*Calculations!$B$2&lt;=Calculations!$B$11*Calculations!$B$4),1,0)</ns0:f>
        <ns0:v>1</ns0:v>
      </ns0:c>
    </ns0:row>
    <ns0:row r="1114">
      <ns0:c r="A1114" t="inlineStr">
        <ns0:is>
          <ns0:t>case_1113</ns0:t>
        </ns0:is>
      </ns0:c>
      <ns0:c r="B1114" t="inlineStr">
        <ns0:is>
          <ns0:t>function_0234</ns0:t>
        </ns0:is>
      </ns0:c>
      <ns0:c r="C1114" t="inlineStr">
        <ns0:is>
          <ns0:t>run_012</ns0:t>
        </ns0:is>
      </ns0:c>
      <ns0:c r="D1114" t="inlineStr">
        <ns0:is>
          <ns0:t>mio</ns0:t>
        </ns0:is>
      </ns0:c>
      <ns0:c r="E1114" t="inlineStr">
        <ns0:is>
          <ns0:t>gemini-2.5-flash-nothinking</ns0:t>
        </ns0:is>
      </ns0:c>
      <ns0:c r="F1114" t="inlineStr">
        <ns0:is>
          <ns0:t>E0432,E0599</ns0:t>
        </ns0:is>
      </ns0:c>
      <ns0:c r="G1114" t="n">
        <ns0:v>0</ns0:v>
      </ns0:c>
      <ns0:c r="H1114" t="n">
        <ns0:v>4874</ns0:v>
      </ns0:c>
      <ns0:c r="I1114" t="n">
        <ns0:v>228</ns0:v>
      </ns0:c>
      <ns0:c r="J1114" t="n">
        <ns0:v>5102</ns0:v>
      </ns0:c>
      <ns0:c r="K1114" t="n">
        <ns0:v>3</ns0:v>
      </ns0:c>
      <ns0:c r="L1114" t="n">
        <ns0:v>1</ns0:v>
      </ns0:c>
      <ns0:c r="M1114" t="n">
        <ns0:v>61317</ns0:v>
      </ns0:c>
      <ns0:c r="N1114" t="n">
        <ns0:v>1129</ns0:v>
      </ns0:c>
      <ns0:c r="O1114" t="n">
        <ns0:v>62446</ns0:v>
      </ns0:c>
      <ns0:c r="P1114" t="n">
        <ns0:v>4</ns0:v>
      </ns0:c>
      <ns0:c r="Q1114">
        <ns0:f>IF(AND(L1114=1,O1114*Calculations!$B$2&lt;=Calculations!$B$10*Calculations!$B$4),1,0)</ns0:f>
        <ns0:v>0</ns0:v>
      </ns0:c>
      <ns0:c r="R1114">
        <ns0:f>IF(AND(L1114=1,O1114*Calculations!$B$2&lt;=Calculations!$B$11*Calculations!$B$4),1,0)</ns0:f>
        <ns0:v>0</ns0:v>
      </ns0:c>
    </ns0:row>
    <ns0:row r="1115">
      <ns0:c r="A1115" t="inlineStr">
        <ns0:is>
          <ns0:t>case_1114</ns0:t>
        </ns0:is>
      </ns0:c>
      <ns0:c r="B1115" t="inlineStr">
        <ns0:is>
          <ns0:t>function_0234</ns0:t>
        </ns0:is>
      </ns0:c>
      <ns0:c r="C1115" t="inlineStr">
        <ns0:is>
          <ns0:t>run_012</ns0:t>
        </ns0:is>
      </ns0:c>
      <ns0:c r="D1115" t="inlineStr">
        <ns0:is>
          <ns0:t>mio</ns0:t>
        </ns0:is>
      </ns0:c>
      <ns0:c r="E1115" t="inlineStr">
        <ns0:is>
          <ns0:t>gemini-2.5-flash-nothinking</ns0:t>
        </ns0:is>
      </ns0:c>
      <ns0:c r="F1115" t="inlineStr">
        <ns0:is>
          <ns0:t>E0599</ns0:t>
        </ns0:is>
      </ns0:c>
      <ns0:c r="G1115" t="n">
        <ns0:v>0</ns0:v>
      </ns0:c>
      <ns0:c r="H1115" t="n">
        <ns0:v>2867</ns0:v>
      </ns0:c>
      <ns0:c r="I1115" t="n">
        <ns0:v>152</ns0:v>
      </ns0:c>
      <ns0:c r="J1115" t="n">
        <ns0:v>3019</ns0:v>
      </ns0:c>
      <ns0:c r="K1115" t="n">
        <ns0:v>3</ns0:v>
      </ns0:c>
      <ns0:c r="L1115" t="n">
        <ns0:v>0</ns0:v>
      </ns0:c>
      <ns0:c r="M1115" t="n">
        <ns0:v>91671</ns0:v>
      </ns0:c>
      <ns0:c r="N1115" t="n">
        <ns0:v>1390</ns0:v>
      </ns0:c>
      <ns0:c r="O1115" t="n">
        <ns0:v>93061</ns0:v>
      </ns0:c>
      <ns0:c r="P1115" t="n">
        <ns0:v>12</ns0:v>
      </ns0:c>
      <ns0:c r="Q1115">
        <ns0:f>IF(AND(L1115=1,O1115*Calculations!$B$2&lt;=Calculations!$B$10*Calculations!$B$4),1,0)</ns0:f>
        <ns0:v>0</ns0:v>
      </ns0:c>
      <ns0:c r="R1115">
        <ns0:f>IF(AND(L1115=1,O1115*Calculations!$B$2&lt;=Calculations!$B$11*Calculations!$B$4),1,0)</ns0:f>
        <ns0:v>0</ns0:v>
      </ns0:c>
    </ns0:row>
    <ns0:row r="1116">
      <ns0:c r="A1116" t="inlineStr">
        <ns0:is>
          <ns0:t>case_1115</ns0:t>
        </ns0:is>
      </ns0:c>
      <ns0:c r="B1116" t="inlineStr">
        <ns0:is>
          <ns0:t>function_0235</ns0:t>
        </ns0:is>
      </ns0:c>
      <ns0:c r="C1116" t="inlineStr">
        <ns0:is>
          <ns0:t>run_012</ns0:t>
        </ns0:is>
      </ns0:c>
      <ns0:c r="D1116" t="inlineStr">
        <ns0:is>
          <ns0:t>mio</ns0:t>
        </ns0:is>
      </ns0:c>
      <ns0:c r="E1116" t="inlineStr">
        <ns0:is>
          <ns0:t>gemini-2.5-flash-nothinking</ns0:t>
        </ns0:is>
      </ns0:c>
      <ns0:c r="F1116" t="inlineStr">
        <ns0:is>
          <ns0:t>E0432,E0599</ns0:t>
        </ns0:is>
      </ns0:c>
      <ns0:c r="G1116" t="n">
        <ns0:v>0</ns0:v>
      </ns0:c>
      <ns0:c r="H1116" t="n">
        <ns0:v>4686</ns0:v>
      </ns0:c>
      <ns0:c r="I1116" t="n">
        <ns0:v>186</ns0:v>
      </ns0:c>
      <ns0:c r="J1116" t="n">
        <ns0:v>4872</ns0:v>
      </ns0:c>
      <ns0:c r="K1116" t="n">
        <ns0:v>3</ns0:v>
      </ns0:c>
      <ns0:c r="L1116" t="n">
        <ns0:v>1</ns0:v>
      </ns0:c>
      <ns0:c r="M1116" t="n">
        <ns0:v>140617</ns0:v>
      </ns0:c>
      <ns0:c r="N1116" t="n">
        <ns0:v>1779</ns0:v>
      </ns0:c>
      <ns0:c r="O1116" t="n">
        <ns0:v>142396</ns0:v>
      </ns0:c>
      <ns0:c r="P1116" t="n">
        <ns0:v>16</ns0:v>
      </ns0:c>
      <ns0:c r="Q1116">
        <ns0:f>IF(AND(L1116=1,O1116*Calculations!$B$2&lt;=Calculations!$B$10*Calculations!$B$4),1,0)</ns0:f>
        <ns0:v>0</ns0:v>
      </ns0:c>
      <ns0:c r="R1116">
        <ns0:f>IF(AND(L1116=1,O1116*Calculations!$B$2&lt;=Calculations!$B$11*Calculations!$B$4),1,0)</ns0:f>
        <ns0:v>0</ns0:v>
      </ns0:c>
    </ns0:row>
    <ns0:row r="1117">
      <ns0:c r="A1117" t="inlineStr">
        <ns0:is>
          <ns0:t>case_1116</ns0:t>
        </ns0:is>
      </ns0:c>
      <ns0:c r="B1117" t="inlineStr">
        <ns0:is>
          <ns0:t>function_0235</ns0:t>
        </ns0:is>
      </ns0:c>
      <ns0:c r="C1117" t="inlineStr">
        <ns0:is>
          <ns0:t>run_012</ns0:t>
        </ns0:is>
      </ns0:c>
      <ns0:c r="D1117" t="inlineStr">
        <ns0:is>
          <ns0:t>mio</ns0:t>
        </ns0:is>
      </ns0:c>
      <ns0:c r="E1117" t="inlineStr">
        <ns0:is>
          <ns0:t>gemini-2.5-flash-nothinking</ns0:t>
        </ns0:is>
      </ns0:c>
      <ns0:c r="F1117" t="inlineStr">
        <ns0:is>
          <ns0:t>E0432</ns0:t>
        </ns0:is>
      </ns0:c>
      <ns0:c r="G1117" t="n">
        <ns0:v>0</ns0:v>
      </ns0:c>
      <ns0:c r="H1117" t="n">
        <ns0:v>3713</ns0:v>
      </ns0:c>
      <ns0:c r="I1117" t="n">
        <ns0:v>204</ns0:v>
      </ns0:c>
      <ns0:c r="J1117" t="n">
        <ns0:v>3917</ns0:v>
      </ns0:c>
      <ns0:c r="K1117" t="n">
        <ns0:v>3</ns0:v>
      </ns0:c>
      <ns0:c r="L1117" t="n">
        <ns0:v>0</ns0:v>
      </ns0:c>
      <ns0:c r="M1117" t="n">
        <ns0:v>183579</ns0:v>
      </ns0:c>
      <ns0:c r="N1117" t="n">
        <ns0:v>2881</ns0:v>
      </ns0:c>
      <ns0:c r="O1117" t="n">
        <ns0:v>186460</ns0:v>
      </ns0:c>
      <ns0:c r="P1117" t="n">
        <ns0:v>20</ns0:v>
      </ns0:c>
      <ns0:c r="Q1117">
        <ns0:f>IF(AND(L1117=1,O1117*Calculations!$B$2&lt;=Calculations!$B$10*Calculations!$B$4),1,0)</ns0:f>
        <ns0:v>0</ns0:v>
      </ns0:c>
      <ns0:c r="R1117">
        <ns0:f>IF(AND(L1117=1,O1117*Calculations!$B$2&lt;=Calculations!$B$11*Calculations!$B$4),1,0)</ns0:f>
        <ns0:v>0</ns0:v>
      </ns0:c>
    </ns0:row>
    <ns0:row r="1118">
      <ns0:c r="A1118" t="inlineStr">
        <ns0:is>
          <ns0:t>case_1117</ns0:t>
        </ns0:is>
      </ns0:c>
      <ns0:c r="B1118" t="inlineStr">
        <ns0:is>
          <ns0:t>function_0236</ns0:t>
        </ns0:is>
      </ns0:c>
      <ns0:c r="C1118" t="inlineStr">
        <ns0:is>
          <ns0:t>run_012</ns0:t>
        </ns0:is>
      </ns0:c>
      <ns0:c r="D1118" t="inlineStr">
        <ns0:is>
          <ns0:t>mio</ns0:t>
        </ns0:is>
      </ns0:c>
      <ns0:c r="E1118" t="inlineStr">
        <ns0:is>
          <ns0:t>gemini-2.5-flash-nothinking</ns0:t>
        </ns0:is>
      </ns0:c>
      <ns0:c r="F1118" t="inlineStr">
        <ns0:is>
          <ns0:t>E0432,E0599</ns0:t>
        </ns0:is>
      </ns0:c>
      <ns0:c r="G1118" t="n">
        <ns0:v>0</ns0:v>
      </ns0:c>
      <ns0:c r="H1118" t="n">
        <ns0:v>5867</ns0:v>
      </ns0:c>
      <ns0:c r="I1118" t="n">
        <ns0:v>488</ns0:v>
      </ns0:c>
      <ns0:c r="J1118" t="n">
        <ns0:v>6355</ns0:v>
      </ns0:c>
      <ns0:c r="K1118" t="n">
        <ns0:v>3</ns0:v>
      </ns0:c>
      <ns0:c r="L1118" t="n">
        <ns0:v>0</ns0:v>
      </ns0:c>
      <ns0:c r="M1118" t="n">
        <ns0:v>203284</ns0:v>
      </ns0:c>
      <ns0:c r="N1118" t="n">
        <ns0:v>3062</ns0:v>
      </ns0:c>
      <ns0:c r="O1118" t="n">
        <ns0:v>206346</ns0:v>
      </ns0:c>
      <ns0:c r="P1118" t="n">
        <ns0:v>20</ns0:v>
      </ns0:c>
      <ns0:c r="Q1118">
        <ns0:f>IF(AND(L1118=1,O1118*Calculations!$B$2&lt;=Calculations!$B$10*Calculations!$B$4),1,0)</ns0:f>
        <ns0:v>0</ns0:v>
      </ns0:c>
      <ns0:c r="R1118">
        <ns0:f>IF(AND(L1118=1,O1118*Calculations!$B$2&lt;=Calculations!$B$11*Calculations!$B$4),1,0)</ns0:f>
        <ns0:v>0</ns0:v>
      </ns0:c>
    </ns0:row>
    <ns0:row r="1119">
      <ns0:c r="A1119" t="inlineStr">
        <ns0:is>
          <ns0:t>case_1118</ns0:t>
        </ns0:is>
      </ns0:c>
      <ns0:c r="B1119" t="inlineStr">
        <ns0:is>
          <ns0:t>function_0236</ns0:t>
        </ns0:is>
      </ns0:c>
      <ns0:c r="C1119" t="inlineStr">
        <ns0:is>
          <ns0:t>run_012</ns0:t>
        </ns0:is>
      </ns0:c>
      <ns0:c r="D1119" t="inlineStr">
        <ns0:is>
          <ns0:t>mio</ns0:t>
        </ns0:is>
      </ns0:c>
      <ns0:c r="E1119" t="inlineStr">
        <ns0:is>
          <ns0:t>gemini-2.5-flash-nothinking</ns0:t>
        </ns0:is>
      </ns0:c>
      <ns0:c r="F1119" t="inlineStr">
        <ns0:is>
          <ns0:t>E0277,E0432</ns0:t>
        </ns0:is>
      </ns0:c>
      <ns0:c r="G1119" t="n">
        <ns0:v>0</ns0:v>
      </ns0:c>
      <ns0:c r="H1119" t="n">
        <ns0:v>4629</ns0:v>
      </ns0:c>
      <ns0:c r="I1119" t="n">
        <ns0:v>322</ns0:v>
      </ns0:c>
      <ns0:c r="J1119" t="n">
        <ns0:v>4951</ns0:v>
      </ns0:c>
      <ns0:c r="K1119" t="n">
        <ns0:v>3</ns0:v>
      </ns0:c>
      <ns0:c r="L1119" t="n">
        <ns0:v>0</ns0:v>
      </ns0:c>
      <ns0:c r="M1119" t="n">
        <ns0:v>194987</ns0:v>
      </ns0:c>
      <ns0:c r="N1119" t="n">
        <ns0:v>1670</ns0:v>
      </ns0:c>
      <ns0:c r="O1119" t="n">
        <ns0:v>196657</ns0:v>
      </ns0:c>
      <ns0:c r="P1119" t="n">
        <ns0:v>20</ns0:v>
      </ns0:c>
      <ns0:c r="Q1119">
        <ns0:f>IF(AND(L1119=1,O1119*Calculations!$B$2&lt;=Calculations!$B$10*Calculations!$B$4),1,0)</ns0:f>
        <ns0:v>0</ns0:v>
      </ns0:c>
      <ns0:c r="R1119">
        <ns0:f>IF(AND(L1119=1,O1119*Calculations!$B$2&lt;=Calculations!$B$11*Calculations!$B$4),1,0)</ns0:f>
        <ns0:v>0</ns0:v>
      </ns0:c>
    </ns0:row>
    <ns0:row r="1120">
      <ns0:c r="A1120" t="inlineStr">
        <ns0:is>
          <ns0:t>case_1119</ns0:t>
        </ns0:is>
      </ns0:c>
      <ns0:c r="B1120" t="inlineStr">
        <ns0:is>
          <ns0:t>function_0237</ns0:t>
        </ns0:is>
      </ns0:c>
      <ns0:c r="C1120" t="inlineStr">
        <ns0:is>
          <ns0:t>run_012</ns0:t>
        </ns0:is>
      </ns0:c>
      <ns0:c r="D1120" t="inlineStr">
        <ns0:is>
          <ns0:t>mio</ns0:t>
        </ns0:is>
      </ns0:c>
      <ns0:c r="E1120" t="inlineStr">
        <ns0:is>
          <ns0:t>gemini-2.5-flash-nothinking</ns0:t>
        </ns0:is>
      </ns0:c>
      <ns0:c r="F1120" t="inlineStr">
        <ns0:is>
          <ns0:t>E0308</ns0:t>
        </ns0:is>
      </ns0:c>
      <ns0:c r="G1120" t="n">
        <ns0:v>0</ns0:v>
      </ns0:c>
      <ns0:c r="H1120" t="n">
        <ns0:v>4424</ns0:v>
      </ns0:c>
      <ns0:c r="I1120" t="n">
        <ns0:v>447</ns0:v>
      </ns0:c>
      <ns0:c r="J1120" t="n">
        <ns0:v>4871</ns0:v>
      </ns0:c>
      <ns0:c r="K1120" t="n">
        <ns0:v>3</ns0:v>
      </ns0:c>
      <ns0:c r="L1120" t="n">
        <ns0:v>0</ns0:v>
      </ns0:c>
      <ns0:c r="M1120" t="n">
        <ns0:v>226756</ns0:v>
      </ns0:c>
      <ns0:c r="N1120" t="n">
        <ns0:v>3348</ns0:v>
      </ns0:c>
      <ns0:c r="O1120" t="n">
        <ns0:v>230104</ns0:v>
      </ns0:c>
      <ns0:c r="P1120" t="n">
        <ns0:v>21</ns0:v>
      </ns0:c>
      <ns0:c r="Q1120">
        <ns0:f>IF(AND(L1120=1,O1120*Calculations!$B$2&lt;=Calculations!$B$10*Calculations!$B$4),1,0)</ns0:f>
        <ns0:v>0</ns0:v>
      </ns0:c>
      <ns0:c r="R1120">
        <ns0:f>IF(AND(L1120=1,O1120*Calculations!$B$2&lt;=Calculations!$B$11*Calculations!$B$4),1,0)</ns0:f>
        <ns0:v>0</ns0:v>
      </ns0:c>
    </ns0:row>
    <ns0:row r="1121">
      <ns0:c r="A1121" t="inlineStr">
        <ns0:is>
          <ns0:t>case_1120</ns0:t>
        </ns0:is>
      </ns0:c>
      <ns0:c r="B1121" t="inlineStr">
        <ns0:is>
          <ns0:t>function_0237</ns0:t>
        </ns0:is>
      </ns0:c>
      <ns0:c r="C1121" t="inlineStr">
        <ns0:is>
          <ns0:t>run_012</ns0:t>
        </ns0:is>
      </ns0:c>
      <ns0:c r="D1121" t="inlineStr">
        <ns0:is>
          <ns0:t>mio</ns0:t>
        </ns0:is>
      </ns0:c>
      <ns0:c r="E1121" t="inlineStr">
        <ns0:is>
          <ns0:t>gemini-2.5-flash-nothinking</ns0:t>
        </ns0:is>
      </ns0:c>
      <ns0:c r="F1121" t="inlineStr">
        <ns0:is>
          <ns0:t>E0308,E0599</ns0:t>
        </ns0:is>
      </ns0:c>
      <ns0:c r="G1121" t="n">
        <ns0:v>0</ns0:v>
      </ns0:c>
      <ns0:c r="H1121" t="n">
        <ns0:v>5066</ns0:v>
      </ns0:c>
      <ns0:c r="I1121" t="n">
        <ns0:v>722</ns0:v>
      </ns0:c>
      <ns0:c r="J1121" t="n">
        <ns0:v>5788</ns0:v>
      </ns0:c>
      <ns0:c r="K1121" t="n">
        <ns0:v>3</ns0:v>
      </ns0:c>
      <ns0:c r="L1121" t="n">
        <ns0:v>0</ns0:v>
      </ns0:c>
      <ns0:c r="M1121" t="n">
        <ns0:v>197933</ns0:v>
      </ns0:c>
      <ns0:c r="N1121" t="n">
        <ns0:v>2877</ns0:v>
      </ns0:c>
      <ns0:c r="O1121" t="n">
        <ns0:v>200810</ns0:v>
      </ns0:c>
      <ns0:c r="P1121" t="n">
        <ns0:v>20</ns0:v>
      </ns0:c>
      <ns0:c r="Q1121">
        <ns0:f>IF(AND(L1121=1,O1121*Calculations!$B$2&lt;=Calculations!$B$10*Calculations!$B$4),1,0)</ns0:f>
        <ns0:v>0</ns0:v>
      </ns0:c>
      <ns0:c r="R1121">
        <ns0:f>IF(AND(L1121=1,O1121*Calculations!$B$2&lt;=Calculations!$B$11*Calculations!$B$4),1,0)</ns0:f>
        <ns0:v>0</ns0:v>
      </ns0:c>
    </ns0:row>
    <ns0:row r="1122">
      <ns0:c r="A1122" t="inlineStr">
        <ns0:is>
          <ns0:t>case_1121</ns0:t>
        </ns0:is>
      </ns0:c>
      <ns0:c r="B1122" t="inlineStr">
        <ns0:is>
          <ns0:t>function_0238</ns0:t>
        </ns0:is>
      </ns0:c>
      <ns0:c r="C1122" t="inlineStr">
        <ns0:is>
          <ns0:t>run_012</ns0:t>
        </ns0:is>
      </ns0:c>
      <ns0:c r="D1122" t="inlineStr">
        <ns0:is>
          <ns0:t>mio</ns0:t>
        </ns0:is>
      </ns0:c>
      <ns0:c r="E1122" t="inlineStr">
        <ns0:is>
          <ns0:t>gemini-2.5-flash-nothinking</ns0:t>
        </ns0:is>
      </ns0:c>
      <ns0:c r="F1122" t="inlineStr">
        <ns0:is>
          <ns0:t>E0599</ns0:t>
        </ns0:is>
      </ns0:c>
      <ns0:c r="G1122" t="n">
        <ns0:v>0</ns0:v>
      </ns0:c>
      <ns0:c r="H1122" t="n">
        <ns0:v>8395</ns0:v>
      </ns0:c>
      <ns0:c r="I1122" t="n">
        <ns0:v>426</ns0:v>
      </ns0:c>
      <ns0:c r="J1122" t="n">
        <ns0:v>8821</ns0:v>
      </ns0:c>
      <ns0:c r="K1122" t="n">
        <ns0:v>3</ns0:v>
      </ns0:c>
      <ns0:c r="L1122" t="n">
        <ns0:v>0</ns0:v>
      </ns0:c>
      <ns0:c r="M1122" t="n">
        <ns0:v>410478</ns0:v>
      </ns0:c>
      <ns0:c r="N1122" t="n">
        <ns0:v>4258</ns0:v>
      </ns0:c>
      <ns0:c r="O1122" t="n">
        <ns0:v>414736</ns0:v>
      </ns0:c>
      <ns0:c r="P1122" t="n">
        <ns0:v>20</ns0:v>
      </ns0:c>
      <ns0:c r="Q1122">
        <ns0:f>IF(AND(L1122=1,O1122*Calculations!$B$2&lt;=Calculations!$B$10*Calculations!$B$4),1,0)</ns0:f>
        <ns0:v>0</ns0:v>
      </ns0:c>
      <ns0:c r="R1122">
        <ns0:f>IF(AND(L1122=1,O1122*Calculations!$B$2&lt;=Calculations!$B$11*Calculations!$B$4),1,0)</ns0:f>
        <ns0:v>0</ns0:v>
      </ns0:c>
    </ns0:row>
    <ns0:row r="1123">
      <ns0:c r="A1123" t="inlineStr">
        <ns0:is>
          <ns0:t>case_1122</ns0:t>
        </ns0:is>
      </ns0:c>
      <ns0:c r="B1123" t="inlineStr">
        <ns0:is>
          <ns0:t>function_0238</ns0:t>
        </ns0:is>
      </ns0:c>
      <ns0:c r="C1123" t="inlineStr">
        <ns0:is>
          <ns0:t>run_012</ns0:t>
        </ns0:is>
      </ns0:c>
      <ns0:c r="D1123" t="inlineStr">
        <ns0:is>
          <ns0:t>mio</ns0:t>
        </ns0:is>
      </ns0:c>
      <ns0:c r="E1123" t="inlineStr">
        <ns0:is>
          <ns0:t>gemini-2.5-flash-nothinking</ns0:t>
        </ns0:is>
      </ns0:c>
      <ns0:c r="F1123" t="inlineStr">
        <ns0:is>
          <ns0:t>E0433,E0599</ns0:t>
        </ns0:is>
      </ns0:c>
      <ns0:c r="G1123" t="n">
        <ns0:v>0</ns0:v>
      </ns0:c>
      <ns0:c r="H1123" t="n">
        <ns0:v>4325</ns0:v>
      </ns0:c>
      <ns0:c r="I1123" t="n">
        <ns0:v>504</ns0:v>
      </ns0:c>
      <ns0:c r="J1123" t="n">
        <ns0:v>4829</ns0:v>
      </ns0:c>
      <ns0:c r="K1123" t="n">
        <ns0:v>3</ns0:v>
      </ns0:c>
      <ns0:c r="L1123" t="n">
        <ns0:v>0</ns0:v>
      </ns0:c>
      <ns0:c r="M1123" t="n">
        <ns0:v>363550</ns0:v>
      </ns0:c>
      <ns0:c r="N1123" t="n">
        <ns0:v>3503</ns0:v>
      </ns0:c>
      <ns0:c r="O1123" t="n">
        <ns0:v>367053</ns0:v>
      </ns0:c>
      <ns0:c r="P1123" t="n">
        <ns0:v>20</ns0:v>
      </ns0:c>
      <ns0:c r="Q1123">
        <ns0:f>IF(AND(L1123=1,O1123*Calculations!$B$2&lt;=Calculations!$B$10*Calculations!$B$4),1,0)</ns0:f>
        <ns0:v>0</ns0:v>
      </ns0:c>
      <ns0:c r="R1123">
        <ns0:f>IF(AND(L1123=1,O1123*Calculations!$B$2&lt;=Calculations!$B$11*Calculations!$B$4),1,0)</ns0:f>
        <ns0:v>0</ns0:v>
      </ns0:c>
    </ns0:row>
    <ns0:row r="1124">
      <ns0:c r="A1124" t="inlineStr">
        <ns0:is>
          <ns0:t>case_1123</ns0:t>
        </ns0:is>
      </ns0:c>
      <ns0:c r="B1124" t="inlineStr">
        <ns0:is>
          <ns0:t>function_0239</ns0:t>
        </ns0:is>
      </ns0:c>
      <ns0:c r="C1124" t="inlineStr">
        <ns0:is>
          <ns0:t>run_012</ns0:t>
        </ns0:is>
      </ns0:c>
      <ns0:c r="D1124" t="inlineStr">
        <ns0:is>
          <ns0:t>mio</ns0:t>
        </ns0:is>
      </ns0:c>
      <ns0:c r="E1124" t="inlineStr">
        <ns0:is>
          <ns0:t>gemini-2.5-flash-nothinking</ns0:t>
        </ns0:is>
      </ns0:c>
      <ns0:c r="F1124" t="inlineStr">
        <ns0:is>
          <ns0:t>E0599</ns0:t>
        </ns0:is>
      </ns0:c>
      <ns0:c r="G1124" t="n">
        <ns0:v>0</ns0:v>
      </ns0:c>
      <ns0:c r="H1124" t="n">
        <ns0:v>3406</ns0:v>
      </ns0:c>
      <ns0:c r="I1124" t="n">
        <ns0:v>165</ns0:v>
      </ns0:c>
      <ns0:c r="J1124" t="n">
        <ns0:v>3571</ns0:v>
      </ns0:c>
      <ns0:c r="K1124" t="n">
        <ns0:v>3</ns0:v>
      </ns0:c>
      <ns0:c r="L1124" t="n">
        <ns0:v>1</ns0:v>
      </ns0:c>
      <ns0:c r="M1124" t="n">
        <ns0:v>47663</ns0:v>
      </ns0:c>
      <ns0:c r="N1124" t="n">
        <ns0:v>714</ns0:v>
      </ns0:c>
      <ns0:c r="O1124" t="n">
        <ns0:v>48377</ns0:v>
      </ns0:c>
      <ns0:c r="P1124" t="n">
        <ns0:v>6</ns0:v>
      </ns0:c>
      <ns0:c r="Q1124">
        <ns0:f>IF(AND(L1124=1,O1124*Calculations!$B$2&lt;=Calculations!$B$10*Calculations!$B$4),1,0)</ns0:f>
        <ns0:v>0</ns0:v>
      </ns0:c>
      <ns0:c r="R1124">
        <ns0:f>IF(AND(L1124=1,O1124*Calculations!$B$2&lt;=Calculations!$B$11*Calculations!$B$4),1,0)</ns0:f>
        <ns0:v>0</ns0:v>
      </ns0:c>
    </ns0:row>
    <ns0:row r="1125">
      <ns0:c r="A1125" t="inlineStr">
        <ns0:is>
          <ns0:t>case_1124</ns0:t>
        </ns0:is>
      </ns0:c>
      <ns0:c r="B1125" t="inlineStr">
        <ns0:is>
          <ns0:t>function_0239</ns0:t>
        </ns0:is>
      </ns0:c>
      <ns0:c r="C1125" t="inlineStr">
        <ns0:is>
          <ns0:t>run_012</ns0:t>
        </ns0:is>
      </ns0:c>
      <ns0:c r="D1125" t="inlineStr">
        <ns0:is>
          <ns0:t>mio</ns0:t>
        </ns0:is>
      </ns0:c>
      <ns0:c r="E1125" t="inlineStr">
        <ns0:is>
          <ns0:t>gemini-2.5-flash-nothinking</ns0:t>
        </ns0:is>
      </ns0:c>
      <ns0:c r="F1125" t="inlineStr">
        <ns0:is>
          <ns0:t>E0061</ns0:t>
        </ns0:is>
      </ns0:c>
      <ns0:c r="G1125" t="n">
        <ns0:v>0</ns0:v>
      </ns0:c>
      <ns0:c r="H1125" t="n">
        <ns0:v>2597</ns0:v>
      </ns0:c>
      <ns0:c r="I1125" t="n">
        <ns0:v>222</ns0:v>
      </ns0:c>
      <ns0:c r="J1125" t="n">
        <ns0:v>2819</ns0:v>
      </ns0:c>
      <ns0:c r="K1125" t="n">
        <ns0:v>3</ns0:v>
      </ns0:c>
      <ns0:c r="L1125" t="n">
        <ns0:v>1</ns0:v>
      </ns0:c>
      <ns0:c r="M1125" t="n">
        <ns0:v>62479</ns0:v>
      </ns0:c>
      <ns0:c r="N1125" t="n">
        <ns0:v>675</ns0:v>
      </ns0:c>
      <ns0:c r="O1125" t="n">
        <ns0:v>63154</ns0:v>
      </ns0:c>
      <ns0:c r="P1125" t="n">
        <ns0:v>8</ns0:v>
      </ns0:c>
      <ns0:c r="Q1125">
        <ns0:f>IF(AND(L1125=1,O1125*Calculations!$B$2&lt;=Calculations!$B$10*Calculations!$B$4),1,0)</ns0:f>
        <ns0:v>0</ns0:v>
      </ns0:c>
      <ns0:c r="R1125">
        <ns0:f>IF(AND(L1125=1,O1125*Calculations!$B$2&lt;=Calculations!$B$11*Calculations!$B$4),1,0)</ns0:f>
        <ns0:v>0</ns0:v>
      </ns0:c>
    </ns0:row>
    <ns0:row r="1126">
      <ns0:c r="A1126" t="inlineStr">
        <ns0:is>
          <ns0:t>case_1125</ns0:t>
        </ns0:is>
      </ns0:c>
      <ns0:c r="B1126" t="inlineStr">
        <ns0:is>
          <ns0:t>function_0240</ns0:t>
        </ns0:is>
      </ns0:c>
      <ns0:c r="C1126" t="inlineStr">
        <ns0:is>
          <ns0:t>run_012</ns0:t>
        </ns0:is>
      </ns0:c>
      <ns0:c r="D1126" t="inlineStr">
        <ns0:is>
          <ns0:t>mio</ns0:t>
        </ns0:is>
      </ns0:c>
      <ns0:c r="E1126" t="inlineStr">
        <ns0:is>
          <ns0:t>gemini-2.5-flash-nothinking</ns0:t>
        </ns0:is>
      </ns0:c>
      <ns0:c r="F1126" t="inlineStr">
        <ns0:is>
          <ns0:t>E0433,E0599</ns0:t>
        </ns0:is>
      </ns0:c>
      <ns0:c r="G1126" t="n">
        <ns0:v>0</ns0:v>
      </ns0:c>
      <ns0:c r="H1126" t="n">
        <ns0:v>2579</ns0:v>
      </ns0:c>
      <ns0:c r="I1126" t="n">
        <ns0:v>237</ns0:v>
      </ns0:c>
      <ns0:c r="J1126" t="n">
        <ns0:v>2816</ns0:v>
      </ns0:c>
      <ns0:c r="K1126" t="n">
        <ns0:v>3</ns0:v>
      </ns0:c>
      <ns0:c r="L1126" t="n">
        <ns0:v>1</ns0:v>
      </ns0:c>
      <ns0:c r="M1126" t="n">
        <ns0:v>63660</ns0:v>
      </ns0:c>
      <ns0:c r="N1126" t="n">
        <ns0:v>2726</ns0:v>
      </ns0:c>
      <ns0:c r="O1126" t="n">
        <ns0:v>66386</ns0:v>
      </ns0:c>
      <ns0:c r="P1126" t="n">
        <ns0:v>6</ns0:v>
      </ns0:c>
      <ns0:c r="Q1126">
        <ns0:f>IF(AND(L1126=1,O1126*Calculations!$B$2&lt;=Calculations!$B$10*Calculations!$B$4),1,0)</ns0:f>
        <ns0:v>0</ns0:v>
      </ns0:c>
      <ns0:c r="R1126">
        <ns0:f>IF(AND(L1126=1,O1126*Calculations!$B$2&lt;=Calculations!$B$11*Calculations!$B$4),1,0)</ns0:f>
        <ns0:v>0</ns0:v>
      </ns0:c>
    </ns0:row>
    <ns0:row r="1127">
      <ns0:c r="A1127" t="inlineStr">
        <ns0:is>
          <ns0:t>case_1126</ns0:t>
        </ns0:is>
      </ns0:c>
      <ns0:c r="B1127" t="inlineStr">
        <ns0:is>
          <ns0:t>function_0240</ns0:t>
        </ns0:is>
      </ns0:c>
      <ns0:c r="C1127" t="inlineStr">
        <ns0:is>
          <ns0:t>run_012</ns0:t>
        </ns0:is>
      </ns0:c>
      <ns0:c r="D1127" t="inlineStr">
        <ns0:is>
          <ns0:t>mio</ns0:t>
        </ns0:is>
      </ns0:c>
      <ns0:c r="E1127" t="inlineStr">
        <ns0:is>
          <ns0:t>gemini-2.5-flash-nothinking</ns0:t>
        </ns0:is>
      </ns0:c>
      <ns0:c r="F1127" t="inlineStr">
        <ns0:is>
          <ns0:t>E0599</ns0:t>
        </ns0:is>
      </ns0:c>
      <ns0:c r="G1127" t="n">
        <ns0:v>0</ns0:v>
      </ns0:c>
      <ns0:c r="H1127" t="n">
        <ns0:v>2343</ns0:v>
      </ns0:c>
      <ns0:c r="I1127" t="n">
        <ns0:v>233</ns0:v>
      </ns0:c>
      <ns0:c r="J1127" t="n">
        <ns0:v>2576</ns0:v>
      </ns0:c>
      <ns0:c r="K1127" t="n">
        <ns0:v>3</ns0:v>
      </ns0:c>
      <ns0:c r="L1127" t="n">
        <ns0:v>0</ns0:v>
      </ns0:c>
      <ns0:c r="M1127" t="n">
        <ns0:v>278959</ns0:v>
      </ns0:c>
      <ns0:c r="N1127" t="n">
        <ns0:v>5551</ns0:v>
      </ns0:c>
      <ns0:c r="O1127" t="n">
        <ns0:v>284510</ns0:v>
      </ns0:c>
      <ns0:c r="P1127" t="n">
        <ns0:v>21</ns0:v>
      </ns0:c>
      <ns0:c r="Q1127">
        <ns0:f>IF(AND(L1127=1,O1127*Calculations!$B$2&lt;=Calculations!$B$10*Calculations!$B$4),1,0)</ns0:f>
        <ns0:v>0</ns0:v>
      </ns0:c>
      <ns0:c r="R1127">
        <ns0:f>IF(AND(L1127=1,O1127*Calculations!$B$2&lt;=Calculations!$B$11*Calculations!$B$4),1,0)</ns0:f>
        <ns0:v>0</ns0:v>
      </ns0:c>
    </ns0:row>
    <ns0:row r="1128">
      <ns0:c r="A1128" t="inlineStr">
        <ns0:is>
          <ns0:t>case_1127</ns0:t>
        </ns0:is>
      </ns0:c>
      <ns0:c r="B1128" t="inlineStr">
        <ns0:is>
          <ns0:t>function_0240</ns0:t>
        </ns0:is>
      </ns0:c>
      <ns0:c r="C1128" t="inlineStr">
        <ns0:is>
          <ns0:t>run_012</ns0:t>
        </ns0:is>
      </ns0:c>
      <ns0:c r="D1128" t="inlineStr">
        <ns0:is>
          <ns0:t>mio</ns0:t>
        </ns0:is>
      </ns0:c>
      <ns0:c r="E1128" t="inlineStr">
        <ns0:is>
          <ns0:t>gemini-2.5-flash-nothinking</ns0:t>
        </ns0:is>
      </ns0:c>
      <ns0:c r="F1128" t="inlineStr">
        <ns0:is>
          <ns0:t>E0433,E0599</ns0:t>
        </ns0:is>
      </ns0:c>
      <ns0:c r="G1128" t="n">
        <ns0:v>0</ns0:v>
      </ns0:c>
      <ns0:c r="H1128" t="n">
        <ns0:v>3417</ns0:v>
      </ns0:c>
      <ns0:c r="I1128" t="n">
        <ns0:v>614</ns0:v>
      </ns0:c>
      <ns0:c r="J1128" t="n">
        <ns0:v>4031</ns0:v>
      </ns0:c>
      <ns0:c r="K1128" t="n">
        <ns0:v>3</ns0:v>
      </ns0:c>
      <ns0:c r="L1128" t="n">
        <ns0:v>0</ns0:v>
      </ns0:c>
      <ns0:c r="M1128" t="n">
        <ns0:v>189516</ns0:v>
      </ns0:c>
      <ns0:c r="N1128" t="n">
        <ns0:v>1632</ns0:v>
      </ns0:c>
      <ns0:c r="O1128" t="n">
        <ns0:v>191148</ns0:v>
      </ns0:c>
      <ns0:c r="P1128" t="n">
        <ns0:v>20</ns0:v>
      </ns0:c>
      <ns0:c r="Q1128">
        <ns0:f>IF(AND(L1128=1,O1128*Calculations!$B$2&lt;=Calculations!$B$10*Calculations!$B$4),1,0)</ns0:f>
        <ns0:v>0</ns0:v>
      </ns0:c>
      <ns0:c r="R1128">
        <ns0:f>IF(AND(L1128=1,O1128*Calculations!$B$2&lt;=Calculations!$B$11*Calculations!$B$4),1,0)</ns0:f>
        <ns0:v>0</ns0:v>
      </ns0:c>
    </ns0:row>
    <ns0:row r="1129">
      <ns0:c r="A1129" t="inlineStr">
        <ns0:is>
          <ns0:t>case_1128</ns0:t>
        </ns0:is>
      </ns0:c>
      <ns0:c r="B1129" t="inlineStr">
        <ns0:is>
          <ns0:t>function_0241</ns0:t>
        </ns0:is>
      </ns0:c>
      <ns0:c r="C1129" t="inlineStr">
        <ns0:is>
          <ns0:t>run_012</ns0:t>
        </ns0:is>
      </ns0:c>
      <ns0:c r="D1129" t="inlineStr">
        <ns0:is>
          <ns0:t>mio</ns0:t>
        </ns0:is>
      </ns0:c>
      <ns0:c r="E1129" t="inlineStr">
        <ns0:is>
          <ns0:t>gemini-2.5-flash-nothinking</ns0:t>
        </ns0:is>
      </ns0:c>
      <ns0:c r="F1129" t="inlineStr">
        <ns0:is>
          <ns0:t>E0432,E0433,E0599</ns0:t>
        </ns0:is>
      </ns0:c>
      <ns0:c r="G1129" t="n">
        <ns0:v>0</ns0:v>
      </ns0:c>
      <ns0:c r="H1129" t="n">
        <ns0:v>10017</ns0:v>
      </ns0:c>
      <ns0:c r="I1129" t="n">
        <ns0:v>4023</ns0:v>
      </ns0:c>
      <ns0:c r="J1129" t="n">
        <ns0:v>14040</ns0:v>
      </ns0:c>
      <ns0:c r="K1129" t="n">
        <ns0:v>3</ns0:v>
      </ns0:c>
      <ns0:c r="L1129" t="n">
        <ns0:v>0</ns0:v>
      </ns0:c>
      <ns0:c r="M1129" t="n">
        <ns0:v>247782</ns0:v>
      </ns0:c>
      <ns0:c r="N1129" t="n">
        <ns0:v>3375</ns0:v>
      </ns0:c>
      <ns0:c r="O1129" t="n">
        <ns0:v>251157</ns0:v>
      </ns0:c>
      <ns0:c r="P1129" t="n">
        <ns0:v>20</ns0:v>
      </ns0:c>
      <ns0:c r="Q1129">
        <ns0:f>IF(AND(L1129=1,O1129*Calculations!$B$2&lt;=Calculations!$B$10*Calculations!$B$4),1,0)</ns0:f>
        <ns0:v>0</ns0:v>
      </ns0:c>
      <ns0:c r="R1129">
        <ns0:f>IF(AND(L1129=1,O1129*Calculations!$B$2&lt;=Calculations!$B$11*Calculations!$B$4),1,0)</ns0:f>
        <ns0:v>0</ns0:v>
      </ns0:c>
    </ns0:row>
    <ns0:row r="1130">
      <ns0:c r="A1130" t="inlineStr">
        <ns0:is>
          <ns0:t>case_1129</ns0:t>
        </ns0:is>
      </ns0:c>
      <ns0:c r="B1130" t="inlineStr">
        <ns0:is>
          <ns0:t>function_0241</ns0:t>
        </ns0:is>
      </ns0:c>
      <ns0:c r="C1130" t="inlineStr">
        <ns0:is>
          <ns0:t>run_012</ns0:t>
        </ns0:is>
      </ns0:c>
      <ns0:c r="D1130" t="inlineStr">
        <ns0:is>
          <ns0:t>mio</ns0:t>
        </ns0:is>
      </ns0:c>
      <ns0:c r="E1130" t="inlineStr">
        <ns0:is>
          <ns0:t>gemini-2.5-flash-nothinking</ns0:t>
        </ns0:is>
      </ns0:c>
      <ns0:c r="F1130" t="inlineStr">
        <ns0:is>
          <ns0:t>E0432,E0599</ns0:t>
        </ns0:is>
      </ns0:c>
      <ns0:c r="G1130" t="n">
        <ns0:v>0</ns0:v>
      </ns0:c>
      <ns0:c r="H1130" t="n">
        <ns0:v>6991</ns0:v>
      </ns0:c>
      <ns0:c r="I1130" t="n">
        <ns0:v>161</ns0:v>
      </ns0:c>
      <ns0:c r="J1130" t="n">
        <ns0:v>7152</ns0:v>
      </ns0:c>
      <ns0:c r="K1130" t="n">
        <ns0:v>3</ns0:v>
      </ns0:c>
      <ns0:c r="L1130" t="n">
        <ns0:v>0</ns0:v>
      </ns0:c>
      <ns0:c r="M1130" t="n">
        <ns0:v>178944</ns0:v>
      </ns0:c>
      <ns0:c r="N1130" t="n">
        <ns0:v>2548</ns0:v>
      </ns0:c>
      <ns0:c r="O1130" t="n">
        <ns0:v>181492</ns0:v>
      </ns0:c>
      <ns0:c r="P1130" t="n">
        <ns0:v>20</ns0:v>
      </ns0:c>
      <ns0:c r="Q1130">
        <ns0:f>IF(AND(L1130=1,O1130*Calculations!$B$2&lt;=Calculations!$B$10*Calculations!$B$4),1,0)</ns0:f>
        <ns0:v>0</ns0:v>
      </ns0:c>
      <ns0:c r="R1130">
        <ns0:f>IF(AND(L1130=1,O1130*Calculations!$B$2&lt;=Calculations!$B$11*Calculations!$B$4),1,0)</ns0:f>
        <ns0:v>0</ns0:v>
      </ns0:c>
    </ns0:row>
    <ns0:row r="1131">
      <ns0:c r="A1131" t="inlineStr">
        <ns0:is>
          <ns0:t>case_1130</ns0:t>
        </ns0:is>
      </ns0:c>
      <ns0:c r="B1131" t="inlineStr">
        <ns0:is>
          <ns0:t>function_0241</ns0:t>
        </ns0:is>
      </ns0:c>
      <ns0:c r="C1131" t="inlineStr">
        <ns0:is>
          <ns0:t>run_012</ns0:t>
        </ns0:is>
      </ns0:c>
      <ns0:c r="D1131" t="inlineStr">
        <ns0:is>
          <ns0:t>mio</ns0:t>
        </ns0:is>
      </ns0:c>
      <ns0:c r="E1131" t="inlineStr">
        <ns0:is>
          <ns0:t>gemini-2.5-flash-nothinking</ns0:t>
        </ns0:is>
      </ns0:c>
      <ns0:c r="F1131" t="inlineStr">
        <ns0:is>
          <ns0:t>E0433,E0599</ns0:t>
        </ns0:is>
      </ns0:c>
      <ns0:c r="G1131" t="n">
        <ns0:v>0</ns0:v>
      </ns0:c>
      <ns0:c r="H1131" t="n">
        <ns0:v>5140</ns0:v>
      </ns0:c>
      <ns0:c r="I1131" t="n">
        <ns0:v>249</ns0:v>
      </ns0:c>
      <ns0:c r="J1131" t="n">
        <ns0:v>5389</ns0:v>
      </ns0:c>
      <ns0:c r="K1131" t="n">
        <ns0:v>3</ns0:v>
      </ns0:c>
      <ns0:c r="L1131" t="n">
        <ns0:v>0</ns0:v>
      </ns0:c>
      <ns0:c r="M1131" t="n">
        <ns0:v>257475</ns0:v>
      </ns0:c>
      <ns0:c r="N1131" t="n">
        <ns0:v>4495</ns0:v>
      </ns0:c>
      <ns0:c r="O1131" t="n">
        <ns0:v>261970</ns0:v>
      </ns0:c>
      <ns0:c r="P1131" t="n">
        <ns0:v>20</ns0:v>
      </ns0:c>
      <ns0:c r="Q1131">
        <ns0:f>IF(AND(L1131=1,O1131*Calculations!$B$2&lt;=Calculations!$B$10*Calculations!$B$4),1,0)</ns0:f>
        <ns0:v>0</ns0:v>
      </ns0:c>
      <ns0:c r="R1131">
        <ns0:f>IF(AND(L1131=1,O1131*Calculations!$B$2&lt;=Calculations!$B$11*Calculations!$B$4),1,0)</ns0:f>
        <ns0:v>0</ns0:v>
      </ns0:c>
    </ns0:row>
    <ns0:row r="1132">
      <ns0:c r="A1132" t="inlineStr">
        <ns0:is>
          <ns0:t>case_1131</ns0:t>
        </ns0:is>
      </ns0:c>
      <ns0:c r="B1132" t="inlineStr">
        <ns0:is>
          <ns0:t>function_0241</ns0:t>
        </ns0:is>
      </ns0:c>
      <ns0:c r="C1132" t="inlineStr">
        <ns0:is>
          <ns0:t>run_012</ns0:t>
        </ns0:is>
      </ns0:c>
      <ns0:c r="D1132" t="inlineStr">
        <ns0:is>
          <ns0:t>mio</ns0:t>
        </ns0:is>
      </ns0:c>
      <ns0:c r="E1132" t="inlineStr">
        <ns0:is>
          <ns0:t>gemini-2.5-flash-nothinking</ns0:t>
        </ns0:is>
      </ns0:c>
      <ns0:c r="F1132" t="inlineStr">
        <ns0:is>
          <ns0:t>E0432</ns0:t>
        </ns0:is>
      </ns0:c>
      <ns0:c r="G1132" t="n">
        <ns0:v>0</ns0:v>
      </ns0:c>
      <ns0:c r="H1132" t="n">
        <ns0:v>4185</ns0:v>
      </ns0:c>
      <ns0:c r="I1132" t="n">
        <ns0:v>201</ns0:v>
      </ns0:c>
      <ns0:c r="J1132" t="n">
        <ns0:v>4386</ns0:v>
      </ns0:c>
      <ns0:c r="K1132" t="n">
        <ns0:v>3</ns0:v>
      </ns0:c>
      <ns0:c r="L1132" t="n">
        <ns0:v>0</ns0:v>
      </ns0:c>
      <ns0:c r="M1132" t="n">
        <ns0:v>205509</ns0:v>
      </ns0:c>
      <ns0:c r="N1132" t="n">
        <ns0:v>1834</ns0:v>
      </ns0:c>
      <ns0:c r="O1132" t="n">
        <ns0:v>207343</ns0:v>
      </ns0:c>
      <ns0:c r="P1132" t="n">
        <ns0:v>20</ns0:v>
      </ns0:c>
      <ns0:c r="Q1132">
        <ns0:f>IF(AND(L1132=1,O1132*Calculations!$B$2&lt;=Calculations!$B$10*Calculations!$B$4),1,0)</ns0:f>
        <ns0:v>0</ns0:v>
      </ns0:c>
      <ns0:c r="R1132">
        <ns0:f>IF(AND(L1132=1,O1132*Calculations!$B$2&lt;=Calculations!$B$11*Calculations!$B$4),1,0)</ns0:f>
        <ns0:v>0</ns0:v>
      </ns0:c>
    </ns0:row>
    <ns0:row r="1133">
      <ns0:c r="A1133" t="inlineStr">
        <ns0:is>
          <ns0:t>case_1132</ns0:t>
        </ns0:is>
      </ns0:c>
      <ns0:c r="B1133" t="inlineStr">
        <ns0:is>
          <ns0:t>function_0242</ns0:t>
        </ns0:is>
      </ns0:c>
      <ns0:c r="C1133" t="inlineStr">
        <ns0:is>
          <ns0:t>run_012</ns0:t>
        </ns0:is>
      </ns0:c>
      <ns0:c r="D1133" t="inlineStr">
        <ns0:is>
          <ns0:t>mio</ns0:t>
        </ns0:is>
      </ns0:c>
      <ns0:c r="E1133" t="inlineStr">
        <ns0:is>
          <ns0:t>gemini-2.5-flash-nothinking</ns0:t>
        </ns0:is>
      </ns0:c>
      <ns0:c r="F1133" t="inlineStr">
        <ns0:is>
          <ns0:t>E0433,E0599</ns0:t>
        </ns0:is>
      </ns0:c>
      <ns0:c r="G1133" t="n">
        <ns0:v>0</ns0:v>
      </ns0:c>
      <ns0:c r="H1133" t="n">
        <ns0:v>7060</ns0:v>
      </ns0:c>
      <ns0:c r="I1133" t="n">
        <ns0:v>347</ns0:v>
      </ns0:c>
      <ns0:c r="J1133" t="n">
        <ns0:v>7407</ns0:v>
      </ns0:c>
      <ns0:c r="K1133" t="n">
        <ns0:v>3</ns0:v>
      </ns0:c>
      <ns0:c r="L1133" t="n">
        <ns0:v>0</ns0:v>
      </ns0:c>
      <ns0:c r="M1133" t="n">
        <ns0:v>194907</ns0:v>
      </ns0:c>
      <ns0:c r="N1133" t="n">
        <ns0:v>3827</ns0:v>
      </ns0:c>
      <ns0:c r="O1133" t="n">
        <ns0:v>198734</ns0:v>
      </ns0:c>
      <ns0:c r="P1133" t="n">
        <ns0:v>20</ns0:v>
      </ns0:c>
      <ns0:c r="Q1133">
        <ns0:f>IF(AND(L1133=1,O1133*Calculations!$B$2&lt;=Calculations!$B$10*Calculations!$B$4),1,0)</ns0:f>
        <ns0:v>0</ns0:v>
      </ns0:c>
      <ns0:c r="R1133">
        <ns0:f>IF(AND(L1133=1,O1133*Calculations!$B$2&lt;=Calculations!$B$11*Calculations!$B$4),1,0)</ns0:f>
        <ns0:v>0</ns0:v>
      </ns0:c>
    </ns0:row>
    <ns0:row r="1134">
      <ns0:c r="A1134" t="inlineStr">
        <ns0:is>
          <ns0:t>case_1133</ns0:t>
        </ns0:is>
      </ns0:c>
      <ns0:c r="B1134" t="inlineStr">
        <ns0:is>
          <ns0:t>function_0242</ns0:t>
        </ns0:is>
      </ns0:c>
      <ns0:c r="C1134" t="inlineStr">
        <ns0:is>
          <ns0:t>run_012</ns0:t>
        </ns0:is>
      </ns0:c>
      <ns0:c r="D1134" t="inlineStr">
        <ns0:is>
          <ns0:t>mio</ns0:t>
        </ns0:is>
      </ns0:c>
      <ns0:c r="E1134" t="inlineStr">
        <ns0:is>
          <ns0:t>gemini-2.5-flash-nothinking</ns0:t>
        </ns0:is>
      </ns0:c>
      <ns0:c r="F1134" t="inlineStr">
        <ns0:is>
          <ns0:t>E0432,E0599,E0603</ns0:t>
        </ns0:is>
      </ns0:c>
      <ns0:c r="G1134" t="n">
        <ns0:v>0</ns0:v>
      </ns0:c>
      <ns0:c r="H1134" t="n">
        <ns0:v>12900</ns0:v>
      </ns0:c>
      <ns0:c r="I1134" t="n">
        <ns0:v>1839</ns0:v>
      </ns0:c>
      <ns0:c r="J1134" t="n">
        <ns0:v>14739</ns0:v>
      </ns0:c>
      <ns0:c r="K1134" t="n">
        <ns0:v>6</ns0:v>
      </ns0:c>
      <ns0:c r="L1134" t="n">
        <ns0:v>1</ns0:v>
      </ns0:c>
      <ns0:c r="M1134" t="n">
        <ns0:v>199016</ns0:v>
      </ns0:c>
      <ns0:c r="N1134" t="n">
        <ns0:v>2990</ns0:v>
      </ns0:c>
      <ns0:c r="O1134" t="n">
        <ns0:v>202006</ns0:v>
      </ns0:c>
      <ns0:c r="P1134" t="n">
        <ns0:v>16</ns0:v>
      </ns0:c>
      <ns0:c r="Q1134">
        <ns0:f>IF(AND(L1134=1,O1134*Calculations!$B$2&lt;=Calculations!$B$10*Calculations!$B$4),1,0)</ns0:f>
        <ns0:v>0</ns0:v>
      </ns0:c>
      <ns0:c r="R1134">
        <ns0:f>IF(AND(L1134=1,O1134*Calculations!$B$2&lt;=Calculations!$B$11*Calculations!$B$4),1,0)</ns0:f>
        <ns0:v>0</ns0:v>
      </ns0:c>
    </ns0:row>
    <ns0:row r="1135">
      <ns0:c r="A1135" t="inlineStr">
        <ns0:is>
          <ns0:t>case_1134</ns0:t>
        </ns0:is>
      </ns0:c>
      <ns0:c r="B1135" t="inlineStr">
        <ns0:is>
          <ns0:t>function_0242</ns0:t>
        </ns0:is>
      </ns0:c>
      <ns0:c r="C1135" t="inlineStr">
        <ns0:is>
          <ns0:t>run_012</ns0:t>
        </ns0:is>
      </ns0:c>
      <ns0:c r="D1135" t="inlineStr">
        <ns0:is>
          <ns0:t>mio</ns0:t>
        </ns0:is>
      </ns0:c>
      <ns0:c r="E1135" t="inlineStr">
        <ns0:is>
          <ns0:t>gemini-2.5-flash-nothinking</ns0:t>
        </ns0:is>
      </ns0:c>
      <ns0:c r="F1135" t="inlineStr">
        <ns0:is>
          <ns0:t>E0432,E0433,E0599</ns0:t>
        </ns0:is>
      </ns0:c>
      <ns0:c r="G1135" t="n">
        <ns0:v>0</ns0:v>
      </ns0:c>
      <ns0:c r="H1135" t="n">
        <ns0:v>7045</ns0:v>
      </ns0:c>
      <ns0:c r="I1135" t="n">
        <ns0:v>219</ns0:v>
      </ns0:c>
      <ns0:c r="J1135" t="n">
        <ns0:v>7264</ns0:v>
      </ns0:c>
      <ns0:c r="K1135" t="n">
        <ns0:v>3</ns0:v>
      </ns0:c>
      <ns0:c r="L1135" t="n">
        <ns0:v>0</ns0:v>
      </ns0:c>
      <ns0:c r="M1135" t="n">
        <ns0:v>174587</ns0:v>
      </ns0:c>
      <ns0:c r="N1135" t="n">
        <ns0:v>1811</ns0:v>
      </ns0:c>
      <ns0:c r="O1135" t="n">
        <ns0:v>176398</ns0:v>
      </ns0:c>
      <ns0:c r="P1135" t="n">
        <ns0:v>20</ns0:v>
      </ns0:c>
      <ns0:c r="Q1135">
        <ns0:f>IF(AND(L1135=1,O1135*Calculations!$B$2&lt;=Calculations!$B$10*Calculations!$B$4),1,0)</ns0:f>
        <ns0:v>0</ns0:v>
      </ns0:c>
      <ns0:c r="R1135">
        <ns0:f>IF(AND(L1135=1,O1135*Calculations!$B$2&lt;=Calculations!$B$11*Calculations!$B$4),1,0)</ns0:f>
        <ns0:v>0</ns0:v>
      </ns0:c>
    </ns0:row>
    <ns0:row r="1136">
      <ns0:c r="A1136" t="inlineStr">
        <ns0:is>
          <ns0:t>case_1135</ns0:t>
        </ns0:is>
      </ns0:c>
      <ns0:c r="B1136" t="inlineStr">
        <ns0:is>
          <ns0:t>function_0242</ns0:t>
        </ns0:is>
      </ns0:c>
      <ns0:c r="C1136" t="inlineStr">
        <ns0:is>
          <ns0:t>run_012</ns0:t>
        </ns0:is>
      </ns0:c>
      <ns0:c r="D1136" t="inlineStr">
        <ns0:is>
          <ns0:t>mio</ns0:t>
        </ns0:is>
      </ns0:c>
      <ns0:c r="E1136" t="inlineStr">
        <ns0:is>
          <ns0:t>gemini-2.5-flash-nothinking</ns0:t>
        </ns0:is>
      </ns0:c>
      <ns0:c r="F1136" t="inlineStr">
        <ns0:is>
          <ns0:t>E0432,E0599</ns0:t>
        </ns0:is>
      </ns0:c>
      <ns0:c r="G1136" t="n">
        <ns0:v>0</ns0:v>
      </ns0:c>
      <ns0:c r="H1136" t="n">
        <ns0:v>6974</ns0:v>
      </ns0:c>
      <ns0:c r="I1136" t="n">
        <ns0:v>147</ns0:v>
      </ns0:c>
      <ns0:c r="J1136" t="n">
        <ns0:v>7121</ns0:v>
      </ns0:c>
      <ns0:c r="K1136" t="n">
        <ns0:v>3</ns0:v>
      </ns0:c>
      <ns0:c r="L1136" t="n">
        <ns0:v>0</ns0:v>
      </ns0:c>
      <ns0:c r="M1136" t="n">
        <ns0:v>246138</ns0:v>
      </ns0:c>
      <ns0:c r="N1136" t="n">
        <ns0:v>2587</ns0:v>
      </ns0:c>
      <ns0:c r="O1136" t="n">
        <ns0:v>248725</ns0:v>
      </ns0:c>
      <ns0:c r="P1136" t="n">
        <ns0:v>20</ns0:v>
      </ns0:c>
      <ns0:c r="Q1136">
        <ns0:f>IF(AND(L1136=1,O1136*Calculations!$B$2&lt;=Calculations!$B$10*Calculations!$B$4),1,0)</ns0:f>
        <ns0:v>0</ns0:v>
      </ns0:c>
      <ns0:c r="R1136">
        <ns0:f>IF(AND(L1136=1,O1136*Calculations!$B$2&lt;=Calculations!$B$11*Calculations!$B$4),1,0)</ns0:f>
        <ns0:v>0</ns0:v>
      </ns0:c>
    </ns0:row>
    <ns0:row r="1137">
      <ns0:c r="A1137" t="inlineStr">
        <ns0:is>
          <ns0:t>case_1136</ns0:t>
        </ns0:is>
      </ns0:c>
      <ns0:c r="B1137" t="inlineStr">
        <ns0:is>
          <ns0:t>function_0243</ns0:t>
        </ns0:is>
      </ns0:c>
      <ns0:c r="C1137" t="inlineStr">
        <ns0:is>
          <ns0:t>run_012</ns0:t>
        </ns0:is>
      </ns0:c>
      <ns0:c r="D1137" t="inlineStr">
        <ns0:is>
          <ns0:t>mio</ns0:t>
        </ns0:is>
      </ns0:c>
      <ns0:c r="E1137" t="inlineStr">
        <ns0:is>
          <ns0:t>gemini-2.5-flash-nothinking</ns0:t>
        </ns0:is>
      </ns0:c>
      <ns0:c r="F1137" t="inlineStr">
        <ns0:is>
          <ns0:t>E0433,E0599</ns0:t>
        </ns0:is>
      </ns0:c>
      <ns0:c r="G1137" t="n">
        <ns0:v>0</ns0:v>
      </ns0:c>
      <ns0:c r="H1137" t="n">
        <ns0:v>6949</ns0:v>
      </ns0:c>
      <ns0:c r="I1137" t="n">
        <ns0:v>188</ns0:v>
      </ns0:c>
      <ns0:c r="J1137" t="n">
        <ns0:v>7137</ns0:v>
      </ns0:c>
      <ns0:c r="K1137" t="n">
        <ns0:v>3</ns0:v>
      </ns0:c>
      <ns0:c r="L1137" t="n">
        <ns0:v>0</ns0:v>
      </ns0:c>
      <ns0:c r="M1137" t="n">
        <ns0:v>221475</ns0:v>
      </ns0:c>
      <ns0:c r="N1137" t="n">
        <ns0:v>2934</ns0:v>
      </ns0:c>
      <ns0:c r="O1137" t="n">
        <ns0:v>224409</ns0:v>
      </ns0:c>
      <ns0:c r="P1137" t="n">
        <ns0:v>20</ns0:v>
      </ns0:c>
      <ns0:c r="Q1137">
        <ns0:f>IF(AND(L1137=1,O1137*Calculations!$B$2&lt;=Calculations!$B$10*Calculations!$B$4),1,0)</ns0:f>
        <ns0:v>0</ns0:v>
      </ns0:c>
      <ns0:c r="R1137">
        <ns0:f>IF(AND(L1137=1,O1137*Calculations!$B$2&lt;=Calculations!$B$11*Calculations!$B$4),1,0)</ns0:f>
        <ns0:v>0</ns0:v>
      </ns0:c>
    </ns0:row>
    <ns0:row r="1138">
      <ns0:c r="A1138" t="inlineStr">
        <ns0:is>
          <ns0:t>case_1137</ns0:t>
        </ns0:is>
      </ns0:c>
      <ns0:c r="B1138" t="inlineStr">
        <ns0:is>
          <ns0:t>function_0243</ns0:t>
        </ns0:is>
      </ns0:c>
      <ns0:c r="C1138" t="inlineStr">
        <ns0:is>
          <ns0:t>run_012</ns0:t>
        </ns0:is>
      </ns0:c>
      <ns0:c r="D1138" t="inlineStr">
        <ns0:is>
          <ns0:t>mio</ns0:t>
        </ns0:is>
      </ns0:c>
      <ns0:c r="E1138" t="inlineStr">
        <ns0:is>
          <ns0:t>gemini-2.5-flash-nothinking</ns0:t>
        </ns0:is>
      </ns0:c>
      <ns0:c r="F1138" t="inlineStr">
        <ns0:is>
          <ns0:t>E0432,E0433,E0599</ns0:t>
        </ns0:is>
      </ns0:c>
      <ns0:c r="G1138" t="n">
        <ns0:v>0</ns0:v>
      </ns0:c>
      <ns0:c r="H1138" t="n">
        <ns0:v>7004</ns0:v>
      </ns0:c>
      <ns0:c r="I1138" t="n">
        <ns0:v>161</ns0:v>
      </ns0:c>
      <ns0:c r="J1138" t="n">
        <ns0:v>7165</ns0:v>
      </ns0:c>
      <ns0:c r="K1138" t="n">
        <ns0:v>3</ns0:v>
      </ns0:c>
      <ns0:c r="L1138" t="n">
        <ns0:v>0</ns0:v>
      </ns0:c>
      <ns0:c r="M1138" t="n">
        <ns0:v>228811</ns0:v>
      </ns0:c>
      <ns0:c r="N1138" t="n">
        <ns0:v>3821</ns0:v>
      </ns0:c>
      <ns0:c r="O1138" t="n">
        <ns0:v>232632</ns0:v>
      </ns0:c>
      <ns0:c r="P1138" t="n">
        <ns0:v>20</ns0:v>
      </ns0:c>
      <ns0:c r="Q1138">
        <ns0:f>IF(AND(L1138=1,O1138*Calculations!$B$2&lt;=Calculations!$B$10*Calculations!$B$4),1,0)</ns0:f>
        <ns0:v>0</ns0:v>
      </ns0:c>
      <ns0:c r="R1138">
        <ns0:f>IF(AND(L1138=1,O1138*Calculations!$B$2&lt;=Calculations!$B$11*Calculations!$B$4),1,0)</ns0:f>
        <ns0:v>0</ns0:v>
      </ns0:c>
    </ns0:row>
    <ns0:row r="1139">
      <ns0:c r="A1139" t="inlineStr">
        <ns0:is>
          <ns0:t>case_1138</ns0:t>
        </ns0:is>
      </ns0:c>
      <ns0:c r="B1139" t="inlineStr">
        <ns0:is>
          <ns0:t>function_0243</ns0:t>
        </ns0:is>
      </ns0:c>
      <ns0:c r="C1139" t="inlineStr">
        <ns0:is>
          <ns0:t>run_012</ns0:t>
        </ns0:is>
      </ns0:c>
      <ns0:c r="D1139" t="inlineStr">
        <ns0:is>
          <ns0:t>mio</ns0:t>
        </ns0:is>
      </ns0:c>
      <ns0:c r="E1139" t="inlineStr">
        <ns0:is>
          <ns0:t>gemini-2.5-flash-nothinking</ns0:t>
        </ns0:is>
      </ns0:c>
      <ns0:c r="F1139" t="inlineStr">
        <ns0:is>
          <ns0:t>E0432,E0599,E0603</ns0:t>
        </ns0:is>
      </ns0:c>
      <ns0:c r="G1139" t="n">
        <ns0:v>0</ns0:v>
      </ns0:c>
      <ns0:c r="H1139" t="n">
        <ns0:v>5452</ns0:v>
      </ns0:c>
      <ns0:c r="I1139" t="n">
        <ns0:v>614</ns0:v>
      </ns0:c>
      <ns0:c r="J1139" t="n">
        <ns0:v>6066</ns0:v>
      </ns0:c>
      <ns0:c r="K1139" t="n">
        <ns0:v>3</ns0:v>
      </ns0:c>
      <ns0:c r="L1139" t="n">
        <ns0:v>1</ns0:v>
      </ns0:c>
      <ns0:c r="M1139" t="n">
        <ns0:v>166443</ns0:v>
      </ns0:c>
      <ns0:c r="N1139" t="n">
        <ns0:v>4124</ns0:v>
      </ns0:c>
      <ns0:c r="O1139" t="n">
        <ns0:v>170567</ns0:v>
      </ns0:c>
      <ns0:c r="P1139" t="n">
        <ns0:v>16</ns0:v>
      </ns0:c>
      <ns0:c r="Q1139">
        <ns0:f>IF(AND(L1139=1,O1139*Calculations!$B$2&lt;=Calculations!$B$10*Calculations!$B$4),1,0)</ns0:f>
        <ns0:v>0</ns0:v>
      </ns0:c>
      <ns0:c r="R1139">
        <ns0:f>IF(AND(L1139=1,O1139*Calculations!$B$2&lt;=Calculations!$B$11*Calculations!$B$4),1,0)</ns0:f>
        <ns0:v>0</ns0:v>
      </ns0:c>
    </ns0:row>
    <ns0:row r="1140">
      <ns0:c r="A1140" t="inlineStr">
        <ns0:is>
          <ns0:t>case_1139</ns0:t>
        </ns0:is>
      </ns0:c>
      <ns0:c r="B1140" t="inlineStr">
        <ns0:is>
          <ns0:t>function_0243</ns0:t>
        </ns0:is>
      </ns0:c>
      <ns0:c r="C1140" t="inlineStr">
        <ns0:is>
          <ns0:t>run_012</ns0:t>
        </ns0:is>
      </ns0:c>
      <ns0:c r="D1140" t="inlineStr">
        <ns0:is>
          <ns0:t>mio</ns0:t>
        </ns0:is>
      </ns0:c>
      <ns0:c r="E1140" t="inlineStr">
        <ns0:is>
          <ns0:t>gemini-2.5-flash-nothinking</ns0:t>
        </ns0:is>
      </ns0:c>
      <ns0:c r="F1140" t="inlineStr">
        <ns0:is>
          <ns0:t>E0432,E0433,E0599</ns0:t>
        </ns0:is>
      </ns0:c>
      <ns0:c r="G1140" t="n">
        <ns0:v>0</ns0:v>
      </ns0:c>
      <ns0:c r="H1140" t="n">
        <ns0:v>6824</ns0:v>
      </ns0:c>
      <ns0:c r="I1140" t="n">
        <ns0:v>1018</ns0:v>
      </ns0:c>
      <ns0:c r="J1140" t="n">
        <ns0:v>7842</ns0:v>
      </ns0:c>
      <ns0:c r="K1140" t="n">
        <ns0:v>3</ns0:v>
      </ns0:c>
      <ns0:c r="L1140" t="n">
        <ns0:v>0</ns0:v>
      </ns0:c>
      <ns0:c r="M1140" t="n">
        <ns0:v>310220</ns0:v>
      </ns0:c>
      <ns0:c r="N1140" t="n">
        <ns0:v>8729</ns0:v>
      </ns0:c>
      <ns0:c r="O1140" t="n">
        <ns0:v>318949</ns0:v>
      </ns0:c>
      <ns0:c r="P1140" t="n">
        <ns0:v>20</ns0:v>
      </ns0:c>
      <ns0:c r="Q1140">
        <ns0:f>IF(AND(L1140=1,O1140*Calculations!$B$2&lt;=Calculations!$B$10*Calculations!$B$4),1,0)</ns0:f>
        <ns0:v>0</ns0:v>
      </ns0:c>
      <ns0:c r="R1140">
        <ns0:f>IF(AND(L1140=1,O1140*Calculations!$B$2&lt;=Calculations!$B$11*Calculations!$B$4),1,0)</ns0:f>
        <ns0:v>0</ns0:v>
      </ns0:c>
    </ns0:row>
    <ns0:row r="1141">
      <ns0:c r="A1141" t="inlineStr">
        <ns0:is>
          <ns0:t>case_1140</ns0:t>
        </ns0:is>
      </ns0:c>
      <ns0:c r="B1141" t="inlineStr">
        <ns0:is>
          <ns0:t>function_0244</ns0:t>
        </ns0:is>
      </ns0:c>
      <ns0:c r="C1141" t="inlineStr">
        <ns0:is>
          <ns0:t>run_012</ns0:t>
        </ns0:is>
      </ns0:c>
      <ns0:c r="D1141" t="inlineStr">
        <ns0:is>
          <ns0:t>mio</ns0:t>
        </ns0:is>
      </ns0:c>
      <ns0:c r="E1141" t="inlineStr">
        <ns0:is>
          <ns0:t>gemini-2.5-flash-nothinking</ns0:t>
        </ns0:is>
      </ns0:c>
      <ns0:c r="F1141" t="inlineStr">
        <ns0:is>
          <ns0:t>E0433</ns0:t>
        </ns0:is>
      </ns0:c>
      <ns0:c r="G1141" t="n">
        <ns0:v>0</ns0:v>
      </ns0:c>
      <ns0:c r="H1141" t="n">
        <ns0:v>3509</ns0:v>
      </ns0:c>
      <ns0:c r="I1141" t="n">
        <ns0:v>240</ns0:v>
      </ns0:c>
      <ns0:c r="J1141" t="n">
        <ns0:v>3749</ns0:v>
      </ns0:c>
      <ns0:c r="K1141" t="n">
        <ns0:v>3</ns0:v>
      </ns0:c>
      <ns0:c r="L1141" t="n">
        <ns0:v>0</ns0:v>
      </ns0:c>
      <ns0:c r="M1141" t="n">
        <ns0:v>273142</ns0:v>
      </ns0:c>
      <ns0:c r="N1141" t="n">
        <ns0:v>3367</ns0:v>
      </ns0:c>
      <ns0:c r="O1141" t="n">
        <ns0:v>276509</ns0:v>
      </ns0:c>
      <ns0:c r="P1141" t="n">
        <ns0:v>20</ns0:v>
      </ns0:c>
      <ns0:c r="Q1141">
        <ns0:f>IF(AND(L1141=1,O1141*Calculations!$B$2&lt;=Calculations!$B$10*Calculations!$B$4),1,0)</ns0:f>
        <ns0:v>0</ns0:v>
      </ns0:c>
      <ns0:c r="R1141">
        <ns0:f>IF(AND(L1141=1,O1141*Calculations!$B$2&lt;=Calculations!$B$11*Calculations!$B$4),1,0)</ns0:f>
        <ns0:v>0</ns0:v>
      </ns0:c>
    </ns0:row>
    <ns0:row r="1142">
      <ns0:c r="A1142" t="inlineStr">
        <ns0:is>
          <ns0:t>case_1141</ns0:t>
        </ns0:is>
      </ns0:c>
      <ns0:c r="B1142" t="inlineStr">
        <ns0:is>
          <ns0:t>function_0244</ns0:t>
        </ns0:is>
      </ns0:c>
      <ns0:c r="C1142" t="inlineStr">
        <ns0:is>
          <ns0:t>run_012</ns0:t>
        </ns0:is>
      </ns0:c>
      <ns0:c r="D1142" t="inlineStr">
        <ns0:is>
          <ns0:t>mio</ns0:t>
        </ns0:is>
      </ns0:c>
      <ns0:c r="E1142" t="inlineStr">
        <ns0:is>
          <ns0:t>gemini-2.5-flash-nothinking</ns0:t>
        </ns0:is>
      </ns0:c>
      <ns0:c r="F1142" t="inlineStr">
        <ns0:is>
          <ns0:t>E0425,E0433,E0599</ns0:t>
        </ns0:is>
      </ns0:c>
      <ns0:c r="G1142" t="n">
        <ns0:v>0</ns0:v>
      </ns0:c>
      <ns0:c r="H1142" t="n">
        <ns0:v>3452</ns0:v>
      </ns0:c>
      <ns0:c r="I1142" t="n">
        <ns0:v>165</ns0:v>
      </ns0:c>
      <ns0:c r="J1142" t="n">
        <ns0:v>3617</ns0:v>
      </ns0:c>
      <ns0:c r="K1142" t="n">
        <ns0:v>3</ns0:v>
      </ns0:c>
      <ns0:c r="L1142" t="n">
        <ns0:v>0</ns0:v>
      </ns0:c>
      <ns0:c r="M1142" t="n">
        <ns0:v>234365</ns0:v>
      </ns0:c>
      <ns0:c r="N1142" t="n">
        <ns0:v>1550</ns0:v>
      </ns0:c>
      <ns0:c r="O1142" t="n">
        <ns0:v>235915</ns0:v>
      </ns0:c>
      <ns0:c r="P1142" t="n">
        <ns0:v>20</ns0:v>
      </ns0:c>
      <ns0:c r="Q1142">
        <ns0:f>IF(AND(L1142=1,O1142*Calculations!$B$2&lt;=Calculations!$B$10*Calculations!$B$4),1,0)</ns0:f>
        <ns0:v>0</ns0:v>
      </ns0:c>
      <ns0:c r="R1142">
        <ns0:f>IF(AND(L1142=1,O1142*Calculations!$B$2&lt;=Calculations!$B$11*Calculations!$B$4),1,0)</ns0:f>
        <ns0:v>0</ns0:v>
      </ns0:c>
    </ns0:row>
    <ns0:row r="1143">
      <ns0:c r="A1143" t="inlineStr">
        <ns0:is>
          <ns0:t>case_1142</ns0:t>
        </ns0:is>
      </ns0:c>
      <ns0:c r="B1143" t="inlineStr">
        <ns0:is>
          <ns0:t>function_0244</ns0:t>
        </ns0:is>
      </ns0:c>
      <ns0:c r="C1143" t="inlineStr">
        <ns0:is>
          <ns0:t>run_012</ns0:t>
        </ns0:is>
      </ns0:c>
      <ns0:c r="D1143" t="inlineStr">
        <ns0:is>
          <ns0:t>mio</ns0:t>
        </ns0:is>
      </ns0:c>
      <ns0:c r="E1143" t="inlineStr">
        <ns0:is>
          <ns0:t>gemini-2.5-flash-nothinking</ns0:t>
        </ns0:is>
      </ns0:c>
      <ns0:c r="F1143" t="inlineStr">
        <ns0:is>
          <ns0:t>E0432,E0599,E0603</ns0:t>
        </ns0:is>
      </ns0:c>
      <ns0:c r="G1143" t="n">
        <ns0:v>0</ns0:v>
      </ns0:c>
      <ns0:c r="H1143" t="n">
        <ns0:v>6498</ns0:v>
      </ns0:c>
      <ns0:c r="I1143" t="n">
        <ns0:v>168</ns0:v>
      </ns0:c>
      <ns0:c r="J1143" t="n">
        <ns0:v>6666</ns0:v>
      </ns0:c>
      <ns0:c r="K1143" t="n">
        <ns0:v>3</ns0:v>
      </ns0:c>
      <ns0:c r="L1143" t="n">
        <ns0:v>0</ns0:v>
      </ns0:c>
      <ns0:c r="M1143" t="n">
        <ns0:v>211212</ns0:v>
      </ns0:c>
      <ns0:c r="N1143" t="n">
        <ns0:v>5366</ns0:v>
      </ns0:c>
      <ns0:c r="O1143" t="n">
        <ns0:v>216578</ns0:v>
      </ns0:c>
      <ns0:c r="P1143" t="n">
        <ns0:v>20</ns0:v>
      </ns0:c>
      <ns0:c r="Q1143">
        <ns0:f>IF(AND(L1143=1,O1143*Calculations!$B$2&lt;=Calculations!$B$10*Calculations!$B$4),1,0)</ns0:f>
        <ns0:v>0</ns0:v>
      </ns0:c>
      <ns0:c r="R1143">
        <ns0:f>IF(AND(L1143=1,O1143*Calculations!$B$2&lt;=Calculations!$B$11*Calculations!$B$4),1,0)</ns0:f>
        <ns0:v>0</ns0:v>
      </ns0:c>
    </ns0:row>
    <ns0:row r="1144">
      <ns0:c r="A1144" t="inlineStr">
        <ns0:is>
          <ns0:t>case_1143</ns0:t>
        </ns0:is>
      </ns0:c>
      <ns0:c r="B1144" t="inlineStr">
        <ns0:is>
          <ns0:t>function_0244</ns0:t>
        </ns0:is>
      </ns0:c>
      <ns0:c r="C1144" t="inlineStr">
        <ns0:is>
          <ns0:t>run_012</ns0:t>
        </ns0:is>
      </ns0:c>
      <ns0:c r="D1144" t="inlineStr">
        <ns0:is>
          <ns0:t>mio</ns0:t>
        </ns0:is>
      </ns0:c>
      <ns0:c r="E1144" t="inlineStr">
        <ns0:is>
          <ns0:t>gemini-2.5-flash-nothinking</ns0:t>
        </ns0:is>
      </ns0:c>
      <ns0:c r="F1144" t="inlineStr">
        <ns0:is>
          <ns0:t>E0425,E0433,E0599</ns0:t>
        </ns0:is>
      </ns0:c>
      <ns0:c r="G1144" t="n">
        <ns0:v>0</ns0:v>
      </ns0:c>
      <ns0:c r="H1144" t="n">
        <ns0:v>5105</ns0:v>
      </ns0:c>
      <ns0:c r="I1144" t="n">
        <ns0:v>234</ns0:v>
      </ns0:c>
      <ns0:c r="J1144" t="n">
        <ns0:v>5339</ns0:v>
      </ns0:c>
      <ns0:c r="K1144" t="n">
        <ns0:v>3</ns0:v>
      </ns0:c>
      <ns0:c r="L1144" t="n">
        <ns0:v>0</ns0:v>
      </ns0:c>
      <ns0:c r="M1144" t="n">
        <ns0:v>205850</ns0:v>
      </ns0:c>
      <ns0:c r="N1144" t="n">
        <ns0:v>3136</ns0:v>
      </ns0:c>
      <ns0:c r="O1144" t="n">
        <ns0:v>208986</ns0:v>
      </ns0:c>
      <ns0:c r="P1144" t="n">
        <ns0:v>20</ns0:v>
      </ns0:c>
      <ns0:c r="Q1144">
        <ns0:f>IF(AND(L1144=1,O1144*Calculations!$B$2&lt;=Calculations!$B$10*Calculations!$B$4),1,0)</ns0:f>
        <ns0:v>0</ns0:v>
      </ns0:c>
      <ns0:c r="R1144">
        <ns0:f>IF(AND(L1144=1,O1144*Calculations!$B$2&lt;=Calculations!$B$11*Calculations!$B$4),1,0)</ns0:f>
        <ns0:v>0</ns0:v>
      </ns0:c>
    </ns0:row>
    <ns0:row r="1145">
      <ns0:c r="A1145" t="inlineStr">
        <ns0:is>
          <ns0:t>case_1144</ns0:t>
        </ns0:is>
      </ns0:c>
      <ns0:c r="B1145" t="inlineStr">
        <ns0:is>
          <ns0:t>function_0245</ns0:t>
        </ns0:is>
      </ns0:c>
      <ns0:c r="C1145" t="inlineStr">
        <ns0:is>
          <ns0:t>run_012</ns0:t>
        </ns0:is>
      </ns0:c>
      <ns0:c r="D1145" t="inlineStr">
        <ns0:is>
          <ns0:t>mio</ns0:t>
        </ns0:is>
      </ns0:c>
      <ns0:c r="E1145" t="inlineStr">
        <ns0:is>
          <ns0:t>gemini-2.5-flash-nothinking</ns0:t>
        </ns0:is>
      </ns0:c>
      <ns0:c r="F1145" t="inlineStr">
        <ns0:is>
          <ns0:t>E0433,E0599</ns0:t>
        </ns0:is>
      </ns0:c>
      <ns0:c r="G1145" t="n">
        <ns0:v>0</ns0:v>
      </ns0:c>
      <ns0:c r="H1145" t="n">
        <ns0:v>5066</ns0:v>
      </ns0:c>
      <ns0:c r="I1145" t="n">
        <ns0:v>316</ns0:v>
      </ns0:c>
      <ns0:c r="J1145" t="n">
        <ns0:v>5382</ns0:v>
      </ns0:c>
      <ns0:c r="K1145" t="n">
        <ns0:v>3</ns0:v>
      </ns0:c>
      <ns0:c r="L1145" t="n">
        <ns0:v>0</ns0:v>
      </ns0:c>
      <ns0:c r="M1145" t="n">
        <ns0:v>229200</ns0:v>
      </ns0:c>
      <ns0:c r="N1145" t="n">
        <ns0:v>3555</ns0:v>
      </ns0:c>
      <ns0:c r="O1145" t="n">
        <ns0:v>232755</ns0:v>
      </ns0:c>
      <ns0:c r="P1145" t="n">
        <ns0:v>20</ns0:v>
      </ns0:c>
      <ns0:c r="Q1145">
        <ns0:f>IF(AND(L1145=1,O1145*Calculations!$B$2&lt;=Calculations!$B$10*Calculations!$B$4),1,0)</ns0:f>
        <ns0:v>0</ns0:v>
      </ns0:c>
      <ns0:c r="R1145">
        <ns0:f>IF(AND(L1145=1,O1145*Calculations!$B$2&lt;=Calculations!$B$11*Calculations!$B$4),1,0)</ns0:f>
        <ns0:v>0</ns0:v>
      </ns0:c>
    </ns0:row>
    <ns0:row r="1146">
      <ns0:c r="A1146" t="inlineStr">
        <ns0:is>
          <ns0:t>case_1145</ns0:t>
        </ns0:is>
      </ns0:c>
      <ns0:c r="B1146" t="inlineStr">
        <ns0:is>
          <ns0:t>function_0245</ns0:t>
        </ns0:is>
      </ns0:c>
      <ns0:c r="C1146" t="inlineStr">
        <ns0:is>
          <ns0:t>run_012</ns0:t>
        </ns0:is>
      </ns0:c>
      <ns0:c r="D1146" t="inlineStr">
        <ns0:is>
          <ns0:t>mio</ns0:t>
        </ns0:is>
      </ns0:c>
      <ns0:c r="E1146" t="inlineStr">
        <ns0:is>
          <ns0:t>gemini-2.5-flash-nothinking</ns0:t>
        </ns0:is>
      </ns0:c>
      <ns0:c r="F1146" t="inlineStr">
        <ns0:is>
          <ns0:t>E0433,E0599</ns0:t>
        </ns0:is>
      </ns0:c>
      <ns0:c r="G1146" t="n">
        <ns0:v>0</ns0:v>
      </ns0:c>
      <ns0:c r="H1146" t="n">
        <ns0:v>5108</ns0:v>
      </ns0:c>
      <ns0:c r="I1146" t="n">
        <ns0:v>184</ns0:v>
      </ns0:c>
      <ns0:c r="J1146" t="n">
        <ns0:v>5292</ns0:v>
      </ns0:c>
      <ns0:c r="K1146" t="n">
        <ns0:v>3</ns0:v>
      </ns0:c>
      <ns0:c r="L1146" t="n">
        <ns0:v>0</ns0:v>
      </ns0:c>
      <ns0:c r="M1146" t="n">
        <ns0:v>296888</ns0:v>
      </ns0:c>
      <ns0:c r="N1146" t="n">
        <ns0:v>6540</ns0:v>
      </ns0:c>
      <ns0:c r="O1146" t="n">
        <ns0:v>303428</ns0:v>
      </ns0:c>
      <ns0:c r="P1146" t="n">
        <ns0:v>20</ns0:v>
      </ns0:c>
      <ns0:c r="Q1146">
        <ns0:f>IF(AND(L1146=1,O1146*Calculations!$B$2&lt;=Calculations!$B$10*Calculations!$B$4),1,0)</ns0:f>
        <ns0:v>0</ns0:v>
      </ns0:c>
      <ns0:c r="R1146">
        <ns0:f>IF(AND(L1146=1,O1146*Calculations!$B$2&lt;=Calculations!$B$11*Calculations!$B$4),1,0)</ns0:f>
        <ns0:v>0</ns0:v>
      </ns0:c>
    </ns0:row>
    <ns0:row r="1147">
      <ns0:c r="A1147" t="inlineStr">
        <ns0:is>
          <ns0:t>case_1146</ns0:t>
        </ns0:is>
      </ns0:c>
      <ns0:c r="B1147" t="inlineStr">
        <ns0:is>
          <ns0:t>function_0245</ns0:t>
        </ns0:is>
      </ns0:c>
      <ns0:c r="C1147" t="inlineStr">
        <ns0:is>
          <ns0:t>run_012</ns0:t>
        </ns0:is>
      </ns0:c>
      <ns0:c r="D1147" t="inlineStr">
        <ns0:is>
          <ns0:t>mio</ns0:t>
        </ns0:is>
      </ns0:c>
      <ns0:c r="E1147" t="inlineStr">
        <ns0:is>
          <ns0:t>gemini-2.5-flash-nothinking</ns0:t>
        </ns0:is>
      </ns0:c>
      <ns0:c r="F1147" t="inlineStr">
        <ns0:is>
          <ns0:t>E0432,E0599</ns0:t>
        </ns0:is>
      </ns0:c>
      <ns0:c r="G1147" t="n">
        <ns0:v>0</ns0:v>
      </ns0:c>
      <ns0:c r="H1147" t="n">
        <ns0:v>6330</ns0:v>
      </ns0:c>
      <ns0:c r="I1147" t="n">
        <ns0:v>168</ns0:v>
      </ns0:c>
      <ns0:c r="J1147" t="n">
        <ns0:v>6498</ns0:v>
      </ns0:c>
      <ns0:c r="K1147" t="n">
        <ns0:v>3</ns0:v>
      </ns0:c>
      <ns0:c r="L1147" t="n">
        <ns0:v>0</ns0:v>
      </ns0:c>
      <ns0:c r="M1147" t="n">
        <ns0:v>207110</ns0:v>
      </ns0:c>
      <ns0:c r="N1147" t="n">
        <ns0:v>2092</ns0:v>
      </ns0:c>
      <ns0:c r="O1147" t="n">
        <ns0:v>209202</ns0:v>
      </ns0:c>
      <ns0:c r="P1147" t="n">
        <ns0:v>20</ns0:v>
      </ns0:c>
      <ns0:c r="Q1147">
        <ns0:f>IF(AND(L1147=1,O1147*Calculations!$B$2&lt;=Calculations!$B$10*Calculations!$B$4),1,0)</ns0:f>
        <ns0:v>0</ns0:v>
      </ns0:c>
      <ns0:c r="R1147">
        <ns0:f>IF(AND(L1147=1,O1147*Calculations!$B$2&lt;=Calculations!$B$11*Calculations!$B$4),1,0)</ns0:f>
        <ns0:v>0</ns0:v>
      </ns0:c>
    </ns0:row>
    <ns0:row r="1148">
      <ns0:c r="A1148" t="inlineStr">
        <ns0:is>
          <ns0:t>case_1147</ns0:t>
        </ns0:is>
      </ns0:c>
      <ns0:c r="B1148" t="inlineStr">
        <ns0:is>
          <ns0:t>function_0245</ns0:t>
        </ns0:is>
      </ns0:c>
      <ns0:c r="C1148" t="inlineStr">
        <ns0:is>
          <ns0:t>run_012</ns0:t>
        </ns0:is>
      </ns0:c>
      <ns0:c r="D1148" t="inlineStr">
        <ns0:is>
          <ns0:t>mio</ns0:t>
        </ns0:is>
      </ns0:c>
      <ns0:c r="E1148" t="inlineStr">
        <ns0:is>
          <ns0:t>gemini-2.5-flash-nothinking</ns0:t>
        </ns0:is>
      </ns0:c>
      <ns0:c r="F1148" t="inlineStr">
        <ns0:is>
          <ns0:t>E0599,E0603</ns0:t>
        </ns0:is>
      </ns0:c>
      <ns0:c r="G1148" t="n">
        <ns0:v>0</ns0:v>
      </ns0:c>
      <ns0:c r="H1148" t="n">
        <ns0:v>4966</ns0:v>
      </ns0:c>
      <ns0:c r="I1148" t="n">
        <ns0:v>797</ns0:v>
      </ns0:c>
      <ns0:c r="J1148" t="n">
        <ns0:v>5763</ns0:v>
      </ns0:c>
      <ns0:c r="K1148" t="n">
        <ns0:v>3</ns0:v>
      </ns0:c>
      <ns0:c r="L1148" t="n">
        <ns0:v>0</ns0:v>
      </ns0:c>
      <ns0:c r="M1148" t="n">
        <ns0:v>24539</ns0:v>
      </ns0:c>
      <ns0:c r="N1148" t="n">
        <ns0:v>685</ns0:v>
      </ns0:c>
      <ns0:c r="O1148" t="n">
        <ns0:v>25224</ns0:v>
      </ns0:c>
      <ns0:c r="P1148" t="n">
        <ns0:v>3</ns0:v>
      </ns0:c>
      <ns0:c r="Q1148">
        <ns0:f>IF(AND(L1148=1,O1148*Calculations!$B$2&lt;=Calculations!$B$10*Calculations!$B$4),1,0)</ns0:f>
        <ns0:v>0</ns0:v>
      </ns0:c>
      <ns0:c r="R1148">
        <ns0:f>IF(AND(L1148=1,O1148*Calculations!$B$2&lt;=Calculations!$B$11*Calculations!$B$4),1,0)</ns0:f>
        <ns0:v>0</ns0:v>
      </ns0:c>
    </ns0:row>
    <ns0:row r="1149">
      <ns0:c r="A1149" t="inlineStr">
        <ns0:is>
          <ns0:t>case_1148</ns0:t>
        </ns0:is>
      </ns0:c>
      <ns0:c r="B1149" t="inlineStr">
        <ns0:is>
          <ns0:t>function_0246</ns0:t>
        </ns0:is>
      </ns0:c>
      <ns0:c r="C1149" t="inlineStr">
        <ns0:is>
          <ns0:t>run_012</ns0:t>
        </ns0:is>
      </ns0:c>
      <ns0:c r="D1149" t="inlineStr">
        <ns0:is>
          <ns0:t>mio</ns0:t>
        </ns0:is>
      </ns0:c>
      <ns0:c r="E1149" t="inlineStr">
        <ns0:is>
          <ns0:t>gemini-2.5-flash-nothinking</ns0:t>
        </ns0:is>
      </ns0:c>
      <ns0:c r="F1149" t="inlineStr">
        <ns0:is>
          <ns0:t>E0432,E0599</ns0:t>
        </ns0:is>
      </ns0:c>
      <ns0:c r="G1149" t="n">
        <ns0:v>0</ns0:v>
      </ns0:c>
      <ns0:c r="H1149" t="n">
        <ns0:v>6258</ns0:v>
      </ns0:c>
      <ns0:c r="I1149" t="n">
        <ns0:v>153</ns0:v>
      </ns0:c>
      <ns0:c r="J1149" t="n">
        <ns0:v>6411</ns0:v>
      </ns0:c>
      <ns0:c r="K1149" t="n">
        <ns0:v>3</ns0:v>
      </ns0:c>
      <ns0:c r="L1149" t="n">
        <ns0:v>0</ns0:v>
      </ns0:c>
      <ns0:c r="M1149" t="n">
        <ns0:v>199937</ns0:v>
      </ns0:c>
      <ns0:c r="N1149" t="n">
        <ns0:v>2576</ns0:v>
      </ns0:c>
      <ns0:c r="O1149" t="n">
        <ns0:v>202513</ns0:v>
      </ns0:c>
      <ns0:c r="P1149" t="n">
        <ns0:v>20</ns0:v>
      </ns0:c>
      <ns0:c r="Q1149">
        <ns0:f>IF(AND(L1149=1,O1149*Calculations!$B$2&lt;=Calculations!$B$10*Calculations!$B$4),1,0)</ns0:f>
        <ns0:v>0</ns0:v>
      </ns0:c>
      <ns0:c r="R1149">
        <ns0:f>IF(AND(L1149=1,O1149*Calculations!$B$2&lt;=Calculations!$B$11*Calculations!$B$4),1,0)</ns0:f>
        <ns0:v>0</ns0:v>
      </ns0:c>
    </ns0:row>
    <ns0:row r="1150">
      <ns0:c r="A1150" t="inlineStr">
        <ns0:is>
          <ns0:t>case_1149</ns0:t>
        </ns0:is>
      </ns0:c>
      <ns0:c r="B1150" t="inlineStr">
        <ns0:is>
          <ns0:t>function_0246</ns0:t>
        </ns0:is>
      </ns0:c>
      <ns0:c r="C1150" t="inlineStr">
        <ns0:is>
          <ns0:t>run_012</ns0:t>
        </ns0:is>
      </ns0:c>
      <ns0:c r="D1150" t="inlineStr">
        <ns0:is>
          <ns0:t>mio</ns0:t>
        </ns0:is>
      </ns0:c>
      <ns0:c r="E1150" t="inlineStr">
        <ns0:is>
          <ns0:t>gemini-2.5-flash-nothinking</ns0:t>
        </ns0:is>
      </ns0:c>
      <ns0:c r="F1150" t="inlineStr">
        <ns0:is>
          <ns0:t>E0425,E0433,E0599</ns0:t>
        </ns0:is>
      </ns0:c>
      <ns0:c r="G1150" t="n">
        <ns0:v>0</ns0:v>
      </ns0:c>
      <ns0:c r="H1150" t="n">
        <ns0:v>3518</ns0:v>
      </ns0:c>
      <ns0:c r="I1150" t="n">
        <ns0:v>210</ns0:v>
      </ns0:c>
      <ns0:c r="J1150" t="n">
        <ns0:v>3728</ns0:v>
      </ns0:c>
      <ns0:c r="K1150" t="n">
        <ns0:v>3</ns0:v>
      </ns0:c>
      <ns0:c r="L1150" t="n">
        <ns0:v>0</ns0:v>
      </ns0:c>
      <ns0:c r="M1150" t="n">
        <ns0:v>244917</ns0:v>
      </ns0:c>
      <ns0:c r="N1150" t="n">
        <ns0:v>4763</ns0:v>
      </ns0:c>
      <ns0:c r="O1150" t="n">
        <ns0:v>249680</ns0:v>
      </ns0:c>
      <ns0:c r="P1150" t="n">
        <ns0:v>20</ns0:v>
      </ns0:c>
      <ns0:c r="Q1150">
        <ns0:f>IF(AND(L1150=1,O1150*Calculations!$B$2&lt;=Calculations!$B$10*Calculations!$B$4),1,0)</ns0:f>
        <ns0:v>0</ns0:v>
      </ns0:c>
      <ns0:c r="R1150">
        <ns0:f>IF(AND(L1150=1,O1150*Calculations!$B$2&lt;=Calculations!$B$11*Calculations!$B$4),1,0)</ns0:f>
        <ns0:v>0</ns0:v>
      </ns0:c>
    </ns0:row>
    <ns0:row r="1151">
      <ns0:c r="A1151" t="inlineStr">
        <ns0:is>
          <ns0:t>case_1150</ns0:t>
        </ns0:is>
      </ns0:c>
      <ns0:c r="B1151" t="inlineStr">
        <ns0:is>
          <ns0:t>function_0246</ns0:t>
        </ns0:is>
      </ns0:c>
      <ns0:c r="C1151" t="inlineStr">
        <ns0:is>
          <ns0:t>run_012</ns0:t>
        </ns0:is>
      </ns0:c>
      <ns0:c r="D1151" t="inlineStr">
        <ns0:is>
          <ns0:t>mio</ns0:t>
        </ns0:is>
      </ns0:c>
      <ns0:c r="E1151" t="inlineStr">
        <ns0:is>
          <ns0:t>gemini-2.5-flash-nothinking</ns0:t>
        </ns0:is>
      </ns0:c>
      <ns0:c r="F1151" t="inlineStr">
        <ns0:is>
          <ns0:t>E0432,E0599</ns0:t>
        </ns0:is>
      </ns0:c>
      <ns0:c r="G1151" t="n">
        <ns0:v>0</ns0:v>
      </ns0:c>
      <ns0:c r="H1151" t="n">
        <ns0:v>25040</ns0:v>
      </ns0:c>
      <ns0:c r="I1151" t="n">
        <ns0:v>713</ns0:v>
      </ns0:c>
      <ns0:c r="J1151" t="n">
        <ns0:v>25753</ns0:v>
      </ns0:c>
      <ns0:c r="K1151" t="n">
        <ns0:v>12</ns0:v>
      </ns0:c>
      <ns0:c r="L1151" t="n">
        <ns0:v>0</ns0:v>
      </ns0:c>
      <ns0:c r="M1151" t="n">
        <ns0:v>297695</ns0:v>
      </ns0:c>
      <ns0:c r="N1151" t="n">
        <ns0:v>2900</ns0:v>
      </ns0:c>
      <ns0:c r="O1151" t="n">
        <ns0:v>300595</ns0:v>
      </ns0:c>
      <ns0:c r="P1151" t="n">
        <ns0:v>20</ns0:v>
      </ns0:c>
      <ns0:c r="Q1151">
        <ns0:f>IF(AND(L1151=1,O1151*Calculations!$B$2&lt;=Calculations!$B$10*Calculations!$B$4),1,0)</ns0:f>
        <ns0:v>0</ns0:v>
      </ns0:c>
      <ns0:c r="R1151">
        <ns0:f>IF(AND(L1151=1,O1151*Calculations!$B$2&lt;=Calculations!$B$11*Calculations!$B$4),1,0)</ns0:f>
        <ns0:v>0</ns0:v>
      </ns0:c>
    </ns0:row>
    <ns0:row r="1152">
      <ns0:c r="A1152" t="inlineStr">
        <ns0:is>
          <ns0:t>case_1151</ns0:t>
        </ns0:is>
      </ns0:c>
      <ns0:c r="B1152" t="inlineStr">
        <ns0:is>
          <ns0:t>function_0246</ns0:t>
        </ns0:is>
      </ns0:c>
      <ns0:c r="C1152" t="inlineStr">
        <ns0:is>
          <ns0:t>run_012</ns0:t>
        </ns0:is>
      </ns0:c>
      <ns0:c r="D1152" t="inlineStr">
        <ns0:is>
          <ns0:t>mio</ns0:t>
        </ns0:is>
      </ns0:c>
      <ns0:c r="E1152" t="inlineStr">
        <ns0:is>
          <ns0:t>gemini-2.5-flash-nothinking</ns0:t>
        </ns0:is>
      </ns0:c>
      <ns0:c r="F1152" t="inlineStr">
        <ns0:is>
          <ns0:t>E0432,E0599</ns0:t>
        </ns0:is>
      </ns0:c>
      <ns0:c r="G1152" t="n">
        <ns0:v>0</ns0:v>
      </ns0:c>
      <ns0:c r="H1152" t="n">
        <ns0:v>7137</ns0:v>
      </ns0:c>
      <ns0:c r="I1152" t="n">
        <ns0:v>367</ns0:v>
      </ns0:c>
      <ns0:c r="J1152" t="n">
        <ns0:v>7504</ns0:v>
      </ns0:c>
      <ns0:c r="K1152" t="n">
        <ns0:v>3</ns0:v>
      </ns0:c>
      <ns0:c r="L1152" t="n">
        <ns0:v>0</ns0:v>
      </ns0:c>
      <ns0:c r="M1152" t="n">
        <ns0:v>292741</ns0:v>
      </ns0:c>
      <ns0:c r="N1152" t="n">
        <ns0:v>7160</ns0:v>
      </ns0:c>
      <ns0:c r="O1152" t="n">
        <ns0:v>299901</ns0:v>
      </ns0:c>
      <ns0:c r="P1152" t="n">
        <ns0:v>20</ns0:v>
      </ns0:c>
      <ns0:c r="Q1152">
        <ns0:f>IF(AND(L1152=1,O1152*Calculations!$B$2&lt;=Calculations!$B$10*Calculations!$B$4),1,0)</ns0:f>
        <ns0:v>0</ns0:v>
      </ns0:c>
      <ns0:c r="R1152">
        <ns0:f>IF(AND(L1152=1,O1152*Calculations!$B$2&lt;=Calculations!$B$11*Calculations!$B$4),1,0)</ns0:f>
        <ns0:v>0</ns0:v>
      </ns0:c>
    </ns0:row>
    <ns0:row r="1153">
      <ns0:c r="A1153" t="inlineStr">
        <ns0:is>
          <ns0:t>case_1152</ns0:t>
        </ns0:is>
      </ns0:c>
      <ns0:c r="B1153" t="inlineStr">
        <ns0:is>
          <ns0:t>function_0247</ns0:t>
        </ns0:is>
      </ns0:c>
      <ns0:c r="C1153" t="inlineStr">
        <ns0:is>
          <ns0:t>run_012</ns0:t>
        </ns0:is>
      </ns0:c>
      <ns0:c r="D1153" t="inlineStr">
        <ns0:is>
          <ns0:t>mio</ns0:t>
        </ns0:is>
      </ns0:c>
      <ns0:c r="E1153" t="inlineStr">
        <ns0:is>
          <ns0:t>gemini-2.5-flash-nothinking</ns0:t>
        </ns0:is>
      </ns0:c>
      <ns0:c r="F1153" t="inlineStr">
        <ns0:is>
          <ns0:t>E0432,E0599</ns0:t>
        </ns0:is>
      </ns0:c>
      <ns0:c r="G1153" t="n">
        <ns0:v>0</ns0:v>
      </ns0:c>
      <ns0:c r="H1153" t="n">
        <ns0:v>6597</ns0:v>
      </ns0:c>
      <ns0:c r="I1153" t="n">
        <ns0:v>210</ns0:v>
      </ns0:c>
      <ns0:c r="J1153" t="n">
        <ns0:v>6807</ns0:v>
      </ns0:c>
      <ns0:c r="K1153" t="n">
        <ns0:v>3</ns0:v>
      </ns0:c>
      <ns0:c r="L1153" t="n">
        <ns0:v>0</ns0:v>
      </ns0:c>
      <ns0:c r="M1153" t="n">
        <ns0:v>478923</ns0:v>
      </ns0:c>
      <ns0:c r="N1153" t="n">
        <ns0:v>7359</ns0:v>
      </ns0:c>
      <ns0:c r="O1153" t="n">
        <ns0:v>486282</ns0:v>
      </ns0:c>
      <ns0:c r="P1153" t="n">
        <ns0:v>23</ns0:v>
      </ns0:c>
      <ns0:c r="Q1153">
        <ns0:f>IF(AND(L1153=1,O1153*Calculations!$B$2&lt;=Calculations!$B$10*Calculations!$B$4),1,0)</ns0:f>
        <ns0:v>0</ns0:v>
      </ns0:c>
      <ns0:c r="R1153">
        <ns0:f>IF(AND(L1153=1,O1153*Calculations!$B$2&lt;=Calculations!$B$11*Calculations!$B$4),1,0)</ns0:f>
        <ns0:v>0</ns0:v>
      </ns0:c>
    </ns0:row>
    <ns0:row r="1154">
      <ns0:c r="A1154" t="inlineStr">
        <ns0:is>
          <ns0:t>case_1153</ns0:t>
        </ns0:is>
      </ns0:c>
      <ns0:c r="B1154" t="inlineStr">
        <ns0:is>
          <ns0:t>function_0247</ns0:t>
        </ns0:is>
      </ns0:c>
      <ns0:c r="C1154" t="inlineStr">
        <ns0:is>
          <ns0:t>run_012</ns0:t>
        </ns0:is>
      </ns0:c>
      <ns0:c r="D1154" t="inlineStr">
        <ns0:is>
          <ns0:t>mio</ns0:t>
        </ns0:is>
      </ns0:c>
      <ns0:c r="E1154" t="inlineStr">
        <ns0:is>
          <ns0:t>gemini-2.5-flash-nothinking</ns0:t>
        </ns0:is>
      </ns0:c>
      <ns0:c r="F1154" t="inlineStr">
        <ns0:is>
          <ns0:t>E0425,E0433,E0599</ns0:t>
        </ns0:is>
      </ns0:c>
      <ns0:c r="G1154" t="n">
        <ns0:v>0</ns0:v>
      </ns0:c>
      <ns0:c r="H1154" t="n">
        <ns0:v>3559</ns0:v>
      </ns0:c>
      <ns0:c r="I1154" t="n">
        <ns0:v>258</ns0:v>
      </ns0:c>
      <ns0:c r="J1154" t="n">
        <ns0:v>3817</ns0:v>
      </ns0:c>
      <ns0:c r="K1154" t="n">
        <ns0:v>3</ns0:v>
      </ns0:c>
      <ns0:c r="L1154" t="n">
        <ns0:v>0</ns0:v>
      </ns0:c>
      <ns0:c r="M1154" t="n">
        <ns0:v>248092</ns0:v>
      </ns0:c>
      <ns0:c r="N1154" t="n">
        <ns0:v>2074</ns0:v>
      </ns0:c>
      <ns0:c r="O1154" t="n">
        <ns0:v>250166</ns0:v>
      </ns0:c>
      <ns0:c r="P1154" t="n">
        <ns0:v>20</ns0:v>
      </ns0:c>
      <ns0:c r="Q1154">
        <ns0:f>IF(AND(L1154=1,O1154*Calculations!$B$2&lt;=Calculations!$B$10*Calculations!$B$4),1,0)</ns0:f>
        <ns0:v>0</ns0:v>
      </ns0:c>
      <ns0:c r="R1154">
        <ns0:f>IF(AND(L1154=1,O1154*Calculations!$B$2&lt;=Calculations!$B$11*Calculations!$B$4),1,0)</ns0:f>
        <ns0:v>0</ns0:v>
      </ns0:c>
    </ns0:row>
    <ns0:row r="1155">
      <ns0:c r="A1155" t="inlineStr">
        <ns0:is>
          <ns0:t>case_1154</ns0:t>
        </ns0:is>
      </ns0:c>
      <ns0:c r="B1155" t="inlineStr">
        <ns0:is>
          <ns0:t>function_0247</ns0:t>
        </ns0:is>
      </ns0:c>
      <ns0:c r="C1155" t="inlineStr">
        <ns0:is>
          <ns0:t>run_012</ns0:t>
        </ns0:is>
      </ns0:c>
      <ns0:c r="D1155" t="inlineStr">
        <ns0:is>
          <ns0:t>mio</ns0:t>
        </ns0:is>
      </ns0:c>
      <ns0:c r="E1155" t="inlineStr">
        <ns0:is>
          <ns0:t>gemini-2.5-flash-nothinking</ns0:t>
        </ns0:is>
      </ns0:c>
      <ns0:c r="F1155" t="inlineStr">
        <ns0:is>
          <ns0:t>E0433</ns0:t>
        </ns0:is>
      </ns0:c>
      <ns0:c r="G1155" t="n">
        <ns0:v>0</ns0:v>
      </ns0:c>
      <ns0:c r="H1155" t="n">
        <ns0:v>3253</ns0:v>
      </ns0:c>
      <ns0:c r="I1155" t="n">
        <ns0:v>190</ns0:v>
      </ns0:c>
      <ns0:c r="J1155" t="n">
        <ns0:v>3443</ns0:v>
      </ns0:c>
      <ns0:c r="K1155" t="n">
        <ns0:v>3</ns0:v>
      </ns0:c>
      <ns0:c r="L1155" t="n">
        <ns0:v>0</ns0:v>
      </ns0:c>
      <ns0:c r="M1155" t="n">
        <ns0:v>267236</ns0:v>
      </ns0:c>
      <ns0:c r="N1155" t="n">
        <ns0:v>2511</ns0:v>
      </ns0:c>
      <ns0:c r="O1155" t="n">
        <ns0:v>269747</ns0:v>
      </ns0:c>
      <ns0:c r="P1155" t="n">
        <ns0:v>20</ns0:v>
      </ns0:c>
      <ns0:c r="Q1155">
        <ns0:f>IF(AND(L1155=1,O1155*Calculations!$B$2&lt;=Calculations!$B$10*Calculations!$B$4),1,0)</ns0:f>
        <ns0:v>0</ns0:v>
      </ns0:c>
      <ns0:c r="R1155">
        <ns0:f>IF(AND(L1155=1,O1155*Calculations!$B$2&lt;=Calculations!$B$11*Calculations!$B$4),1,0)</ns0:f>
        <ns0:v>0</ns0:v>
      </ns0:c>
    </ns0:row>
    <ns0:row r="1156">
      <ns0:c r="A1156" t="inlineStr">
        <ns0:is>
          <ns0:t>case_1155</ns0:t>
        </ns0:is>
      </ns0:c>
      <ns0:c r="B1156" t="inlineStr">
        <ns0:is>
          <ns0:t>function_0247</ns0:t>
        </ns0:is>
      </ns0:c>
      <ns0:c r="C1156" t="inlineStr">
        <ns0:is>
          <ns0:t>run_012</ns0:t>
        </ns0:is>
      </ns0:c>
      <ns0:c r="D1156" t="inlineStr">
        <ns0:is>
          <ns0:t>mio</ns0:t>
        </ns0:is>
      </ns0:c>
      <ns0:c r="E1156" t="inlineStr">
        <ns0:is>
          <ns0:t>gemini-2.5-flash-nothinking</ns0:t>
        </ns0:is>
      </ns0:c>
      <ns0:c r="F1156" t="inlineStr">
        <ns0:is>
          <ns0:t>E0432,E0599</ns0:t>
        </ns0:is>
      </ns0:c>
      <ns0:c r="G1156" t="n">
        <ns0:v>0</ns0:v>
      </ns0:c>
      <ns0:c r="H1156" t="n">
        <ns0:v>7110</ns0:v>
      </ns0:c>
      <ns0:c r="I1156" t="n">
        <ns0:v>368</ns0:v>
      </ns0:c>
      <ns0:c r="J1156" t="n">
        <ns0:v>7478</ns0:v>
      </ns0:c>
      <ns0:c r="K1156" t="n">
        <ns0:v>3</ns0:v>
      </ns0:c>
      <ns0:c r="L1156" t="n">
        <ns0:v>0</ns0:v>
      </ns0:c>
      <ns0:c r="M1156" t="n">
        <ns0:v>229273</ns0:v>
      </ns0:c>
      <ns0:c r="N1156" t="n">
        <ns0:v>4379</ns0:v>
      </ns0:c>
      <ns0:c r="O1156" t="n">
        <ns0:v>233652</ns0:v>
      </ns0:c>
      <ns0:c r="P1156" t="n">
        <ns0:v>20</ns0:v>
      </ns0:c>
      <ns0:c r="Q1156">
        <ns0:f>IF(AND(L1156=1,O1156*Calculations!$B$2&lt;=Calculations!$B$10*Calculations!$B$4),1,0)</ns0:f>
        <ns0:v>0</ns0:v>
      </ns0:c>
      <ns0:c r="R1156">
        <ns0:f>IF(AND(L1156=1,O1156*Calculations!$B$2&lt;=Calculations!$B$11*Calculations!$B$4),1,0)</ns0:f>
        <ns0:v>0</ns0:v>
      </ns0:c>
    </ns0:row>
    <ns0:row r="1157">
      <ns0:c r="A1157" t="inlineStr">
        <ns0:is>
          <ns0:t>case_1156</ns0:t>
        </ns0:is>
      </ns0:c>
      <ns0:c r="B1157" t="inlineStr">
        <ns0:is>
          <ns0:t>function_0248</ns0:t>
        </ns0:is>
      </ns0:c>
      <ns0:c r="C1157" t="inlineStr">
        <ns0:is>
          <ns0:t>run_012</ns0:t>
        </ns0:is>
      </ns0:c>
      <ns0:c r="D1157" t="inlineStr">
        <ns0:is>
          <ns0:t>mio</ns0:t>
        </ns0:is>
      </ns0:c>
      <ns0:c r="E1157" t="inlineStr">
        <ns0:is>
          <ns0:t>gemini-2.5-flash-nothinking</ns0:t>
        </ns0:is>
      </ns0:c>
      <ns0:c r="F1157" t="inlineStr">
        <ns0:is>
          <ns0:t>E0432,E0599,E0603</ns0:t>
        </ns0:is>
      </ns0:c>
      <ns0:c r="G1157" t="n">
        <ns0:v>0</ns0:v>
      </ns0:c>
      <ns0:c r="H1157" t="n">
        <ns0:v>9139</ns0:v>
      </ns0:c>
      <ns0:c r="I1157" t="n">
        <ns0:v>1473</ns0:v>
      </ns0:c>
      <ns0:c r="J1157" t="n">
        <ns0:v>10612</ns0:v>
      </ns0:c>
      <ns0:c r="K1157" t="n">
        <ns0:v>3</ns0:v>
      </ns0:c>
      <ns0:c r="L1157" t="n">
        <ns0:v>0</ns0:v>
      </ns0:c>
      <ns0:c r="M1157" t="n">
        <ns0:v>333011</ns0:v>
      </ns0:c>
      <ns0:c r="N1157" t="n">
        <ns0:v>2378</ns0:v>
      </ns0:c>
      <ns0:c r="O1157" t="n">
        <ns0:v>335389</ns0:v>
      </ns0:c>
      <ns0:c r="P1157" t="n">
        <ns0:v>20</ns0:v>
      </ns0:c>
      <ns0:c r="Q1157">
        <ns0:f>IF(AND(L1157=1,O1157*Calculations!$B$2&lt;=Calculations!$B$10*Calculations!$B$4),1,0)</ns0:f>
        <ns0:v>0</ns0:v>
      </ns0:c>
      <ns0:c r="R1157">
        <ns0:f>IF(AND(L1157=1,O1157*Calculations!$B$2&lt;=Calculations!$B$11*Calculations!$B$4),1,0)</ns0:f>
        <ns0:v>0</ns0:v>
      </ns0:c>
    </ns0:row>
    <ns0:row r="1158">
      <ns0:c r="A1158" t="inlineStr">
        <ns0:is>
          <ns0:t>case_1157</ns0:t>
        </ns0:is>
      </ns0:c>
      <ns0:c r="B1158" t="inlineStr">
        <ns0:is>
          <ns0:t>function_0248</ns0:t>
        </ns0:is>
      </ns0:c>
      <ns0:c r="C1158" t="inlineStr">
        <ns0:is>
          <ns0:t>run_012</ns0:t>
        </ns0:is>
      </ns0:c>
      <ns0:c r="D1158" t="inlineStr">
        <ns0:is>
          <ns0:t>mio</ns0:t>
        </ns0:is>
      </ns0:c>
      <ns0:c r="E1158" t="inlineStr">
        <ns0:is>
          <ns0:t>gemini-2.5-flash-nothinking</ns0:t>
        </ns0:is>
      </ns0:c>
      <ns0:c r="F1158" t="inlineStr">
        <ns0:is>
          <ns0:t>E0432,E0599</ns0:t>
        </ns0:is>
      </ns0:c>
      <ns0:c r="G1158" t="n">
        <ns0:v>0</ns0:v>
      </ns0:c>
      <ns0:c r="H1158" t="n">
        <ns0:v>11242</ns0:v>
      </ns0:c>
      <ns0:c r="I1158" t="n">
        <ns0:v>2054</ns0:v>
      </ns0:c>
      <ns0:c r="J1158" t="n">
        <ns0:v>13296</ns0:v>
      </ns0:c>
      <ns0:c r="K1158" t="n">
        <ns0:v>3</ns0:v>
      </ns0:c>
      <ns0:c r="L1158" t="n">
        <ns0:v>0</ns0:v>
      </ns0:c>
      <ns0:c r="M1158" t="n">
        <ns0:v>224714</ns0:v>
      </ns0:c>
      <ns0:c r="N1158" t="n">
        <ns0:v>2896</ns0:v>
      </ns0:c>
      <ns0:c r="O1158" t="n">
        <ns0:v>227610</ns0:v>
      </ns0:c>
      <ns0:c r="P1158" t="n">
        <ns0:v>20</ns0:v>
      </ns0:c>
      <ns0:c r="Q1158">
        <ns0:f>IF(AND(L1158=1,O1158*Calculations!$B$2&lt;=Calculations!$B$10*Calculations!$B$4),1,0)</ns0:f>
        <ns0:v>0</ns0:v>
      </ns0:c>
      <ns0:c r="R1158">
        <ns0:f>IF(AND(L1158=1,O1158*Calculations!$B$2&lt;=Calculations!$B$11*Calculations!$B$4),1,0)</ns0:f>
        <ns0:v>0</ns0:v>
      </ns0:c>
    </ns0:row>
    <ns0:row r="1159">
      <ns0:c r="A1159" t="inlineStr">
        <ns0:is>
          <ns0:t>case_1158</ns0:t>
        </ns0:is>
      </ns0:c>
      <ns0:c r="B1159" t="inlineStr">
        <ns0:is>
          <ns0:t>function_0248</ns0:t>
        </ns0:is>
      </ns0:c>
      <ns0:c r="C1159" t="inlineStr">
        <ns0:is>
          <ns0:t>run_012</ns0:t>
        </ns0:is>
      </ns0:c>
      <ns0:c r="D1159" t="inlineStr">
        <ns0:is>
          <ns0:t>mio</ns0:t>
        </ns0:is>
      </ns0:c>
      <ns0:c r="E1159" t="inlineStr">
        <ns0:is>
          <ns0:t>gemini-2.5-flash-nothinking</ns0:t>
        </ns0:is>
      </ns0:c>
      <ns0:c r="F1159" t="inlineStr">
        <ns0:is>
          <ns0:t>E0433</ns0:t>
        </ns0:is>
      </ns0:c>
      <ns0:c r="G1159" t="n">
        <ns0:v>0</ns0:v>
      </ns0:c>
      <ns0:c r="H1159" t="n">
        <ns0:v>3695</ns0:v>
      </ns0:c>
      <ns0:c r="I1159" t="n">
        <ns0:v>399</ns0:v>
      </ns0:c>
      <ns0:c r="J1159" t="n">
        <ns0:v>4094</ns0:v>
      </ns0:c>
      <ns0:c r="K1159" t="n">
        <ns0:v>3</ns0:v>
      </ns0:c>
      <ns0:c r="L1159" t="n">
        <ns0:v>0</ns0:v>
      </ns0:c>
      <ns0:c r="M1159" t="n">
        <ns0:v>272035</ns0:v>
      </ns0:c>
      <ns0:c r="N1159" t="n">
        <ns0:v>1299</ns0:v>
      </ns0:c>
      <ns0:c r="O1159" t="n">
        <ns0:v>273334</ns0:v>
      </ns0:c>
      <ns0:c r="P1159" t="n">
        <ns0:v>20</ns0:v>
      </ns0:c>
      <ns0:c r="Q1159">
        <ns0:f>IF(AND(L1159=1,O1159*Calculations!$B$2&lt;=Calculations!$B$10*Calculations!$B$4),1,0)</ns0:f>
        <ns0:v>0</ns0:v>
      </ns0:c>
      <ns0:c r="R1159">
        <ns0:f>IF(AND(L1159=1,O1159*Calculations!$B$2&lt;=Calculations!$B$11*Calculations!$B$4),1,0)</ns0:f>
        <ns0:v>0</ns0:v>
      </ns0:c>
    </ns0:row>
    <ns0:row r="1160">
      <ns0:c r="A1160" t="inlineStr">
        <ns0:is>
          <ns0:t>case_1159</ns0:t>
        </ns0:is>
      </ns0:c>
      <ns0:c r="B1160" t="inlineStr">
        <ns0:is>
          <ns0:t>function_0248</ns0:t>
        </ns0:is>
      </ns0:c>
      <ns0:c r="C1160" t="inlineStr">
        <ns0:is>
          <ns0:t>run_012</ns0:t>
        </ns0:is>
      </ns0:c>
      <ns0:c r="D1160" t="inlineStr">
        <ns0:is>
          <ns0:t>mio</ns0:t>
        </ns0:is>
      </ns0:c>
      <ns0:c r="E1160" t="inlineStr">
        <ns0:is>
          <ns0:t>gemini-2.5-flash-nothinking</ns0:t>
        </ns0:is>
      </ns0:c>
      <ns0:c r="F1160" t="inlineStr">
        <ns0:is>
          <ns0:t>E0433,E0599</ns0:t>
        </ns0:is>
      </ns0:c>
      <ns0:c r="G1160" t="n">
        <ns0:v>0</ns0:v>
      </ns0:c>
      <ns0:c r="H1160" t="n">
        <ns0:v>7214</ns0:v>
      </ns0:c>
      <ns0:c r="I1160" t="n">
        <ns0:v>198</ns0:v>
      </ns0:c>
      <ns0:c r="J1160" t="n">
        <ns0:v>7412</ns0:v>
      </ns0:c>
      <ns0:c r="K1160" t="n">
        <ns0:v>3</ns0:v>
      </ns0:c>
      <ns0:c r="L1160" t="n">
        <ns0:v>0</ns0:v>
      </ns0:c>
      <ns0:c r="M1160" t="n">
        <ns0:v>379563</ns0:v>
      </ns0:c>
      <ns0:c r="N1160" t="n">
        <ns0:v>24285</ns0:v>
      </ns0:c>
      <ns0:c r="O1160" t="n">
        <ns0:v>403848</ns0:v>
      </ns0:c>
      <ns0:c r="P1160" t="n">
        <ns0:v>24</ns0:v>
      </ns0:c>
      <ns0:c r="Q1160">
        <ns0:f>IF(AND(L1160=1,O1160*Calculations!$B$2&lt;=Calculations!$B$10*Calculations!$B$4),1,0)</ns0:f>
        <ns0:v>0</ns0:v>
      </ns0:c>
      <ns0:c r="R1160">
        <ns0:f>IF(AND(L1160=1,O1160*Calculations!$B$2&lt;=Calculations!$B$11*Calculations!$B$4),1,0)</ns0:f>
        <ns0:v>0</ns0:v>
      </ns0:c>
    </ns0:row>
    <ns0:row r="1161">
      <ns0:c r="A1161" t="inlineStr">
        <ns0:is>
          <ns0:t>case_1160</ns0:t>
        </ns0:is>
      </ns0:c>
      <ns0:c r="B1161" t="inlineStr">
        <ns0:is>
          <ns0:t>function_0249</ns0:t>
        </ns0:is>
      </ns0:c>
      <ns0:c r="C1161" t="inlineStr">
        <ns0:is>
          <ns0:t>run_012</ns0:t>
        </ns0:is>
      </ns0:c>
      <ns0:c r="D1161" t="inlineStr">
        <ns0:is>
          <ns0:t>mio</ns0:t>
        </ns0:is>
      </ns0:c>
      <ns0:c r="E1161" t="inlineStr">
        <ns0:is>
          <ns0:t>gemini-2.5-flash-nothinking</ns0:t>
        </ns0:is>
      </ns0:c>
      <ns0:c r="F1161" t="inlineStr"/>
      <ns0:c r="G1161" t="n">
        <ns0:v>0</ns0:v>
      </ns0:c>
      <ns0:c r="H1161" t="n">
        <ns0:v>0</ns0:v>
      </ns0:c>
      <ns0:c r="I1161" t="n">
        <ns0:v>0</ns0:v>
      </ns0:c>
      <ns0:c r="J1161" t="n">
        <ns0:v>0</ns0:v>
      </ns0:c>
      <ns0:c r="K1161" t="n">
        <ns0:v>0</ns0:v>
      </ns0:c>
      <ns0:c r="L1161" t="n">
        <ns0:v>0</ns0:v>
      </ns0:c>
      <ns0:c r="M1161" t="n">
        <ns0:v>271955</ns0:v>
      </ns0:c>
      <ns0:c r="N1161" t="n">
        <ns0:v>13383</ns0:v>
      </ns0:c>
      <ns0:c r="O1161" t="n">
        <ns0:v>285338</ns0:v>
      </ns0:c>
      <ns0:c r="P1161" t="n">
        <ns0:v>20</ns0:v>
      </ns0:c>
      <ns0:c r="Q1161">
        <ns0:f>IF(AND(L1161=1,O1161*Calculations!$B$2&lt;=Calculations!$B$10*Calculations!$B$4),1,0)</ns0:f>
        <ns0:v>0</ns0:v>
      </ns0:c>
      <ns0:c r="R1161">
        <ns0:f>IF(AND(L1161=1,O1161*Calculations!$B$2&lt;=Calculations!$B$11*Calculations!$B$4),1,0)</ns0:f>
        <ns0:v>0</ns0:v>
      </ns0:c>
    </ns0:row>
    <ns0:row r="1162">
      <ns0:c r="A1162" t="inlineStr">
        <ns0:is>
          <ns0:t>case_1161</ns0:t>
        </ns0:is>
      </ns0:c>
      <ns0:c r="B1162" t="inlineStr">
        <ns0:is>
          <ns0:t>function_0249</ns0:t>
        </ns0:is>
      </ns0:c>
      <ns0:c r="C1162" t="inlineStr">
        <ns0:is>
          <ns0:t>run_012</ns0:t>
        </ns0:is>
      </ns0:c>
      <ns0:c r="D1162" t="inlineStr">
        <ns0:is>
          <ns0:t>mio</ns0:t>
        </ns0:is>
      </ns0:c>
      <ns0:c r="E1162" t="inlineStr">
        <ns0:is>
          <ns0:t>gemini-2.5-flash-nothinking</ns0:t>
        </ns0:is>
      </ns0:c>
      <ns0:c r="F1162" t="inlineStr">
        <ns0:is>
          <ns0:t>E0432,E0599</ns0:t>
        </ns0:is>
      </ns0:c>
      <ns0:c r="G1162" t="n">
        <ns0:v>0</ns0:v>
      </ns0:c>
      <ns0:c r="H1162" t="n">
        <ns0:v>11597</ns0:v>
      </ns0:c>
      <ns0:c r="I1162" t="n">
        <ns0:v>5718</ns0:v>
      </ns0:c>
      <ns0:c r="J1162" t="n">
        <ns0:v>17315</ns0:v>
      </ns0:c>
      <ns0:c r="K1162" t="n">
        <ns0:v>3</ns0:v>
      </ns0:c>
      <ns0:c r="L1162" t="n">
        <ns0:v>0</ns0:v>
      </ns0:c>
      <ns0:c r="M1162" t="n">
        <ns0:v>377763</ns0:v>
      </ns0:c>
      <ns0:c r="N1162" t="n">
        <ns0:v>7372</ns0:v>
      </ns0:c>
      <ns0:c r="O1162" t="n">
        <ns0:v>385135</ns0:v>
      </ns0:c>
      <ns0:c r="P1162" t="n">
        <ns0:v>20</ns0:v>
      </ns0:c>
      <ns0:c r="Q1162">
        <ns0:f>IF(AND(L1162=1,O1162*Calculations!$B$2&lt;=Calculations!$B$10*Calculations!$B$4),1,0)</ns0:f>
        <ns0:v>0</ns0:v>
      </ns0:c>
      <ns0:c r="R1162">
        <ns0:f>IF(AND(L1162=1,O1162*Calculations!$B$2&lt;=Calculations!$B$11*Calculations!$B$4),1,0)</ns0:f>
        <ns0:v>0</ns0:v>
      </ns0:c>
    </ns0:row>
    <ns0:row r="1163">
      <ns0:c r="A1163" t="inlineStr">
        <ns0:is>
          <ns0:t>case_1162</ns0:t>
        </ns0:is>
      </ns0:c>
      <ns0:c r="B1163" t="inlineStr">
        <ns0:is>
          <ns0:t>function_0249</ns0:t>
        </ns0:is>
      </ns0:c>
      <ns0:c r="C1163" t="inlineStr">
        <ns0:is>
          <ns0:t>run_012</ns0:t>
        </ns0:is>
      </ns0:c>
      <ns0:c r="D1163" t="inlineStr">
        <ns0:is>
          <ns0:t>mio</ns0:t>
        </ns0:is>
      </ns0:c>
      <ns0:c r="E1163" t="inlineStr">
        <ns0:is>
          <ns0:t>gemini-2.5-flash-nothinking</ns0:t>
        </ns0:is>
      </ns0:c>
      <ns0:c r="F1163" t="inlineStr">
        <ns0:is>
          <ns0:t>E0433,E0599</ns0:t>
        </ns0:is>
      </ns0:c>
      <ns0:c r="G1163" t="n">
        <ns0:v>0</ns0:v>
      </ns0:c>
      <ns0:c r="H1163" t="n">
        <ns0:v>11126</ns0:v>
      </ns0:c>
      <ns0:c r="I1163" t="n">
        <ns0:v>219</ns0:v>
      </ns0:c>
      <ns0:c r="J1163" t="n">
        <ns0:v>11345</ns0:v>
      </ns0:c>
      <ns0:c r="K1163" t="n">
        <ns0:v>3</ns0:v>
      </ns0:c>
      <ns0:c r="L1163" t="n">
        <ns0:v>0</ns0:v>
      </ns0:c>
      <ns0:c r="M1163" t="n">
        <ns0:v>196790</ns0:v>
      </ns0:c>
      <ns0:c r="N1163" t="n">
        <ns0:v>2049</ns0:v>
      </ns0:c>
      <ns0:c r="O1163" t="n">
        <ns0:v>198839</ns0:v>
      </ns0:c>
      <ns0:c r="P1163" t="n">
        <ns0:v>20</ns0:v>
      </ns0:c>
      <ns0:c r="Q1163">
        <ns0:f>IF(AND(L1163=1,O1163*Calculations!$B$2&lt;=Calculations!$B$10*Calculations!$B$4),1,0)</ns0:f>
        <ns0:v>0</ns0:v>
      </ns0:c>
      <ns0:c r="R1163">
        <ns0:f>IF(AND(L1163=1,O1163*Calculations!$B$2&lt;=Calculations!$B$11*Calculations!$B$4),1,0)</ns0:f>
        <ns0:v>0</ns0:v>
      </ns0:c>
    </ns0:row>
    <ns0:row r="1164">
      <ns0:c r="A1164" t="inlineStr">
        <ns0:is>
          <ns0:t>case_1163</ns0:t>
        </ns0:is>
      </ns0:c>
      <ns0:c r="B1164" t="inlineStr">
        <ns0:is>
          <ns0:t>function_0249</ns0:t>
        </ns0:is>
      </ns0:c>
      <ns0:c r="C1164" t="inlineStr">
        <ns0:is>
          <ns0:t>run_012</ns0:t>
        </ns0:is>
      </ns0:c>
      <ns0:c r="D1164" t="inlineStr">
        <ns0:is>
          <ns0:t>mio</ns0:t>
        </ns0:is>
      </ns0:c>
      <ns0:c r="E1164" t="inlineStr">
        <ns0:is>
          <ns0:t>gemini-2.5-flash-nothinking</ns0:t>
        </ns0:is>
      </ns0:c>
      <ns0:c r="F1164" t="inlineStr"/>
      <ns0:c r="G1164" t="n">
        <ns0:v>0</ns0:v>
      </ns0:c>
      <ns0:c r="H1164" t="n">
        <ns0:v>0</ns0:v>
      </ns0:c>
      <ns0:c r="I1164" t="n">
        <ns0:v>0</ns0:v>
      </ns0:c>
      <ns0:c r="J1164" t="n">
        <ns0:v>0</ns0:v>
      </ns0:c>
      <ns0:c r="K1164" t="n">
        <ns0:v>0</ns0:v>
      </ns0:c>
      <ns0:c r="L1164" t="n">
        <ns0:v>0</ns0:v>
      </ns0:c>
      <ns0:c r="M1164" t="n">
        <ns0:v>172500</ns0:v>
      </ns0:c>
      <ns0:c r="N1164" t="n">
        <ns0:v>5438</ns0:v>
      </ns0:c>
      <ns0:c r="O1164" t="n">
        <ns0:v>177938</ns0:v>
      </ns0:c>
      <ns0:c r="P1164" t="n">
        <ns0:v>10</ns0:v>
      </ns0:c>
      <ns0:c r="Q1164">
        <ns0:f>IF(AND(L1164=1,O1164*Calculations!$B$2&lt;=Calculations!$B$10*Calculations!$B$4),1,0)</ns0:f>
        <ns0:v>0</ns0:v>
      </ns0:c>
      <ns0:c r="R1164">
        <ns0:f>IF(AND(L1164=1,O1164*Calculations!$B$2&lt;=Calculations!$B$11*Calculations!$B$4),1,0)</ns0:f>
        <ns0:v>0</ns0:v>
      </ns0:c>
    </ns0:row>
    <ns0:row r="1165">
      <ns0:c r="A1165" t="inlineStr">
        <ns0:is>
          <ns0:t>case_1164</ns0:t>
        </ns0:is>
      </ns0:c>
      <ns0:c r="B1165" t="inlineStr">
        <ns0:is>
          <ns0:t>function_0250</ns0:t>
        </ns0:is>
      </ns0:c>
      <ns0:c r="C1165" t="inlineStr">
        <ns0:is>
          <ns0:t>run_012</ns0:t>
        </ns0:is>
      </ns0:c>
      <ns0:c r="D1165" t="inlineStr">
        <ns0:is>
          <ns0:t>mio</ns0:t>
        </ns0:is>
      </ns0:c>
      <ns0:c r="E1165" t="inlineStr">
        <ns0:is>
          <ns0:t>gemini-2.5-flash-nothinking</ns0:t>
        </ns0:is>
      </ns0:c>
      <ns0:c r="F1165" t="inlineStr">
        <ns0:is>
          <ns0:t>E0433</ns0:t>
        </ns0:is>
      </ns0:c>
      <ns0:c r="G1165" t="n">
        <ns0:v>0</ns0:v>
      </ns0:c>
      <ns0:c r="H1165" t="n">
        <ns0:v>5242</ns0:v>
      </ns0:c>
      <ns0:c r="I1165" t="n">
        <ns0:v>210</ns0:v>
      </ns0:c>
      <ns0:c r="J1165" t="n">
        <ns0:v>5452</ns0:v>
      </ns0:c>
      <ns0:c r="K1165" t="n">
        <ns0:v>3</ns0:v>
      </ns0:c>
      <ns0:c r="L1165" t="n">
        <ns0:v>1</ns0:v>
      </ns0:c>
      <ns0:c r="M1165" t="n">
        <ns0:v>21799</ns0:v>
      </ns0:c>
      <ns0:c r="N1165" t="n">
        <ns0:v>435</ns0:v>
      </ns0:c>
      <ns0:c r="O1165" t="n">
        <ns0:v>22234</ns0:v>
      </ns0:c>
      <ns0:c r="P1165" t="n">
        <ns0:v>3</ns0:v>
      </ns0:c>
      <ns0:c r="Q1165">
        <ns0:f>IF(AND(L1165=1,O1165*Calculations!$B$2&lt;=Calculations!$B$10*Calculations!$B$4),1,0)</ns0:f>
        <ns0:v>1</ns0:v>
      </ns0:c>
      <ns0:c r="R1165">
        <ns0:f>IF(AND(L1165=1,O1165*Calculations!$B$2&lt;=Calculations!$B$11*Calculations!$B$4),1,0)</ns0:f>
        <ns0:v>1</ns0:v>
      </ns0:c>
    </ns0:row>
    <ns0:row r="1166">
      <ns0:c r="A1166" t="inlineStr">
        <ns0:is>
          <ns0:t>case_1165</ns0:t>
        </ns0:is>
      </ns0:c>
      <ns0:c r="B1166" t="inlineStr">
        <ns0:is>
          <ns0:t>function_0250</ns0:t>
        </ns0:is>
      </ns0:c>
      <ns0:c r="C1166" t="inlineStr">
        <ns0:is>
          <ns0:t>run_012</ns0:t>
        </ns0:is>
      </ns0:c>
      <ns0:c r="D1166" t="inlineStr">
        <ns0:is>
          <ns0:t>mio</ns0:t>
        </ns0:is>
      </ns0:c>
      <ns0:c r="E1166" t="inlineStr">
        <ns0:is>
          <ns0:t>gemini-2.5-flash-nothinking</ns0:t>
        </ns0:is>
      </ns0:c>
      <ns0:c r="F1166" t="inlineStr"/>
      <ns0:c r="G1166" t="n">
        <ns0:v>0</ns0:v>
      </ns0:c>
      <ns0:c r="H1166" t="n">
        <ns0:v>2003</ns0:v>
      </ns0:c>
      <ns0:c r="I1166" t="n">
        <ns0:v>222</ns0:v>
      </ns0:c>
      <ns0:c r="J1166" t="n">
        <ns0:v>2225</ns0:v>
      </ns0:c>
      <ns0:c r="K1166" t="n">
        <ns0:v>3</ns0:v>
      </ns0:c>
      <ns0:c r="L1166" t="n">
        <ns0:v>1</ns0:v>
      </ns0:c>
      <ns0:c r="M1166" t="n">
        <ns0:v>21316</ns0:v>
      </ns0:c>
      <ns0:c r="N1166" t="n">
        <ns0:v>167</ns0:v>
      </ns0:c>
      <ns0:c r="O1166" t="n">
        <ns0:v>21483</ns0:v>
      </ns0:c>
      <ns0:c r="P1166" t="n">
        <ns0:v>3</ns0:v>
      </ns0:c>
      <ns0:c r="Q1166">
        <ns0:f>IF(AND(L1166=1,O1166*Calculations!$B$2&lt;=Calculations!$B$10*Calculations!$B$4),1,0)</ns0:f>
        <ns0:v>1</ns0:v>
      </ns0:c>
      <ns0:c r="R1166">
        <ns0:f>IF(AND(L1166=1,O1166*Calculations!$B$2&lt;=Calculations!$B$11*Calculations!$B$4),1,0)</ns0:f>
        <ns0:v>1</ns0:v>
      </ns0:c>
    </ns0:row>
    <ns0:row r="1167">
      <ns0:c r="A1167" t="inlineStr">
        <ns0:is>
          <ns0:t>case_1166</ns0:t>
        </ns0:is>
      </ns0:c>
      <ns0:c r="B1167" t="inlineStr">
        <ns0:is>
          <ns0:t>function_0251</ns0:t>
        </ns0:is>
      </ns0:c>
      <ns0:c r="C1167" t="inlineStr">
        <ns0:is>
          <ns0:t>run_012</ns0:t>
        </ns0:is>
      </ns0:c>
      <ns0:c r="D1167" t="inlineStr">
        <ns0:is>
          <ns0:t>mio</ns0:t>
        </ns0:is>
      </ns0:c>
      <ns0:c r="E1167" t="inlineStr">
        <ns0:is>
          <ns0:t>gemini-2.5-flash-nothinking</ns0:t>
        </ns0:is>
      </ns0:c>
      <ns0:c r="F1167" t="inlineStr">
        <ns0:is>
          <ns0:t>E0432,E0433</ns0:t>
        </ns0:is>
      </ns0:c>
      <ns0:c r="G1167" t="n">
        <ns0:v>0</ns0:v>
      </ns0:c>
      <ns0:c r="H1167" t="n">
        <ns0:v>8362</ns0:v>
      </ns0:c>
      <ns0:c r="I1167" t="n">
        <ns0:v>870</ns0:v>
      </ns0:c>
      <ns0:c r="J1167" t="n">
        <ns0:v>9232</ns0:v>
      </ns0:c>
      <ns0:c r="K1167" t="n">
        <ns0:v>3</ns0:v>
      </ns0:c>
      <ns0:c r="L1167" t="n">
        <ns0:v>1</ns0:v>
      </ns0:c>
      <ns0:c r="M1167" t="n">
        <ns0:v>40431</ns0:v>
      </ns0:c>
      <ns0:c r="N1167" t="n">
        <ns0:v>1150</ns0:v>
      </ns0:c>
      <ns0:c r="O1167" t="n">
        <ns0:v>41581</ns0:v>
      </ns0:c>
      <ns0:c r="P1167" t="n">
        <ns0:v>5</ns0:v>
      </ns0:c>
      <ns0:c r="Q1167">
        <ns0:f>IF(AND(L1167=1,O1167*Calculations!$B$2&lt;=Calculations!$B$10*Calculations!$B$4),1,0)</ns0:f>
        <ns0:v>0</ns0:v>
      </ns0:c>
      <ns0:c r="R1167">
        <ns0:f>IF(AND(L1167=1,O1167*Calculations!$B$2&lt;=Calculations!$B$11*Calculations!$B$4),1,0)</ns0:f>
        <ns0:v>1</ns0:v>
      </ns0:c>
    </ns0:row>
    <ns0:row r="1168">
      <ns0:c r="A1168" t="inlineStr">
        <ns0:is>
          <ns0:t>case_1167</ns0:t>
        </ns0:is>
      </ns0:c>
      <ns0:c r="B1168" t="inlineStr">
        <ns0:is>
          <ns0:t>function_0251</ns0:t>
        </ns0:is>
      </ns0:c>
      <ns0:c r="C1168" t="inlineStr">
        <ns0:is>
          <ns0:t>run_012</ns0:t>
        </ns0:is>
      </ns0:c>
      <ns0:c r="D1168" t="inlineStr">
        <ns0:is>
          <ns0:t>mio</ns0:t>
        </ns0:is>
      </ns0:c>
      <ns0:c r="E1168" t="inlineStr">
        <ns0:is>
          <ns0:t>gemini-2.5-flash-nothinking</ns0:t>
        </ns0:is>
      </ns0:c>
      <ns0:c r="F1168" t="inlineStr">
        <ns0:is>
          <ns0:t>E0432</ns0:t>
        </ns0:is>
      </ns0:c>
      <ns0:c r="G1168" t="n">
        <ns0:v>0</ns0:v>
      </ns0:c>
      <ns0:c r="H1168" t="n">
        <ns0:v>10054</ns0:v>
      </ns0:c>
      <ns0:c r="I1168" t="n">
        <ns0:v>357</ns0:v>
      </ns0:c>
      <ns0:c r="J1168" t="n">
        <ns0:v>10411</ns0:v>
      </ns0:c>
      <ns0:c r="K1168" t="n">
        <ns0:v>3</ns0:v>
      </ns0:c>
      <ns0:c r="L1168" t="n">
        <ns0:v>0</ns0:v>
      </ns0:c>
      <ns0:c r="M1168" t="n">
        <ns0:v>262523</ns0:v>
      </ns0:c>
      <ns0:c r="N1168" t="n">
        <ns0:v>8141</ns0:v>
      </ns0:c>
      <ns0:c r="O1168" t="n">
        <ns0:v>270664</ns0:v>
      </ns0:c>
      <ns0:c r="P1168" t="n">
        <ns0:v>20</ns0:v>
      </ns0:c>
      <ns0:c r="Q1168">
        <ns0:f>IF(AND(L1168=1,O1168*Calculations!$B$2&lt;=Calculations!$B$10*Calculations!$B$4),1,0)</ns0:f>
        <ns0:v>0</ns0:v>
      </ns0:c>
      <ns0:c r="R1168">
        <ns0:f>IF(AND(L1168=1,O1168*Calculations!$B$2&lt;=Calculations!$B$11*Calculations!$B$4),1,0)</ns0:f>
        <ns0:v>0</ns0:v>
      </ns0:c>
    </ns0:row>
    <ns0:row r="1169">
      <ns0:c r="A1169" t="inlineStr">
        <ns0:is>
          <ns0:t>case_1168</ns0:t>
        </ns0:is>
      </ns0:c>
      <ns0:c r="B1169" t="inlineStr">
        <ns0:is>
          <ns0:t>function_0251</ns0:t>
        </ns0:is>
      </ns0:c>
      <ns0:c r="C1169" t="inlineStr">
        <ns0:is>
          <ns0:t>run_012</ns0:t>
        </ns0:is>
      </ns0:c>
      <ns0:c r="D1169" t="inlineStr">
        <ns0:is>
          <ns0:t>mio</ns0:t>
        </ns0:is>
      </ns0:c>
      <ns0:c r="E1169" t="inlineStr">
        <ns0:is>
          <ns0:t>gemini-2.5-flash-nothinking</ns0:t>
        </ns0:is>
      </ns0:c>
      <ns0:c r="F1169" t="inlineStr">
        <ns0:is>
          <ns0:t>E0432,E0433</ns0:t>
        </ns0:is>
      </ns0:c>
      <ns0:c r="G1169" t="n">
        <ns0:v>0</ns0:v>
      </ns0:c>
      <ns0:c r="H1169" t="n">
        <ns0:v>11354</ns0:v>
      </ns0:c>
      <ns0:c r="I1169" t="n">
        <ns0:v>606</ns0:v>
      </ns0:c>
      <ns0:c r="J1169" t="n">
        <ns0:v>11960</ns0:v>
      </ns0:c>
      <ns0:c r="K1169" t="n">
        <ns0:v>3</ns0:v>
      </ns0:c>
      <ns0:c r="L1169" t="n">
        <ns0:v>1</ns0:v>
      </ns0:c>
      <ns0:c r="M1169" t="n">
        <ns0:v>39591</ns0:v>
      </ns0:c>
      <ns0:c r="N1169" t="n">
        <ns0:v>878</ns0:v>
      </ns0:c>
      <ns0:c r="O1169" t="n">
        <ns0:v>40469</ns0:v>
      </ns0:c>
      <ns0:c r="P1169" t="n">
        <ns0:v>5</ns0:v>
      </ns0:c>
      <ns0:c r="Q1169">
        <ns0:f>IF(AND(L1169=1,O1169*Calculations!$B$2&lt;=Calculations!$B$10*Calculations!$B$4),1,0)</ns0:f>
        <ns0:v>0</ns0:v>
      </ns0:c>
      <ns0:c r="R1169">
        <ns0:f>IF(AND(L1169=1,O1169*Calculations!$B$2&lt;=Calculations!$B$11*Calculations!$B$4),1,0)</ns0:f>
        <ns0:v>1</ns0:v>
      </ns0:c>
    </ns0:row>
    <ns0:row r="1170">
      <ns0:c r="A1170" t="inlineStr">
        <ns0:is>
          <ns0:t>case_1169</ns0:t>
        </ns0:is>
      </ns0:c>
      <ns0:c r="B1170" t="inlineStr">
        <ns0:is>
          <ns0:t>function_0251</ns0:t>
        </ns0:is>
      </ns0:c>
      <ns0:c r="C1170" t="inlineStr">
        <ns0:is>
          <ns0:t>run_012</ns0:t>
        </ns0:is>
      </ns0:c>
      <ns0:c r="D1170" t="inlineStr">
        <ns0:is>
          <ns0:t>mio</ns0:t>
        </ns0:is>
      </ns0:c>
      <ns0:c r="E1170" t="inlineStr">
        <ns0:is>
          <ns0:t>gemini-2.5-flash-nothinking</ns0:t>
        </ns0:is>
      </ns0:c>
      <ns0:c r="F1170" t="inlineStr">
        <ns0:is>
          <ns0:t>E0432</ns0:t>
        </ns0:is>
      </ns0:c>
      <ns0:c r="G1170" t="n">
        <ns0:v>0</ns0:v>
      </ns0:c>
      <ns0:c r="H1170" t="n">
        <ns0:v>9025</ns0:v>
      </ns0:c>
      <ns0:c r="I1170" t="n">
        <ns0:v>447</ns0:v>
      </ns0:c>
      <ns0:c r="J1170" t="n">
        <ns0:v>9472</ns0:v>
      </ns0:c>
      <ns0:c r="K1170" t="n">
        <ns0:v>3</ns0:v>
      </ns0:c>
      <ns0:c r="L1170" t="n">
        <ns0:v>1</ns0:v>
      </ns0:c>
      <ns0:c r="M1170" t="n">
        <ns0:v>61831</ns0:v>
      </ns0:c>
      <ns0:c r="N1170" t="n">
        <ns0:v>628</ns0:v>
      </ns0:c>
      <ns0:c r="O1170" t="n">
        <ns0:v>62459</ns0:v>
      </ns0:c>
      <ns0:c r="P1170" t="n">
        <ns0:v>6</ns0:v>
      </ns0:c>
      <ns0:c r="Q1170">
        <ns0:f>IF(AND(L1170=1,O1170*Calculations!$B$2&lt;=Calculations!$B$10*Calculations!$B$4),1,0)</ns0:f>
        <ns0:v>0</ns0:v>
      </ns0:c>
      <ns0:c r="R1170">
        <ns0:f>IF(AND(L1170=1,O1170*Calculations!$B$2&lt;=Calculations!$B$11*Calculations!$B$4),1,0)</ns0:f>
        <ns0:v>0</ns0:v>
      </ns0:c>
    </ns0:row>
    <ns0:row r="1171">
      <ns0:c r="A1171" t="inlineStr">
        <ns0:is>
          <ns0:t>case_1170</ns0:t>
        </ns0:is>
      </ns0:c>
      <ns0:c r="B1171" t="inlineStr">
        <ns0:is>
          <ns0:t>function_0252</ns0:t>
        </ns0:is>
      </ns0:c>
      <ns0:c r="C1171" t="inlineStr">
        <ns0:is>
          <ns0:t>run_012</ns0:t>
        </ns0:is>
      </ns0:c>
      <ns0:c r="D1171" t="inlineStr">
        <ns0:is>
          <ns0:t>mio</ns0:t>
        </ns0:is>
      </ns0:c>
      <ns0:c r="E1171" t="inlineStr">
        <ns0:is>
          <ns0:t>gemini-2.5-flash-nothinking</ns0:t>
        </ns0:is>
      </ns0:c>
      <ns0:c r="F1171" t="inlineStr">
        <ns0:is>
          <ns0:t>E0432</ns0:t>
        </ns0:is>
      </ns0:c>
      <ns0:c r="G1171" t="n">
        <ns0:v>0</ns0:v>
      </ns0:c>
      <ns0:c r="H1171" t="n">
        <ns0:v>9028</ns0:v>
      </ns0:c>
      <ns0:c r="I1171" t="n">
        <ns0:v>144</ns0:v>
      </ns0:c>
      <ns0:c r="J1171" t="n">
        <ns0:v>9172</ns0:v>
      </ns0:c>
      <ns0:c r="K1171" t="n">
        <ns0:v>3</ns0:v>
      </ns0:c>
      <ns0:c r="L1171" t="n">
        <ns0:v>1</ns0:v>
      </ns0:c>
      <ns0:c r="M1171" t="n">
        <ns0:v>43923</ns0:v>
      </ns0:c>
      <ns0:c r="N1171" t="n">
        <ns0:v>600</ns0:v>
      </ns0:c>
      <ns0:c r="O1171" t="n">
        <ns0:v>44523</ns0:v>
      </ns0:c>
      <ns0:c r="P1171" t="n">
        <ns0:v>5</ns0:v>
      </ns0:c>
      <ns0:c r="Q1171">
        <ns0:f>IF(AND(L1171=1,O1171*Calculations!$B$2&lt;=Calculations!$B$10*Calculations!$B$4),1,0)</ns0:f>
        <ns0:v>0</ns0:v>
      </ns0:c>
      <ns0:c r="R1171">
        <ns0:f>IF(AND(L1171=1,O1171*Calculations!$B$2&lt;=Calculations!$B$11*Calculations!$B$4),1,0)</ns0:f>
        <ns0:v>1</ns0:v>
      </ns0:c>
    </ns0:row>
    <ns0:row r="1172">
      <ns0:c r="A1172" t="inlineStr">
        <ns0:is>
          <ns0:t>case_1171</ns0:t>
        </ns0:is>
      </ns0:c>
      <ns0:c r="B1172" t="inlineStr">
        <ns0:is>
          <ns0:t>function_0252</ns0:t>
        </ns0:is>
      </ns0:c>
      <ns0:c r="C1172" t="inlineStr">
        <ns0:is>
          <ns0:t>run_012</ns0:t>
        </ns0:is>
      </ns0:c>
      <ns0:c r="D1172" t="inlineStr">
        <ns0:is>
          <ns0:t>mio</ns0:t>
        </ns0:is>
      </ns0:c>
      <ns0:c r="E1172" t="inlineStr">
        <ns0:is>
          <ns0:t>gemini-2.5-flash-nothinking</ns0:t>
        </ns0:is>
      </ns0:c>
      <ns0:c r="F1172" t="inlineStr"/>
      <ns0:c r="G1172" t="n">
        <ns0:v>0</ns0:v>
      </ns0:c>
      <ns0:c r="H1172" t="n">
        <ns0:v>1870</ns0:v>
      </ns0:c>
      <ns0:c r="I1172" t="n">
        <ns0:v>182</ns0:v>
      </ns0:c>
      <ns0:c r="J1172" t="n">
        <ns0:v>2052</ns0:v>
      </ns0:c>
      <ns0:c r="K1172" t="n">
        <ns0:v>3</ns0:v>
      </ns0:c>
      <ns0:c r="L1172" t="n">
        <ns0:v>1</ns0:v>
      </ns0:c>
      <ns0:c r="M1172" t="n">
        <ns0:v>20048</ns0:v>
      </ns0:c>
      <ns0:c r="N1172" t="n">
        <ns0:v>135</ns0:v>
      </ns0:c>
      <ns0:c r="O1172" t="n">
        <ns0:v>20183</ns0:v>
      </ns0:c>
      <ns0:c r="P1172" t="n">
        <ns0:v>3</ns0:v>
      </ns0:c>
      <ns0:c r="Q1172">
        <ns0:f>IF(AND(L1172=1,O1172*Calculations!$B$2&lt;=Calculations!$B$10*Calculations!$B$4),1,0)</ns0:f>
        <ns0:v>1</ns0:v>
      </ns0:c>
      <ns0:c r="R1172">
        <ns0:f>IF(AND(L1172=1,O1172*Calculations!$B$2&lt;=Calculations!$B$11*Calculations!$B$4),1,0)</ns0:f>
        <ns0:v>1</ns0:v>
      </ns0:c>
    </ns0:row>
    <ns0:row r="1173">
      <ns0:c r="A1173" t="inlineStr">
        <ns0:is>
          <ns0:t>case_1172</ns0:t>
        </ns0:is>
      </ns0:c>
      <ns0:c r="B1173" t="inlineStr">
        <ns0:is>
          <ns0:t>function_0252</ns0:t>
        </ns0:is>
      </ns0:c>
      <ns0:c r="C1173" t="inlineStr">
        <ns0:is>
          <ns0:t>run_012</ns0:t>
        </ns0:is>
      </ns0:c>
      <ns0:c r="D1173" t="inlineStr">
        <ns0:is>
          <ns0:t>mio</ns0:t>
        </ns0:is>
      </ns0:c>
      <ns0:c r="E1173" t="inlineStr">
        <ns0:is>
          <ns0:t>gemini-2.5-flash-nothinking</ns0:t>
        </ns0:is>
      </ns0:c>
      <ns0:c r="F1173" t="inlineStr">
        <ns0:is>
          <ns0:t>E0425,E0433,E0599</ns0:t>
        </ns0:is>
      </ns0:c>
      <ns0:c r="G1173" t="n">
        <ns0:v>0</ns0:v>
      </ns0:c>
      <ns0:c r="H1173" t="n">
        <ns0:v>8434</ns0:v>
      </ns0:c>
      <ns0:c r="I1173" t="n">
        <ns0:v>393</ns0:v>
      </ns0:c>
      <ns0:c r="J1173" t="n">
        <ns0:v>8827</ns0:v>
      </ns0:c>
      <ns0:c r="K1173" t="n">
        <ns0:v>3</ns0:v>
      </ns0:c>
      <ns0:c r="L1173" t="n">
        <ns0:v>0</ns0:v>
      </ns0:c>
      <ns0:c r="M1173" t="n">
        <ns0:v>274283</ns0:v>
      </ns0:c>
      <ns0:c r="N1173" t="n">
        <ns0:v>8114</ns0:v>
      </ns0:c>
      <ns0:c r="O1173" t="n">
        <ns0:v>282397</ns0:v>
      </ns0:c>
      <ns0:c r="P1173" t="n">
        <ns0:v>20</ns0:v>
      </ns0:c>
      <ns0:c r="Q1173">
        <ns0:f>IF(AND(L1173=1,O1173*Calculations!$B$2&lt;=Calculations!$B$10*Calculations!$B$4),1,0)</ns0:f>
        <ns0:v>0</ns0:v>
      </ns0:c>
      <ns0:c r="R1173">
        <ns0:f>IF(AND(L1173=1,O1173*Calculations!$B$2&lt;=Calculations!$B$11*Calculations!$B$4),1,0)</ns0:f>
        <ns0:v>0</ns0:v>
      </ns0:c>
    </ns0:row>
    <ns0:row r="1174">
      <ns0:c r="A1174" t="inlineStr">
        <ns0:is>
          <ns0:t>case_1173</ns0:t>
        </ns0:is>
      </ns0:c>
      <ns0:c r="B1174" t="inlineStr">
        <ns0:is>
          <ns0:t>function_0252</ns0:t>
        </ns0:is>
      </ns0:c>
      <ns0:c r="C1174" t="inlineStr">
        <ns0:is>
          <ns0:t>run_012</ns0:t>
        </ns0:is>
      </ns0:c>
      <ns0:c r="D1174" t="inlineStr">
        <ns0:is>
          <ns0:t>mio</ns0:t>
        </ns0:is>
      </ns0:c>
      <ns0:c r="E1174" t="inlineStr">
        <ns0:is>
          <ns0:t>gemini-2.5-flash-nothinking</ns0:t>
        </ns0:is>
      </ns0:c>
      <ns0:c r="F1174" t="inlineStr"/>
      <ns0:c r="G1174" t="n">
        <ns0:v>0</ns0:v>
      </ns0:c>
      <ns0:c r="H1174" t="n">
        <ns0:v>6935</ns0:v>
      </ns0:c>
      <ns0:c r="I1174" t="n">
        <ns0:v>144</ns0:v>
      </ns0:c>
      <ns0:c r="J1174" t="n">
        <ns0:v>7079</ns0:v>
      </ns0:c>
      <ns0:c r="K1174" t="n">
        <ns0:v>3</ns0:v>
      </ns0:c>
      <ns0:c r="L1174" t="n">
        <ns0:v>1</ns0:v>
      </ns0:c>
      <ns0:c r="M1174" t="n">
        <ns0:v>27570</ns0:v>
      </ns0:c>
      <ns0:c r="N1174" t="n">
        <ns0:v>351</ns0:v>
      </ns0:c>
      <ns0:c r="O1174" t="n">
        <ns0:v>27921</ns0:v>
      </ns0:c>
      <ns0:c r="P1174" t="n">
        <ns0:v>4</ns0:v>
      </ns0:c>
      <ns0:c r="Q1174">
        <ns0:f>IF(AND(L1174=1,O1174*Calculations!$B$2&lt;=Calculations!$B$10*Calculations!$B$4),1,0)</ns0:f>
        <ns0:v>0</ns0:v>
      </ns0:c>
      <ns0:c r="R1174">
        <ns0:f>IF(AND(L1174=1,O1174*Calculations!$B$2&lt;=Calculations!$B$11*Calculations!$B$4),1,0)</ns0:f>
        <ns0:v>1</ns0:v>
      </ns0:c>
    </ns0:row>
    <ns0:row r="1175">
      <ns0:c r="A1175" t="inlineStr">
        <ns0:is>
          <ns0:t>case_1174</ns0:t>
        </ns0:is>
      </ns0:c>
      <ns0:c r="B1175" t="inlineStr">
        <ns0:is>
          <ns0:t>function_0253</ns0:t>
        </ns0:is>
      </ns0:c>
      <ns0:c r="C1175" t="inlineStr">
        <ns0:is>
          <ns0:t>run_012</ns0:t>
        </ns0:is>
      </ns0:c>
      <ns0:c r="D1175" t="inlineStr">
        <ns0:is>
          <ns0:t>mio</ns0:t>
        </ns0:is>
      </ns0:c>
      <ns0:c r="E1175" t="inlineStr">
        <ns0:is>
          <ns0:t>gemini-2.5-flash-nothinking</ns0:t>
        </ns0:is>
      </ns0:c>
      <ns0:c r="F1175" t="inlineStr"/>
      <ns0:c r="G1175" t="n">
        <ns0:v>0</ns0:v>
      </ns0:c>
      <ns0:c r="H1175" t="n">
        <ns0:v>6887</ns0:v>
      </ns0:c>
      <ns0:c r="I1175" t="n">
        <ns0:v>138</ns0:v>
      </ns0:c>
      <ns0:c r="J1175" t="n">
        <ns0:v>7025</ns0:v>
      </ns0:c>
      <ns0:c r="K1175" t="n">
        <ns0:v>3</ns0:v>
      </ns0:c>
      <ns0:c r="L1175" t="n">
        <ns0:v>1</ns0:v>
      </ns0:c>
      <ns0:c r="M1175" t="n">
        <ns0:v>27479</ns0:v>
      </ns0:c>
      <ns0:c r="N1175" t="n">
        <ns0:v>493</ns0:v>
      </ns0:c>
      <ns0:c r="O1175" t="n">
        <ns0:v>27972</ns0:v>
      </ns0:c>
      <ns0:c r="P1175" t="n">
        <ns0:v>4</ns0:v>
      </ns0:c>
      <ns0:c r="Q1175">
        <ns0:f>IF(AND(L1175=1,O1175*Calculations!$B$2&lt;=Calculations!$B$10*Calculations!$B$4),1,0)</ns0:f>
        <ns0:v>0</ns0:v>
      </ns0:c>
      <ns0:c r="R1175">
        <ns0:f>IF(AND(L1175=1,O1175*Calculations!$B$2&lt;=Calculations!$B$11*Calculations!$B$4),1,0)</ns0:f>
        <ns0:v>1</ns0:v>
      </ns0:c>
    </ns0:row>
    <ns0:row r="1176">
      <ns0:c r="A1176" t="inlineStr">
        <ns0:is>
          <ns0:t>case_1175</ns0:t>
        </ns0:is>
      </ns0:c>
      <ns0:c r="B1176" t="inlineStr">
        <ns0:is>
          <ns0:t>function_0253</ns0:t>
        </ns0:is>
      </ns0:c>
      <ns0:c r="C1176" t="inlineStr">
        <ns0:is>
          <ns0:t>run_012</ns0:t>
        </ns0:is>
      </ns0:c>
      <ns0:c r="D1176" t="inlineStr">
        <ns0:is>
          <ns0:t>mio</ns0:t>
        </ns0:is>
      </ns0:c>
      <ns0:c r="E1176" t="inlineStr">
        <ns0:is>
          <ns0:t>gemini-2.5-flash-nothinking</ns0:t>
        </ns0:is>
      </ns0:c>
      <ns0:c r="F1176" t="inlineStr">
        <ns0:is>
          <ns0:t>E0369</ns0:t>
        </ns0:is>
      </ns0:c>
      <ns0:c r="G1176" t="n">
        <ns0:v>0</ns0:v>
      </ns0:c>
      <ns0:c r="H1176" t="n">
        <ns0:v>7719</ns0:v>
      </ns0:c>
      <ns0:c r="I1176" t="n">
        <ns0:v>684</ns0:v>
      </ns0:c>
      <ns0:c r="J1176" t="n">
        <ns0:v>8403</ns0:v>
      </ns0:c>
      <ns0:c r="K1176" t="n">
        <ns0:v>3</ns0:v>
      </ns0:c>
      <ns0:c r="L1176" t="n">
        <ns0:v>0</ns0:v>
      </ns0:c>
      <ns0:c r="M1176" t="n">
        <ns0:v>69296</ns0:v>
      </ns0:c>
      <ns0:c r="N1176" t="n">
        <ns0:v>631</ns0:v>
      </ns0:c>
      <ns0:c r="O1176" t="n">
        <ns0:v>69927</ns0:v>
      </ns0:c>
      <ns0:c r="P1176" t="n">
        <ns0:v>7</ns0:v>
      </ns0:c>
      <ns0:c r="Q1176">
        <ns0:f>IF(AND(L1176=1,O1176*Calculations!$B$2&lt;=Calculations!$B$10*Calculations!$B$4),1,0)</ns0:f>
        <ns0:v>0</ns0:v>
      </ns0:c>
      <ns0:c r="R1176">
        <ns0:f>IF(AND(L1176=1,O1176*Calculations!$B$2&lt;=Calculations!$B$11*Calculations!$B$4),1,0)</ns0:f>
        <ns0:v>0</ns0:v>
      </ns0:c>
    </ns0:row>
    <ns0:row r="1177">
      <ns0:c r="A1177" t="inlineStr">
        <ns0:is>
          <ns0:t>case_1176</ns0:t>
        </ns0:is>
      </ns0:c>
      <ns0:c r="B1177" t="inlineStr">
        <ns0:is>
          <ns0:t>function_0253</ns0:t>
        </ns0:is>
      </ns0:c>
      <ns0:c r="C1177" t="inlineStr">
        <ns0:is>
          <ns0:t>run_012</ns0:t>
        </ns0:is>
      </ns0:c>
      <ns0:c r="D1177" t="inlineStr">
        <ns0:is>
          <ns0:t>mio</ns0:t>
        </ns0:is>
      </ns0:c>
      <ns0:c r="E1177" t="inlineStr">
        <ns0:is>
          <ns0:t>gemini-2.5-flash-nothinking</ns0:t>
        </ns0:is>
      </ns0:c>
      <ns0:c r="F1177" t="inlineStr">
        <ns0:is>
          <ns0:t>E0432</ns0:t>
        </ns0:is>
      </ns0:c>
      <ns0:c r="G1177" t="n">
        <ns0:v>0</ns0:v>
      </ns0:c>
      <ns0:c r="H1177" t="n">
        <ns0:v>6965</ns0:v>
      </ns0:c>
      <ns0:c r="I1177" t="n">
        <ns0:v>132</ns0:v>
      </ns0:c>
      <ns0:c r="J1177" t="n">
        <ns0:v>7097</ns0:v>
      </ns0:c>
      <ns0:c r="K1177" t="n">
        <ns0:v>3</ns0:v>
      </ns0:c>
      <ns0:c r="L1177" t="n">
        <ns0:v>1</ns0:v>
      </ns0:c>
      <ns0:c r="M1177" t="n">
        <ns0:v>62744</ns0:v>
      </ns0:c>
      <ns0:c r="N1177" t="n">
        <ns0:v>1075</ns0:v>
      </ns0:c>
      <ns0:c r="O1177" t="n">
        <ns0:v>63819</ns0:v>
      </ns0:c>
      <ns0:c r="P1177" t="n">
        <ns0:v>7</ns0:v>
      </ns0:c>
      <ns0:c r="Q1177">
        <ns0:f>IF(AND(L1177=1,O1177*Calculations!$B$2&lt;=Calculations!$B$10*Calculations!$B$4),1,0)</ns0:f>
        <ns0:v>0</ns0:v>
      </ns0:c>
      <ns0:c r="R1177">
        <ns0:f>IF(AND(L1177=1,O1177*Calculations!$B$2&lt;=Calculations!$B$11*Calculations!$B$4),1,0)</ns0:f>
        <ns0:v>0</ns0:v>
      </ns0:c>
    </ns0:row>
    <ns0:row r="1178">
      <ns0:c r="A1178" t="inlineStr">
        <ns0:is>
          <ns0:t>case_1177</ns0:t>
        </ns0:is>
      </ns0:c>
      <ns0:c r="B1178" t="inlineStr">
        <ns0:is>
          <ns0:t>function_0253</ns0:t>
        </ns0:is>
      </ns0:c>
      <ns0:c r="C1178" t="inlineStr">
        <ns0:is>
          <ns0:t>run_012</ns0:t>
        </ns0:is>
      </ns0:c>
      <ns0:c r="D1178" t="inlineStr">
        <ns0:is>
          <ns0:t>mio</ns0:t>
        </ns0:is>
      </ns0:c>
      <ns0:c r="E1178" t="inlineStr">
        <ns0:is>
          <ns0:t>gemini-2.5-flash-nothinking</ns0:t>
        </ns0:is>
      </ns0:c>
      <ns0:c r="F1178" t="inlineStr">
        <ns0:is>
          <ns0:t>E0432</ns0:t>
        </ns0:is>
      </ns0:c>
      <ns0:c r="G1178" t="n">
        <ns0:v>0</ns0:v>
      </ns0:c>
      <ns0:c r="H1178" t="n">
        <ns0:v>7278</ns0:v>
      </ns0:c>
      <ns0:c r="I1178" t="n">
        <ns0:v>138</ns0:v>
      </ns0:c>
      <ns0:c r="J1178" t="n">
        <ns0:v>7416</ns0:v>
      </ns0:c>
      <ns0:c r="K1178" t="n">
        <ns0:v>3</ns0:v>
      </ns0:c>
      <ns0:c r="L1178" t="n">
        <ns0:v>1</ns0:v>
      </ns0:c>
      <ns0:c r="M1178" t="n">
        <ns0:v>35040</ns0:v>
      </ns0:c>
      <ns0:c r="N1178" t="n">
        <ns0:v>488</ns0:v>
      </ns0:c>
      <ns0:c r="O1178" t="n">
        <ns0:v>35528</ns0:v>
      </ns0:c>
      <ns0:c r="P1178" t="n">
        <ns0:v>5</ns0:v>
      </ns0:c>
      <ns0:c r="Q1178">
        <ns0:f>IF(AND(L1178=1,O1178*Calculations!$B$2&lt;=Calculations!$B$10*Calculations!$B$4),1,0)</ns0:f>
        <ns0:v>0</ns0:v>
      </ns0:c>
      <ns0:c r="R1178">
        <ns0:f>IF(AND(L1178=1,O1178*Calculations!$B$2&lt;=Calculations!$B$11*Calculations!$B$4),1,0)</ns0:f>
        <ns0:v>1</ns0:v>
      </ns0:c>
    </ns0:row>
    <ns0:row r="1179">
      <ns0:c r="A1179" t="inlineStr">
        <ns0:is>
          <ns0:t>case_1178</ns0:t>
        </ns0:is>
      </ns0:c>
      <ns0:c r="B1179" t="inlineStr">
        <ns0:is>
          <ns0:t>function_0254</ns0:t>
        </ns0:is>
      </ns0:c>
      <ns0:c r="C1179" t="inlineStr">
        <ns0:is>
          <ns0:t>run_012</ns0:t>
        </ns0:is>
      </ns0:c>
      <ns0:c r="D1179" t="inlineStr">
        <ns0:is>
          <ns0:t>mio</ns0:t>
        </ns0:is>
      </ns0:c>
      <ns0:c r="E1179" t="inlineStr">
        <ns0:is>
          <ns0:t>gemini-2.5-flash-nothinking</ns0:t>
        </ns0:is>
      </ns0:c>
      <ns0:c r="F1179" t="inlineStr"/>
      <ns0:c r="G1179" t="n">
        <ns0:v>0</ns0:v>
      </ns0:c>
      <ns0:c r="H1179" t="n">
        <ns0:v>6766</ns0:v>
      </ns0:c>
      <ns0:c r="I1179" t="n">
        <ns0:v>135</ns0:v>
      </ns0:c>
      <ns0:c r="J1179" t="n">
        <ns0:v>6901</ns0:v>
      </ns0:c>
      <ns0:c r="K1179" t="n">
        <ns0:v>3</ns0:v>
      </ns0:c>
      <ns0:c r="L1179" t="n">
        <ns0:v>1</ns0:v>
      </ns0:c>
      <ns0:c r="M1179" t="n">
        <ns0:v>35420</ns0:v>
      </ns0:c>
      <ns0:c r="N1179" t="n">
        <ns0:v>273</ns0:v>
      </ns0:c>
      <ns0:c r="O1179" t="n">
        <ns0:v>35693</ns0:v>
      </ns0:c>
      <ns0:c r="P1179" t="n">
        <ns0:v>4</ns0:v>
      </ns0:c>
      <ns0:c r="Q1179">
        <ns0:f>IF(AND(L1179=1,O1179*Calculations!$B$2&lt;=Calculations!$B$10*Calculations!$B$4),1,0)</ns0:f>
        <ns0:v>0</ns0:v>
      </ns0:c>
      <ns0:c r="R1179">
        <ns0:f>IF(AND(L1179=1,O1179*Calculations!$B$2&lt;=Calculations!$B$11*Calculations!$B$4),1,0)</ns0:f>
        <ns0:v>1</ns0:v>
      </ns0:c>
    </ns0:row>
    <ns0:row r="1180">
      <ns0:c r="A1180" t="inlineStr">
        <ns0:is>
          <ns0:t>case_1179</ns0:t>
        </ns0:is>
      </ns0:c>
      <ns0:c r="B1180" t="inlineStr">
        <ns0:is>
          <ns0:t>function_0254</ns0:t>
        </ns0:is>
      </ns0:c>
      <ns0:c r="C1180" t="inlineStr">
        <ns0:is>
          <ns0:t>run_012</ns0:t>
        </ns0:is>
      </ns0:c>
      <ns0:c r="D1180" t="inlineStr">
        <ns0:is>
          <ns0:t>mio</ns0:t>
        </ns0:is>
      </ns0:c>
      <ns0:c r="E1180" t="inlineStr">
        <ns0:is>
          <ns0:t>gemini-2.5-flash-nothinking</ns0:t>
        </ns0:is>
      </ns0:c>
      <ns0:c r="F1180" t="inlineStr"/>
      <ns0:c r="G1180" t="n">
        <ns0:v>0</ns0:v>
      </ns0:c>
      <ns0:c r="H1180" t="n">
        <ns0:v>6805</ns0:v>
      </ns0:c>
      <ns0:c r="I1180" t="n">
        <ns0:v>135</ns0:v>
      </ns0:c>
      <ns0:c r="J1180" t="n">
        <ns0:v>6940</ns0:v>
      </ns0:c>
      <ns0:c r="K1180" t="n">
        <ns0:v>3</ns0:v>
      </ns0:c>
      <ns0:c r="L1180" t="n">
        <ns0:v>1</ns0:v>
      </ns0:c>
      <ns0:c r="M1180" t="n">
        <ns0:v>13185</ns0:v>
      </ns0:c>
      <ns0:c r="N1180" t="n">
        <ns0:v>110</ns0:v>
      </ns0:c>
      <ns0:c r="O1180" t="n">
        <ns0:v>13295</ns0:v>
      </ns0:c>
      <ns0:c r="P1180" t="n">
        <ns0:v>2</ns0:v>
      </ns0:c>
      <ns0:c r="Q1180">
        <ns0:f>IF(AND(L1180=1,O1180*Calculations!$B$2&lt;=Calculations!$B$10*Calculations!$B$4),1,0)</ns0:f>
        <ns0:v>1</ns0:v>
      </ns0:c>
      <ns0:c r="R1180">
        <ns0:f>IF(AND(L1180=1,O1180*Calculations!$B$2&lt;=Calculations!$B$11*Calculations!$B$4),1,0)</ns0:f>
        <ns0:v>1</ns0:v>
      </ns0:c>
    </ns0:row>
    <ns0:row r="1181">
      <ns0:c r="A1181" t="inlineStr">
        <ns0:is>
          <ns0:t>case_1180</ns0:t>
        </ns0:is>
      </ns0:c>
      <ns0:c r="B1181" t="inlineStr">
        <ns0:is>
          <ns0:t>function_0254</ns0:t>
        </ns0:is>
      </ns0:c>
      <ns0:c r="C1181" t="inlineStr">
        <ns0:is>
          <ns0:t>run_012</ns0:t>
        </ns0:is>
      </ns0:c>
      <ns0:c r="D1181" t="inlineStr">
        <ns0:is>
          <ns0:t>mio</ns0:t>
        </ns0:is>
      </ns0:c>
      <ns0:c r="E1181" t="inlineStr">
        <ns0:is>
          <ns0:t>gemini-2.5-flash-nothinking</ns0:t>
        </ns0:is>
      </ns0:c>
      <ns0:c r="F1181" t="inlineStr"/>
      <ns0:c r="G1181" t="n">
        <ns0:v>0</ns0:v>
      </ns0:c>
      <ns0:c r="H1181" t="n">
        <ns0:v>6745</ns0:v>
      </ns0:c>
      <ns0:c r="I1181" t="n">
        <ns0:v>135</ns0:v>
      </ns0:c>
      <ns0:c r="J1181" t="n">
        <ns0:v>6880</ns0:v>
      </ns0:c>
      <ns0:c r="K1181" t="n">
        <ns0:v>3</ns0:v>
      </ns0:c>
      <ns0:c r="L1181" t="n">
        <ns0:v>1</ns0:v>
      </ns0:c>
      <ns0:c r="M1181" t="n">
        <ns0:v>20078</ns0:v>
      </ns0:c>
      <ns0:c r="N1181" t="n">
        <ns0:v>255</ns0:v>
      </ns0:c>
      <ns0:c r="O1181" t="n">
        <ns0:v>20333</ns0:v>
      </ns0:c>
      <ns0:c r="P1181" t="n">
        <ns0:v>3</ns0:v>
      </ns0:c>
      <ns0:c r="Q1181">
        <ns0:f>IF(AND(L1181=1,O1181*Calculations!$B$2&lt;=Calculations!$B$10*Calculations!$B$4),1,0)</ns0:f>
        <ns0:v>1</ns0:v>
      </ns0:c>
      <ns0:c r="R1181">
        <ns0:f>IF(AND(L1181=1,O1181*Calculations!$B$2&lt;=Calculations!$B$11*Calculations!$B$4),1,0)</ns0:f>
        <ns0:v>1</ns0:v>
      </ns0:c>
    </ns0:row>
    <ns0:row r="1182">
      <ns0:c r="A1182" t="inlineStr">
        <ns0:is>
          <ns0:t>case_1181</ns0:t>
        </ns0:is>
      </ns0:c>
      <ns0:c r="B1182" t="inlineStr">
        <ns0:is>
          <ns0:t>function_0254</ns0:t>
        </ns0:is>
      </ns0:c>
      <ns0:c r="C1182" t="inlineStr">
        <ns0:is>
          <ns0:t>run_012</ns0:t>
        </ns0:is>
      </ns0:c>
      <ns0:c r="D1182" t="inlineStr">
        <ns0:is>
          <ns0:t>mio</ns0:t>
        </ns0:is>
      </ns0:c>
      <ns0:c r="E1182" t="inlineStr">
        <ns0:is>
          <ns0:t>gemini-2.5-flash-nothinking</ns0:t>
        </ns0:is>
      </ns0:c>
      <ns0:c r="F1182" t="inlineStr"/>
      <ns0:c r="G1182" t="n">
        <ns0:v>0</ns0:v>
      </ns0:c>
      <ns0:c r="H1182" t="n">
        <ns0:v>2010</ns0:v>
      </ns0:c>
      <ns0:c r="I1182" t="n">
        <ns0:v>163</ns0:v>
      </ns0:c>
      <ns0:c r="J1182" t="n">
        <ns0:v>2173</ns0:v>
      </ns0:c>
      <ns0:c r="K1182" t="n">
        <ns0:v>3</ns0:v>
      </ns0:c>
      <ns0:c r="L1182" t="n">
        <ns0:v>1</ns0:v>
      </ns0:c>
      <ns0:c r="M1182" t="n">
        <ns0:v>20283</ns0:v>
      </ns0:c>
      <ns0:c r="N1182" t="n">
        <ns0:v>443</ns0:v>
      </ns0:c>
      <ns0:c r="O1182" t="n">
        <ns0:v>20726</ns0:v>
      </ns0:c>
      <ns0:c r="P1182" t="n">
        <ns0:v>3</ns0:v>
      </ns0:c>
      <ns0:c r="Q1182">
        <ns0:f>IF(AND(L1182=1,O1182*Calculations!$B$2&lt;=Calculations!$B$10*Calculations!$B$4),1,0)</ns0:f>
        <ns0:v>1</ns0:v>
      </ns0:c>
      <ns0:c r="R1182">
        <ns0:f>IF(AND(L1182=1,O1182*Calculations!$B$2&lt;=Calculations!$B$11*Calculations!$B$4),1,0)</ns0:f>
        <ns0:v>1</ns0:v>
      </ns0:c>
    </ns0:row>
    <ns0:row r="1183">
      <ns0:c r="A1183" t="inlineStr">
        <ns0:is>
          <ns0:t>case_1182</ns0:t>
        </ns0:is>
      </ns0:c>
      <ns0:c r="B1183" t="inlineStr">
        <ns0:is>
          <ns0:t>function_0255</ns0:t>
        </ns0:is>
      </ns0:c>
      <ns0:c r="C1183" t="inlineStr">
        <ns0:is>
          <ns0:t>run_012</ns0:t>
        </ns0:is>
      </ns0:c>
      <ns0:c r="D1183" t="inlineStr">
        <ns0:is>
          <ns0:t>mio</ns0:t>
        </ns0:is>
      </ns0:c>
      <ns0:c r="E1183" t="inlineStr">
        <ns0:is>
          <ns0:t>gemini-2.5-flash-nothinking</ns0:t>
        </ns0:is>
      </ns0:c>
      <ns0:c r="F1183" t="inlineStr">
        <ns0:is>
          <ns0:t>E0433</ns0:t>
        </ns0:is>
      </ns0:c>
      <ns0:c r="G1183" t="n">
        <ns0:v>0</ns0:v>
      </ns0:c>
      <ns0:c r="H1183" t="n">
        <ns0:v>2051</ns0:v>
      </ns0:c>
      <ns0:c r="I1183" t="n">
        <ns0:v>203</ns0:v>
      </ns0:c>
      <ns0:c r="J1183" t="n">
        <ns0:v>2254</ns0:v>
      </ns0:c>
      <ns0:c r="K1183" t="n">
        <ns0:v>3</ns0:v>
      </ns0:c>
      <ns0:c r="L1183" t="n">
        <ns0:v>1</ns0:v>
      </ns0:c>
      <ns0:c r="M1183" t="n">
        <ns0:v>46457</ns0:v>
      </ns0:c>
      <ns0:c r="N1183" t="n">
        <ns0:v>630</ns0:v>
      </ns0:c>
      <ns0:c r="O1183" t="n">
        <ns0:v>47087</ns0:v>
      </ns0:c>
      <ns0:c r="P1183" t="n">
        <ns0:v>5</ns0:v>
      </ns0:c>
      <ns0:c r="Q1183">
        <ns0:f>IF(AND(L1183=1,O1183*Calculations!$B$2&lt;=Calculations!$B$10*Calculations!$B$4),1,0)</ns0:f>
        <ns0:v>0</ns0:v>
      </ns0:c>
      <ns0:c r="R1183">
        <ns0:f>IF(AND(L1183=1,O1183*Calculations!$B$2&lt;=Calculations!$B$11*Calculations!$B$4),1,0)</ns0:f>
        <ns0:v>0</ns0:v>
      </ns0:c>
    </ns0:row>
    <ns0:row r="1184">
      <ns0:c r="A1184" t="inlineStr">
        <ns0:is>
          <ns0:t>case_1183</ns0:t>
        </ns0:is>
      </ns0:c>
      <ns0:c r="B1184" t="inlineStr">
        <ns0:is>
          <ns0:t>function_0255</ns0:t>
        </ns0:is>
      </ns0:c>
      <ns0:c r="C1184" t="inlineStr">
        <ns0:is>
          <ns0:t>run_012</ns0:t>
        </ns0:is>
      </ns0:c>
      <ns0:c r="D1184" t="inlineStr">
        <ns0:is>
          <ns0:t>mio</ns0:t>
        </ns0:is>
      </ns0:c>
      <ns0:c r="E1184" t="inlineStr">
        <ns0:is>
          <ns0:t>gemini-2.5-flash-nothinking</ns0:t>
        </ns0:is>
      </ns0:c>
      <ns0:c r="F1184" t="inlineStr"/>
      <ns0:c r="G1184" t="n">
        <ns0:v>0</ns0:v>
      </ns0:c>
      <ns0:c r="H1184" t="n">
        <ns0:v>2002</ns0:v>
      </ns0:c>
      <ns0:c r="I1184" t="n">
        <ns0:v>197</ns0:v>
      </ns0:c>
      <ns0:c r="J1184" t="n">
        <ns0:v>2199</ns0:v>
      </ns0:c>
      <ns0:c r="K1184" t="n">
        <ns0:v>3</ns0:v>
      </ns0:c>
      <ns0:c r="L1184" t="n">
        <ns0:v>1</ns0:v>
      </ns0:c>
      <ns0:c r="M1184" t="n">
        <ns0:v>20467</ns0:v>
      </ns0:c>
      <ns0:c r="N1184" t="n">
        <ns0:v>268</ns0:v>
      </ns0:c>
      <ns0:c r="O1184" t="n">
        <ns0:v>20735</ns0:v>
      </ns0:c>
      <ns0:c r="P1184" t="n">
        <ns0:v>3</ns0:v>
      </ns0:c>
      <ns0:c r="Q1184">
        <ns0:f>IF(AND(L1184=1,O1184*Calculations!$B$2&lt;=Calculations!$B$10*Calculations!$B$4),1,0)</ns0:f>
        <ns0:v>1</ns0:v>
      </ns0:c>
      <ns0:c r="R1184">
        <ns0:f>IF(AND(L1184=1,O1184*Calculations!$B$2&lt;=Calculations!$B$11*Calculations!$B$4),1,0)</ns0:f>
        <ns0:v>1</ns0:v>
      </ns0:c>
    </ns0:row>
    <ns0:row r="1185">
      <ns0:c r="A1185" t="inlineStr">
        <ns0:is>
          <ns0:t>case_1184</ns0:t>
        </ns0:is>
      </ns0:c>
      <ns0:c r="B1185" t="inlineStr">
        <ns0:is>
          <ns0:t>function_0255</ns0:t>
        </ns0:is>
      </ns0:c>
      <ns0:c r="C1185" t="inlineStr">
        <ns0:is>
          <ns0:t>run_012</ns0:t>
        </ns0:is>
      </ns0:c>
      <ns0:c r="D1185" t="inlineStr">
        <ns0:is>
          <ns0:t>mio</ns0:t>
        </ns0:is>
      </ns0:c>
      <ns0:c r="E1185" t="inlineStr">
        <ns0:is>
          <ns0:t>gemini-2.5-flash-nothinking</ns0:t>
        </ns0:is>
      </ns0:c>
      <ns0:c r="F1185" t="inlineStr">
        <ns0:is>
          <ns0:t>E0433</ns0:t>
        </ns0:is>
      </ns0:c>
      <ns0:c r="G1185" t="n">
        <ns0:v>0</ns0:v>
      </ns0:c>
      <ns0:c r="H1185" t="n">
        <ns0:v>2223</ns0:v>
      </ns0:c>
      <ns0:c r="I1185" t="n">
        <ns0:v>195</ns0:v>
      </ns0:c>
      <ns0:c r="J1185" t="n">
        <ns0:v>2418</ns0:v>
      </ns0:c>
      <ns0:c r="K1185" t="n">
        <ns0:v>3</ns0:v>
      </ns0:c>
      <ns0:c r="L1185" t="n">
        <ns0:v>1</ns0:v>
      </ns0:c>
      <ns0:c r="M1185" t="n">
        <ns0:v>52215</ns0:v>
      </ns0:c>
      <ns0:c r="N1185" t="n">
        <ns0:v>506</ns0:v>
      </ns0:c>
      <ns0:c r="O1185" t="n">
        <ns0:v>52721</ns0:v>
      </ns0:c>
      <ns0:c r="P1185" t="n">
        <ns0:v>7</ns0:v>
      </ns0:c>
      <ns0:c r="Q1185">
        <ns0:f>IF(AND(L1185=1,O1185*Calculations!$B$2&lt;=Calculations!$B$10*Calculations!$B$4),1,0)</ns0:f>
        <ns0:v>0</ns0:v>
      </ns0:c>
      <ns0:c r="R1185">
        <ns0:f>IF(AND(L1185=1,O1185*Calculations!$B$2&lt;=Calculations!$B$11*Calculations!$B$4),1,0)</ns0:f>
        <ns0:v>0</ns0:v>
      </ns0:c>
    </ns0:row>
    <ns0:row r="1186">
      <ns0:c r="A1186" t="inlineStr">
        <ns0:is>
          <ns0:t>case_1185</ns0:t>
        </ns0:is>
      </ns0:c>
      <ns0:c r="B1186" t="inlineStr">
        <ns0:is>
          <ns0:t>function_0256</ns0:t>
        </ns0:is>
      </ns0:c>
      <ns0:c r="C1186" t="inlineStr">
        <ns0:is>
          <ns0:t>run_012</ns0:t>
        </ns0:is>
      </ns0:c>
      <ns0:c r="D1186" t="inlineStr">
        <ns0:is>
          <ns0:t>mio</ns0:t>
        </ns0:is>
      </ns0:c>
      <ns0:c r="E1186" t="inlineStr">
        <ns0:is>
          <ns0:t>gemini-2.5-flash-nothinking</ns0:t>
        </ns0:is>
      </ns0:c>
      <ns0:c r="F1186" t="inlineStr">
        <ns0:is>
          <ns0:t>E0433</ns0:t>
        </ns0:is>
      </ns0:c>
      <ns0:c r="G1186" t="n">
        <ns0:v>1</ns0:v>
      </ns0:c>
      <ns0:c r="H1186" t="n">
        <ns0:v>2673</ns0:v>
      </ns0:c>
      <ns0:c r="I1186" t="n">
        <ns0:v>135</ns0:v>
      </ns0:c>
      <ns0:c r="J1186" t="n">
        <ns0:v>2808</ns0:v>
      </ns0:c>
      <ns0:c r="K1186" t="n">
        <ns0:v>1</ns0:v>
      </ns0:c>
      <ns0:c r="L1186" t="n">
        <ns0:v>1</ns0:v>
      </ns0:c>
      <ns0:c r="M1186" t="n">
        <ns0:v>45018</ns0:v>
      </ns0:c>
      <ns0:c r="N1186" t="n">
        <ns0:v>568</ns0:v>
      </ns0:c>
      <ns0:c r="O1186" t="n">
        <ns0:v>45586</ns0:v>
      </ns0:c>
      <ns0:c r="P1186" t="n">
        <ns0:v>6</ns0:v>
      </ns0:c>
      <ns0:c r="Q1186">
        <ns0:f>IF(AND(L1186=1,O1186*Calculations!$B$2&lt;=Calculations!$B$10*Calculations!$B$4),1,0)</ns0:f>
        <ns0:v>0</ns0:v>
      </ns0:c>
      <ns0:c r="R1186">
        <ns0:f>IF(AND(L1186=1,O1186*Calculations!$B$2&lt;=Calculations!$B$11*Calculations!$B$4),1,0)</ns0:f>
        <ns0:v>1</ns0:v>
      </ns0:c>
    </ns0:row>
    <ns0:row r="1187">
      <ns0:c r="A1187" t="inlineStr">
        <ns0:is>
          <ns0:t>case_1186</ns0:t>
        </ns0:is>
      </ns0:c>
      <ns0:c r="B1187" t="inlineStr">
        <ns0:is>
          <ns0:t>function_0256</ns0:t>
        </ns0:is>
      </ns0:c>
      <ns0:c r="C1187" t="inlineStr">
        <ns0:is>
          <ns0:t>run_012</ns0:t>
        </ns0:is>
      </ns0:c>
      <ns0:c r="D1187" t="inlineStr">
        <ns0:is>
          <ns0:t>mio</ns0:t>
        </ns0:is>
      </ns0:c>
      <ns0:c r="E1187" t="inlineStr">
        <ns0:is>
          <ns0:t>gemini-2.5-flash-nothinking</ns0:t>
        </ns0:is>
      </ns0:c>
      <ns0:c r="F1187" t="inlineStr">
        <ns0:is>
          <ns0:t>E0599</ns0:t>
        </ns0:is>
      </ns0:c>
      <ns0:c r="G1187" t="n">
        <ns0:v>0</ns0:v>
      </ns0:c>
      <ns0:c r="H1187" t="n">
        <ns0:v>7416</ns0:v>
      </ns0:c>
      <ns0:c r="I1187" t="n">
        <ns0:v>707</ns0:v>
      </ns0:c>
      <ns0:c r="J1187" t="n">
        <ns0:v>8123</ns0:v>
      </ns0:c>
      <ns0:c r="K1187" t="n">
        <ns0:v>3</ns0:v>
      </ns0:c>
      <ns0:c r="L1187" t="n">
        <ns0:v>0</ns0:v>
      </ns0:c>
      <ns0:c r="M1187" t="n">
        <ns0:v>66363</ns0:v>
      </ns0:c>
      <ns0:c r="N1187" t="n">
        <ns0:v>547</ns0:v>
      </ns0:c>
      <ns0:c r="O1187" t="n">
        <ns0:v>66910</ns0:v>
      </ns0:c>
      <ns0:c r="P1187" t="n">
        <ns0:v>9</ns0:v>
      </ns0:c>
      <ns0:c r="Q1187">
        <ns0:f>IF(AND(L1187=1,O1187*Calculations!$B$2&lt;=Calculations!$B$10*Calculations!$B$4),1,0)</ns0:f>
        <ns0:v>0</ns0:v>
      </ns0:c>
      <ns0:c r="R1187">
        <ns0:f>IF(AND(L1187=1,O1187*Calculations!$B$2&lt;=Calculations!$B$11*Calculations!$B$4),1,0)</ns0:f>
        <ns0:v>0</ns0:v>
      </ns0:c>
    </ns0:row>
    <ns0:row r="1188">
      <ns0:c r="A1188" t="inlineStr">
        <ns0:is>
          <ns0:t>case_1187</ns0:t>
        </ns0:is>
      </ns0:c>
      <ns0:c r="B1188" t="inlineStr">
        <ns0:is>
          <ns0:t>function_0256</ns0:t>
        </ns0:is>
      </ns0:c>
      <ns0:c r="C1188" t="inlineStr">
        <ns0:is>
          <ns0:t>run_012</ns0:t>
        </ns0:is>
      </ns0:c>
      <ns0:c r="D1188" t="inlineStr">
        <ns0:is>
          <ns0:t>mio</ns0:t>
        </ns0:is>
      </ns0:c>
      <ns0:c r="E1188" t="inlineStr">
        <ns0:is>
          <ns0:t>gemini-2.5-flash-nothinking</ns0:t>
        </ns0:is>
      </ns0:c>
      <ns0:c r="F1188" t="inlineStr">
        <ns0:is>
          <ns0:t>E0599</ns0:t>
        </ns0:is>
      </ns0:c>
      <ns0:c r="G1188" t="n">
        <ns0:v>0</ns0:v>
      </ns0:c>
      <ns0:c r="H1188" t="n">
        <ns0:v>11069</ns0:v>
      </ns0:c>
      <ns0:c r="I1188" t="n">
        <ns0:v>627</ns0:v>
      </ns0:c>
      <ns0:c r="J1188" t="n">
        <ns0:v>11696</ns0:v>
      </ns0:c>
      <ns0:c r="K1188" t="n">
        <ns0:v>5</ns0:v>
      </ns0:c>
      <ns0:c r="L1188" t="n">
        <ns0:v>0</ns0:v>
      </ns0:c>
      <ns0:c r="M1188" t="n">
        <ns0:v>38679</ns0:v>
      </ns0:c>
      <ns0:c r="N1188" t="n">
        <ns0:v>960</ns0:v>
      </ns0:c>
      <ns0:c r="O1188" t="n">
        <ns0:v>39639</ns0:v>
      </ns0:c>
      <ns0:c r="P1188" t="n">
        <ns0:v>4</ns0:v>
      </ns0:c>
      <ns0:c r="Q1188">
        <ns0:f>IF(AND(L1188=1,O1188*Calculations!$B$2&lt;=Calculations!$B$10*Calculations!$B$4),1,0)</ns0:f>
        <ns0:v>0</ns0:v>
      </ns0:c>
      <ns0:c r="R1188">
        <ns0:f>IF(AND(L1188=1,O1188*Calculations!$B$2&lt;=Calculations!$B$11*Calculations!$B$4),1,0)</ns0:f>
        <ns0:v>0</ns0:v>
      </ns0:c>
    </ns0:row>
    <ns0:row r="1189">
      <ns0:c r="A1189" t="inlineStr">
        <ns0:is>
          <ns0:t>case_1188</ns0:t>
        </ns0:is>
      </ns0:c>
      <ns0:c r="B1189" t="inlineStr">
        <ns0:is>
          <ns0:t>function_0256</ns0:t>
        </ns0:is>
      </ns0:c>
      <ns0:c r="C1189" t="inlineStr">
        <ns0:is>
          <ns0:t>run_012</ns0:t>
        </ns0:is>
      </ns0:c>
      <ns0:c r="D1189" t="inlineStr">
        <ns0:is>
          <ns0:t>mio</ns0:t>
        </ns0:is>
      </ns0:c>
      <ns0:c r="E1189" t="inlineStr">
        <ns0:is>
          <ns0:t>gemini-2.5-flash-nothinking</ns0:t>
        </ns0:is>
      </ns0:c>
      <ns0:c r="F1189" t="inlineStr">
        <ns0:is>
          <ns0:t>E0599</ns0:t>
        </ns0:is>
      </ns0:c>
      <ns0:c r="G1189" t="n">
        <ns0:v>1</ns0:v>
      </ns0:c>
      <ns0:c r="H1189" t="n">
        <ns0:v>4076</ns0:v>
      </ns0:c>
      <ns0:c r="I1189" t="n">
        <ns0:v>165</ns0:v>
      </ns0:c>
      <ns0:c r="J1189" t="n">
        <ns0:v>4241</ns0:v>
      </ns0:c>
      <ns0:c r="K1189" t="n">
        <ns0:v>2</ns0:v>
      </ns0:c>
      <ns0:c r="L1189" t="n">
        <ns0:v>0</ns0:v>
      </ns0:c>
      <ns0:c r="M1189" t="n">
        <ns0:v>96322</ns0:v>
      </ns0:c>
      <ns0:c r="N1189" t="n">
        <ns0:v>1401</ns0:v>
      </ns0:c>
      <ns0:c r="O1189" t="n">
        <ns0:v>97723</ns0:v>
      </ns0:c>
      <ns0:c r="P1189" t="n">
        <ns0:v>10</ns0:v>
      </ns0:c>
      <ns0:c r="Q1189">
        <ns0:f>IF(AND(L1189=1,O1189*Calculations!$B$2&lt;=Calculations!$B$10*Calculations!$B$4),1,0)</ns0:f>
        <ns0:v>0</ns0:v>
      </ns0:c>
      <ns0:c r="R1189">
        <ns0:f>IF(AND(L1189=1,O1189*Calculations!$B$2&lt;=Calculations!$B$11*Calculations!$B$4),1,0)</ns0:f>
        <ns0:v>0</ns0:v>
      </ns0:c>
    </ns0:row>
    <ns0:row r="1190">
      <ns0:c r="A1190" t="inlineStr">
        <ns0:is>
          <ns0:t>case_1189</ns0:t>
        </ns0:is>
      </ns0:c>
      <ns0:c r="B1190" t="inlineStr">
        <ns0:is>
          <ns0:t>function_0257</ns0:t>
        </ns0:is>
      </ns0:c>
      <ns0:c r="C1190" t="inlineStr">
        <ns0:is>
          <ns0:t>run_012</ns0:t>
        </ns0:is>
      </ns0:c>
      <ns0:c r="D1190" t="inlineStr">
        <ns0:is>
          <ns0:t>mio</ns0:t>
        </ns0:is>
      </ns0:c>
      <ns0:c r="E1190" t="inlineStr">
        <ns0:is>
          <ns0:t>gemini-2.5-flash-nothinking</ns0:t>
        </ns0:is>
      </ns0:c>
      <ns0:c r="F1190" t="inlineStr">
        <ns0:is>
          <ns0:t>E0599</ns0:t>
        </ns0:is>
      </ns0:c>
      <ns0:c r="G1190" t="n">
        <ns0:v>1</ns0:v>
      </ns0:c>
      <ns0:c r="H1190" t="n">
        <ns0:v>4459</ns0:v>
      </ns0:c>
      <ns0:c r="I1190" t="n">
        <ns0:v>205</ns0:v>
      </ns0:c>
      <ns0:c r="J1190" t="n">
        <ns0:v>4664</ns0:v>
      </ns0:c>
      <ns0:c r="K1190" t="n">
        <ns0:v>2</ns0:v>
      </ns0:c>
      <ns0:c r="L1190" t="n">
        <ns0:v>1</ns0:v>
      </ns0:c>
      <ns0:c r="M1190" t="n">
        <ns0:v>37642</ns0:v>
      </ns0:c>
      <ns0:c r="N1190" t="n">
        <ns0:v>857</ns0:v>
      </ns0:c>
      <ns0:c r="O1190" t="n">
        <ns0:v>38499</ns0:v>
      </ns0:c>
      <ns0:c r="P1190" t="n">
        <ns0:v>4</ns0:v>
      </ns0:c>
      <ns0:c r="Q1190">
        <ns0:f>IF(AND(L1190=1,O1190*Calculations!$B$2&lt;=Calculations!$B$10*Calculations!$B$4),1,0)</ns0:f>
        <ns0:v>0</ns0:v>
      </ns0:c>
      <ns0:c r="R1190">
        <ns0:f>IF(AND(L1190=1,O1190*Calculations!$B$2&lt;=Calculations!$B$11*Calculations!$B$4),1,0)</ns0:f>
        <ns0:v>1</ns0:v>
      </ns0:c>
    </ns0:row>
    <ns0:row r="1191">
      <ns0:c r="A1191" t="inlineStr">
        <ns0:is>
          <ns0:t>case_1190</ns0:t>
        </ns0:is>
      </ns0:c>
      <ns0:c r="B1191" t="inlineStr">
        <ns0:is>
          <ns0:t>function_0257</ns0:t>
        </ns0:is>
      </ns0:c>
      <ns0:c r="C1191" t="inlineStr">
        <ns0:is>
          <ns0:t>run_012</ns0:t>
        </ns0:is>
      </ns0:c>
      <ns0:c r="D1191" t="inlineStr">
        <ns0:is>
          <ns0:t>mio</ns0:t>
        </ns0:is>
      </ns0:c>
      <ns0:c r="E1191" t="inlineStr">
        <ns0:is>
          <ns0:t>gemini-2.5-flash-nothinking</ns0:t>
        </ns0:is>
      </ns0:c>
      <ns0:c r="F1191" t="inlineStr">
        <ns0:is>
          <ns0:t>E0599</ns0:t>
        </ns0:is>
      </ns0:c>
      <ns0:c r="G1191" t="n">
        <ns0:v>0</ns0:v>
      </ns0:c>
      <ns0:c r="H1191" t="n">
        <ns0:v>2178</ns0:v>
      </ns0:c>
      <ns0:c r="I1191" t="n">
        <ns0:v>168</ns0:v>
      </ns0:c>
      <ns0:c r="J1191" t="n">
        <ns0:v>2346</ns0:v>
      </ns0:c>
      <ns0:c r="K1191" t="n">
        <ns0:v>3</ns0:v>
      </ns0:c>
      <ns0:c r="L1191" t="n">
        <ns0:v>1</ns0:v>
      </ns0:c>
      <ns0:c r="M1191" t="n">
        <ns0:v>75512</ns0:v>
      </ns0:c>
      <ns0:c r="N1191" t="n">
        <ns0:v>1241</ns0:v>
      </ns0:c>
      <ns0:c r="O1191" t="n">
        <ns0:v>76753</ns0:v>
      </ns0:c>
      <ns0:c r="P1191" t="n">
        <ns0:v>8</ns0:v>
      </ns0:c>
      <ns0:c r="Q1191">
        <ns0:f>IF(AND(L1191=1,O1191*Calculations!$B$2&lt;=Calculations!$B$10*Calculations!$B$4),1,0)</ns0:f>
        <ns0:v>0</ns0:v>
      </ns0:c>
      <ns0:c r="R1191">
        <ns0:f>IF(AND(L1191=1,O1191*Calculations!$B$2&lt;=Calculations!$B$11*Calculations!$B$4),1,0)</ns0:f>
        <ns0:v>0</ns0:v>
      </ns0:c>
    </ns0:row>
    <ns0:row r="1192">
      <ns0:c r="A1192" t="inlineStr">
        <ns0:is>
          <ns0:t>case_1191</ns0:t>
        </ns0:is>
      </ns0:c>
      <ns0:c r="B1192" t="inlineStr">
        <ns0:is>
          <ns0:t>function_0257</ns0:t>
        </ns0:is>
      </ns0:c>
      <ns0:c r="C1192" t="inlineStr">
        <ns0:is>
          <ns0:t>run_012</ns0:t>
        </ns0:is>
      </ns0:c>
      <ns0:c r="D1192" t="inlineStr">
        <ns0:is>
          <ns0:t>mio</ns0:t>
        </ns0:is>
      </ns0:c>
      <ns0:c r="E1192" t="inlineStr">
        <ns0:is>
          <ns0:t>gemini-2.5-flash-nothinking</ns0:t>
        </ns0:is>
      </ns0:c>
      <ns0:c r="F1192" t="inlineStr">
        <ns0:is>
          <ns0:t>E0433,E0599</ns0:t>
        </ns0:is>
      </ns0:c>
      <ns0:c r="G1192" t="n">
        <ns0:v>0</ns0:v>
      </ns0:c>
      <ns0:c r="H1192" t="n">
        <ns0:v>6894</ns0:v>
      </ns0:c>
      <ns0:c r="I1192" t="n">
        <ns0:v>279</ns0:v>
      </ns0:c>
      <ns0:c r="J1192" t="n">
        <ns0:v>7173</ns0:v>
      </ns0:c>
      <ns0:c r="K1192" t="n">
        <ns0:v>3</ns0:v>
      </ns0:c>
      <ns0:c r="L1192" t="n">
        <ns0:v>1</ns0:v>
      </ns0:c>
      <ns0:c r="M1192" t="n">
        <ns0:v>87234</ns0:v>
      </ns0:c>
      <ns0:c r="N1192" t="n">
        <ns0:v>1268</ns0:v>
      </ns0:c>
      <ns0:c r="O1192" t="n">
        <ns0:v>88502</ns0:v>
      </ns0:c>
      <ns0:c r="P1192" t="n">
        <ns0:v>9</ns0:v>
      </ns0:c>
      <ns0:c r="Q1192">
        <ns0:f>IF(AND(L1192=1,O1192*Calculations!$B$2&lt;=Calculations!$B$10*Calculations!$B$4),1,0)</ns0:f>
        <ns0:v>0</ns0:v>
      </ns0:c>
      <ns0:c r="R1192">
        <ns0:f>IF(AND(L1192=1,O1192*Calculations!$B$2&lt;=Calculations!$B$11*Calculations!$B$4),1,0)</ns0:f>
        <ns0:v>0</ns0:v>
      </ns0:c>
    </ns0:row>
    <ns0:row r="1193">
      <ns0:c r="A1193" t="inlineStr">
        <ns0:is>
          <ns0:t>case_1192</ns0:t>
        </ns0:is>
      </ns0:c>
      <ns0:c r="B1193" t="inlineStr">
        <ns0:is>
          <ns0:t>function_0257</ns0:t>
        </ns0:is>
      </ns0:c>
      <ns0:c r="C1193" t="inlineStr">
        <ns0:is>
          <ns0:t>run_012</ns0:t>
        </ns0:is>
      </ns0:c>
      <ns0:c r="D1193" t="inlineStr">
        <ns0:is>
          <ns0:t>mio</ns0:t>
        </ns0:is>
      </ns0:c>
      <ns0:c r="E1193" t="inlineStr">
        <ns0:is>
          <ns0:t>gemini-2.5-flash-nothinking</ns0:t>
        </ns0:is>
      </ns0:c>
      <ns0:c r="F1193" t="inlineStr">
        <ns0:is>
          <ns0:t>E0599</ns0:t>
        </ns0:is>
      </ns0:c>
      <ns0:c r="G1193" t="n">
        <ns0:v>0</ns0:v>
      </ns0:c>
      <ns0:c r="H1193" t="n">
        <ns0:v>6893</ns0:v>
      </ns0:c>
      <ns0:c r="I1193" t="n">
        <ns0:v>354</ns0:v>
      </ns0:c>
      <ns0:c r="J1193" t="n">
        <ns0:v>7247</ns0:v>
      </ns0:c>
      <ns0:c r="K1193" t="n">
        <ns0:v>3</ns0:v>
      </ns0:c>
      <ns0:c r="L1193" t="n">
        <ns0:v>0</ns0:v>
      </ns0:c>
      <ns0:c r="M1193" t="n">
        <ns0:v>34424</ns0:v>
      </ns0:c>
      <ns0:c r="N1193" t="n">
        <ns0:v>582</ns0:v>
      </ns0:c>
      <ns0:c r="O1193" t="n">
        <ns0:v>35006</ns0:v>
      </ns0:c>
      <ns0:c r="P1193" t="n">
        <ns0:v>4</ns0:v>
      </ns0:c>
      <ns0:c r="Q1193">
        <ns0:f>IF(AND(L1193=1,O1193*Calculations!$B$2&lt;=Calculations!$B$10*Calculations!$B$4),1,0)</ns0:f>
        <ns0:v>0</ns0:v>
      </ns0:c>
      <ns0:c r="R1193">
        <ns0:f>IF(AND(L1193=1,O1193*Calculations!$B$2&lt;=Calculations!$B$11*Calculations!$B$4),1,0)</ns0:f>
        <ns0:v>0</ns0:v>
      </ns0:c>
    </ns0:row>
    <ns0:row r="1194">
      <ns0:c r="A1194" t="inlineStr">
        <ns0:is>
          <ns0:t>case_1193</ns0:t>
        </ns0:is>
      </ns0:c>
      <ns0:c r="B1194" t="inlineStr">
        <ns0:is>
          <ns0:t>function_0258</ns0:t>
        </ns0:is>
      </ns0:c>
      <ns0:c r="C1194" t="inlineStr">
        <ns0:is>
          <ns0:t>run_012</ns0:t>
        </ns0:is>
      </ns0:c>
      <ns0:c r="D1194" t="inlineStr">
        <ns0:is>
          <ns0:t>mio</ns0:t>
        </ns0:is>
      </ns0:c>
      <ns0:c r="E1194" t="inlineStr">
        <ns0:is>
          <ns0:t>gemini-2.5-flash-nothinking</ns0:t>
        </ns0:is>
      </ns0:c>
      <ns0:c r="F1194" t="inlineStr">
        <ns0:is>
          <ns0:t>E0433</ns0:t>
        </ns0:is>
      </ns0:c>
      <ns0:c r="G1194" t="n">
        <ns0:v>0</ns0:v>
      </ns0:c>
      <ns0:c r="H1194" t="n">
        <ns0:v>2334</ns0:v>
      </ns0:c>
      <ns0:c r="I1194" t="n">
        <ns0:v>474</ns0:v>
      </ns0:c>
      <ns0:c r="J1194" t="n">
        <ns0:v>2808</ns0:v>
      </ns0:c>
      <ns0:c r="K1194" t="n">
        <ns0:v>3</ns0:v>
      </ns0:c>
      <ns0:c r="L1194" t="n">
        <ns0:v>1</ns0:v>
      </ns0:c>
      <ns0:c r="M1194" t="n">
        <ns0:v>33851</ns0:v>
      </ns0:c>
      <ns0:c r="N1194" t="n">
        <ns0:v>628</ns0:v>
      </ns0:c>
      <ns0:c r="O1194" t="n">
        <ns0:v>34479</ns0:v>
      </ns0:c>
      <ns0:c r="P1194" t="n">
        <ns0:v>4</ns0:v>
      </ns0:c>
      <ns0:c r="Q1194">
        <ns0:f>IF(AND(L1194=1,O1194*Calculations!$B$2&lt;=Calculations!$B$10*Calculations!$B$4),1,0)</ns0:f>
        <ns0:v>0</ns0:v>
      </ns0:c>
      <ns0:c r="R1194">
        <ns0:f>IF(AND(L1194=1,O1194*Calculations!$B$2&lt;=Calculations!$B$11*Calculations!$B$4),1,0)</ns0:f>
        <ns0:v>1</ns0:v>
      </ns0:c>
    </ns0:row>
    <ns0:row r="1195">
      <ns0:c r="A1195" t="inlineStr">
        <ns0:is>
          <ns0:t>case_1194</ns0:t>
        </ns0:is>
      </ns0:c>
      <ns0:c r="B1195" t="inlineStr">
        <ns0:is>
          <ns0:t>function_0258</ns0:t>
        </ns0:is>
      </ns0:c>
      <ns0:c r="C1195" t="inlineStr">
        <ns0:is>
          <ns0:t>run_012</ns0:t>
        </ns0:is>
      </ns0:c>
      <ns0:c r="D1195" t="inlineStr">
        <ns0:is>
          <ns0:t>mio</ns0:t>
        </ns0:is>
      </ns0:c>
      <ns0:c r="E1195" t="inlineStr">
        <ns0:is>
          <ns0:t>gemini-2.5-flash-nothinking</ns0:t>
        </ns0:is>
      </ns0:c>
      <ns0:c r="F1195" t="inlineStr"/>
      <ns0:c r="G1195" t="n">
        <ns0:v>0</ns0:v>
      </ns0:c>
      <ns0:c r="H1195" t="n">
        <ns0:v>2279</ns0:v>
      </ns0:c>
      <ns0:c r="I1195" t="n">
        <ns0:v>442</ns0:v>
      </ns0:c>
      <ns0:c r="J1195" t="n">
        <ns0:v>2721</ns0:v>
      </ns0:c>
      <ns0:c r="K1195" t="n">
        <ns0:v>3</ns0:v>
      </ns0:c>
      <ns0:c r="L1195" t="n">
        <ns0:v>1</ns0:v>
      </ns0:c>
      <ns0:c r="M1195" t="n">
        <ns0:v>20317</ns0:v>
      </ns0:c>
      <ns0:c r="N1195" t="n">
        <ns0:v>268</ns0:v>
      </ns0:c>
      <ns0:c r="O1195" t="n">
        <ns0:v>20585</ns0:v>
      </ns0:c>
      <ns0:c r="P1195" t="n">
        <ns0:v>3</ns0:v>
      </ns0:c>
      <ns0:c r="Q1195">
        <ns0:f>IF(AND(L1195=1,O1195*Calculations!$B$2&lt;=Calculations!$B$10*Calculations!$B$4),1,0)</ns0:f>
        <ns0:v>1</ns0:v>
      </ns0:c>
      <ns0:c r="R1195">
        <ns0:f>IF(AND(L1195=1,O1195*Calculations!$B$2&lt;=Calculations!$B$11*Calculations!$B$4),1,0)</ns0:f>
        <ns0:v>1</ns0:v>
      </ns0:c>
    </ns0:row>
    <ns0:row r="1196">
      <ns0:c r="A1196" t="inlineStr">
        <ns0:is>
          <ns0:t>case_1195</ns0:t>
        </ns0:is>
      </ns0:c>
      <ns0:c r="B1196" t="inlineStr">
        <ns0:is>
          <ns0:t>function_0258</ns0:t>
        </ns0:is>
      </ns0:c>
      <ns0:c r="C1196" t="inlineStr">
        <ns0:is>
          <ns0:t>run_012</ns0:t>
        </ns0:is>
      </ns0:c>
      <ns0:c r="D1196" t="inlineStr">
        <ns0:is>
          <ns0:t>mio</ns0:t>
        </ns0:is>
      </ns0:c>
      <ns0:c r="E1196" t="inlineStr">
        <ns0:is>
          <ns0:t>gemini-2.5-flash-nothinking</ns0:t>
        </ns0:is>
      </ns0:c>
      <ns0:c r="F1196" t="inlineStr">
        <ns0:is>
          <ns0:t>E0433</ns0:t>
        </ns0:is>
      </ns0:c>
      <ns0:c r="G1196" t="n">
        <ns0:v>0</ns0:v>
      </ns0:c>
      <ns0:c r="H1196" t="n">
        <ns0:v>1901</ns0:v>
      </ns0:c>
      <ns0:c r="I1196" t="n">
        <ns0:v>193</ns0:v>
      </ns0:c>
      <ns0:c r="J1196" t="n">
        <ns0:v>2094</ns0:v>
      </ns0:c>
      <ns0:c r="K1196" t="n">
        <ns0:v>3</ns0:v>
      </ns0:c>
      <ns0:c r="L1196" t="n">
        <ns0:v>1</ns0:v>
      </ns0:c>
      <ns0:c r="M1196" t="n">
        <ns0:v>60276</ns0:v>
      </ns0:c>
      <ns0:c r="N1196" t="n">
        <ns0:v>469</ns0:v>
      </ns0:c>
      <ns0:c r="O1196" t="n">
        <ns0:v>60745</ns0:v>
      </ns0:c>
      <ns0:c r="P1196" t="n">
        <ns0:v>8</ns0:v>
      </ns0:c>
      <ns0:c r="Q1196">
        <ns0:f>IF(AND(L1196=1,O1196*Calculations!$B$2&lt;=Calculations!$B$10*Calculations!$B$4),1,0)</ns0:f>
        <ns0:v>0</ns0:v>
      </ns0:c>
      <ns0:c r="R1196">
        <ns0:f>IF(AND(L1196=1,O1196*Calculations!$B$2&lt;=Calculations!$B$11*Calculations!$B$4),1,0)</ns0:f>
        <ns0:v>0</ns0:v>
      </ns0:c>
    </ns0:row>
    <ns0:row r="1197">
      <ns0:c r="A1197" t="inlineStr">
        <ns0:is>
          <ns0:t>case_1196</ns0:t>
        </ns0:is>
      </ns0:c>
      <ns0:c r="B1197" t="inlineStr">
        <ns0:is>
          <ns0:t>function_0258</ns0:t>
        </ns0:is>
      </ns0:c>
      <ns0:c r="C1197" t="inlineStr">
        <ns0:is>
          <ns0:t>run_012</ns0:t>
        </ns0:is>
      </ns0:c>
      <ns0:c r="D1197" t="inlineStr">
        <ns0:is>
          <ns0:t>mio</ns0:t>
        </ns0:is>
      </ns0:c>
      <ns0:c r="E1197" t="inlineStr">
        <ns0:is>
          <ns0:t>gemini-2.5-flash-nothinking</ns0:t>
        </ns0:is>
      </ns0:c>
      <ns0:c r="F1197" t="inlineStr">
        <ns0:is>
          <ns0:t>E0599</ns0:t>
        </ns0:is>
      </ns0:c>
      <ns0:c r="G1197" t="n">
        <ns0:v>0</ns0:v>
      </ns0:c>
      <ns0:c r="H1197" t="n">
        <ns0:v>7904</ns0:v>
      </ns0:c>
      <ns0:c r="I1197" t="n">
        <ns0:v>635</ns0:v>
      </ns0:c>
      <ns0:c r="J1197" t="n">
        <ns0:v>8539</ns0:v>
      </ns0:c>
      <ns0:c r="K1197" t="n">
        <ns0:v>3</ns0:v>
      </ns0:c>
      <ns0:c r="L1197" t="n">
        <ns0:v>1</ns0:v>
      </ns0:c>
      <ns0:c r="M1197" t="n">
        <ns0:v>28018</ns0:v>
      </ns0:c>
      <ns0:c r="N1197" t="n">
        <ns0:v>650</ns0:v>
      </ns0:c>
      <ns0:c r="O1197" t="n">
        <ns0:v>28668</ns0:v>
      </ns0:c>
      <ns0:c r="P1197" t="n">
        <ns0:v>4</ns0:v>
      </ns0:c>
      <ns0:c r="Q1197">
        <ns0:f>IF(AND(L1197=1,O1197*Calculations!$B$2&lt;=Calculations!$B$10*Calculations!$B$4),1,0)</ns0:f>
        <ns0:v>0</ns0:v>
      </ns0:c>
      <ns0:c r="R1197">
        <ns0:f>IF(AND(L1197=1,O1197*Calculations!$B$2&lt;=Calculations!$B$11*Calculations!$B$4),1,0)</ns0:f>
        <ns0:v>1</ns0:v>
      </ns0:c>
    </ns0:row>
    <ns0:row r="1198">
      <ns0:c r="A1198" t="inlineStr">
        <ns0:is>
          <ns0:t>case_1197</ns0:t>
        </ns0:is>
      </ns0:c>
      <ns0:c r="B1198" t="inlineStr">
        <ns0:is>
          <ns0:t>function_0259</ns0:t>
        </ns0:is>
      </ns0:c>
      <ns0:c r="C1198" t="inlineStr">
        <ns0:is>
          <ns0:t>run_012</ns0:t>
        </ns0:is>
      </ns0:c>
      <ns0:c r="D1198" t="inlineStr">
        <ns0:is>
          <ns0:t>mio</ns0:t>
        </ns0:is>
      </ns0:c>
      <ns0:c r="E1198" t="inlineStr">
        <ns0:is>
          <ns0:t>gemini-2.5-flash-nothinking</ns0:t>
        </ns0:is>
      </ns0:c>
      <ns0:c r="F1198" t="inlineStr">
        <ns0:is>
          <ns0:t>E0432,E0599</ns0:t>
        </ns0:is>
      </ns0:c>
      <ns0:c r="G1198" t="n">
        <ns0:v>0</ns0:v>
      </ns0:c>
      <ns0:c r="H1198" t="n">
        <ns0:v>5608</ns0:v>
      </ns0:c>
      <ns0:c r="I1198" t="n">
        <ns0:v>279</ns0:v>
      </ns0:c>
      <ns0:c r="J1198" t="n">
        <ns0:v>5887</ns0:v>
      </ns0:c>
      <ns0:c r="K1198" t="n">
        <ns0:v>3</ns0:v>
      </ns0:c>
      <ns0:c r="L1198" t="n">
        <ns0:v>0</ns0:v>
      </ns0:c>
      <ns0:c r="M1198" t="n">
        <ns0:v>177741</ns0:v>
      </ns0:c>
      <ns0:c r="N1198" t="n">
        <ns0:v>5840</ns0:v>
      </ns0:c>
      <ns0:c r="O1198" t="n">
        <ns0:v>183581</ns0:v>
      </ns0:c>
      <ns0:c r="P1198" t="n">
        <ns0:v>20</ns0:v>
      </ns0:c>
      <ns0:c r="Q1198">
        <ns0:f>IF(AND(L1198=1,O1198*Calculations!$B$2&lt;=Calculations!$B$10*Calculations!$B$4),1,0)</ns0:f>
        <ns0:v>0</ns0:v>
      </ns0:c>
      <ns0:c r="R1198">
        <ns0:f>IF(AND(L1198=1,O1198*Calculations!$B$2&lt;=Calculations!$B$11*Calculations!$B$4),1,0)</ns0:f>
        <ns0:v>0</ns0:v>
      </ns0:c>
    </ns0:row>
    <ns0:row r="1199">
      <ns0:c r="A1199" t="inlineStr">
        <ns0:is>
          <ns0:t>case_1198</ns0:t>
        </ns0:is>
      </ns0:c>
      <ns0:c r="B1199" t="inlineStr">
        <ns0:is>
          <ns0:t>function_0259</ns0:t>
        </ns0:is>
      </ns0:c>
      <ns0:c r="C1199" t="inlineStr">
        <ns0:is>
          <ns0:t>run_012</ns0:t>
        </ns0:is>
      </ns0:c>
      <ns0:c r="D1199" t="inlineStr">
        <ns0:is>
          <ns0:t>mio</ns0:t>
        </ns0:is>
      </ns0:c>
      <ns0:c r="E1199" t="inlineStr">
        <ns0:is>
          <ns0:t>gemini-2.5-flash-nothinking</ns0:t>
        </ns0:is>
      </ns0:c>
      <ns0:c r="F1199" t="inlineStr">
        <ns0:is>
          <ns0:t>E0599,E0603</ns0:t>
        </ns0:is>
      </ns0:c>
      <ns0:c r="G1199" t="n">
        <ns0:v>0</ns0:v>
      </ns0:c>
      <ns0:c r="H1199" t="n">
        <ns0:v>3348</ns0:v>
      </ns0:c>
      <ns0:c r="I1199" t="n">
        <ns0:v>341</ns0:v>
      </ns0:c>
      <ns0:c r="J1199" t="n">
        <ns0:v>3689</ns0:v>
      </ns0:c>
      <ns0:c r="K1199" t="n">
        <ns0:v>3</ns0:v>
      </ns0:c>
      <ns0:c r="L1199" t="n">
        <ns0:v>0</ns0:v>
      </ns0:c>
      <ns0:c r="M1199" t="n">
        <ns0:v>375363</ns0:v>
      </ns0:c>
      <ns0:c r="N1199" t="n">
        <ns0:v>2247</ns0:v>
      </ns0:c>
      <ns0:c r="O1199" t="n">
        <ns0:v>377610</ns0:v>
      </ns0:c>
      <ns0:c r="P1199" t="n">
        <ns0:v>20</ns0:v>
      </ns0:c>
      <ns0:c r="Q1199">
        <ns0:f>IF(AND(L1199=1,O1199*Calculations!$B$2&lt;=Calculations!$B$10*Calculations!$B$4),1,0)</ns0:f>
        <ns0:v>0</ns0:v>
      </ns0:c>
      <ns0:c r="R1199">
        <ns0:f>IF(AND(L1199=1,O1199*Calculations!$B$2&lt;=Calculations!$B$11*Calculations!$B$4),1,0)</ns0:f>
        <ns0:v>0</ns0:v>
      </ns0:c>
    </ns0:row>
    <ns0:row r="1200">
      <ns0:c r="A1200" t="inlineStr">
        <ns0:is>
          <ns0:t>case_1199</ns0:t>
        </ns0:is>
      </ns0:c>
      <ns0:c r="B1200" t="inlineStr">
        <ns0:is>
          <ns0:t>function_0259</ns0:t>
        </ns0:is>
      </ns0:c>
      <ns0:c r="C1200" t="inlineStr">
        <ns0:is>
          <ns0:t>run_012</ns0:t>
        </ns0:is>
      </ns0:c>
      <ns0:c r="D1200" t="inlineStr">
        <ns0:is>
          <ns0:t>mio</ns0:t>
        </ns0:is>
      </ns0:c>
      <ns0:c r="E1200" t="inlineStr">
        <ns0:is>
          <ns0:t>gemini-2.5-flash-nothinking</ns0:t>
        </ns0:is>
      </ns0:c>
      <ns0:c r="F1200" t="inlineStr">
        <ns0:is>
          <ns0:t>E0599</ns0:t>
        </ns0:is>
      </ns0:c>
      <ns0:c r="G1200" t="n">
        <ns0:v>0</ns0:v>
      </ns0:c>
      <ns0:c r="H1200" t="n">
        <ns0:v>3286</ns0:v>
      </ns0:c>
      <ns0:c r="I1200" t="n">
        <ns0:v>301</ns0:v>
      </ns0:c>
      <ns0:c r="J1200" t="n">
        <ns0:v>3587</ns0:v>
      </ns0:c>
      <ns0:c r="K1200" t="n">
        <ns0:v>3</ns0:v>
      </ns0:c>
      <ns0:c r="L1200" t="n">
        <ns0:v>0</ns0:v>
      </ns0:c>
      <ns0:c r="M1200" t="n">
        <ns0:v>174490</ns0:v>
      </ns0:c>
      <ns0:c r="N1200" t="n">
        <ns0:v>2743</ns0:v>
      </ns0:c>
      <ns0:c r="O1200" t="n">
        <ns0:v>177233</ns0:v>
      </ns0:c>
      <ns0:c r="P1200" t="n">
        <ns0:v>20</ns0:v>
      </ns0:c>
      <ns0:c r="Q1200">
        <ns0:f>IF(AND(L1200=1,O1200*Calculations!$B$2&lt;=Calculations!$B$10*Calculations!$B$4),1,0)</ns0:f>
        <ns0:v>0</ns0:v>
      </ns0:c>
      <ns0:c r="R1200">
        <ns0:f>IF(AND(L1200=1,O1200*Calculations!$B$2&lt;=Calculations!$B$11*Calculations!$B$4),1,0)</ns0:f>
        <ns0:v>0</ns0:v>
      </ns0:c>
    </ns0:row>
    <ns0:row r="1201">
      <ns0:c r="A1201" t="inlineStr">
        <ns0:is>
          <ns0:t>case_1200</ns0:t>
        </ns0:is>
      </ns0:c>
      <ns0:c r="B1201" t="inlineStr">
        <ns0:is>
          <ns0:t>function_0259</ns0:t>
        </ns0:is>
      </ns0:c>
      <ns0:c r="C1201" t="inlineStr">
        <ns0:is>
          <ns0:t>run_012</ns0:t>
        </ns0:is>
      </ns0:c>
      <ns0:c r="D1201" t="inlineStr">
        <ns0:is>
          <ns0:t>mio</ns0:t>
        </ns0:is>
      </ns0:c>
      <ns0:c r="E1201" t="inlineStr">
        <ns0:is>
          <ns0:t>gemini-2.5-flash-nothinking</ns0:t>
        </ns0:is>
      </ns0:c>
      <ns0:c r="F1201" t="inlineStr">
        <ns0:is>
          <ns0:t>E0432,E0599</ns0:t>
        </ns0:is>
      </ns0:c>
      <ns0:c r="G1201" t="n">
        <ns0:v>0</ns0:v>
      </ns0:c>
      <ns0:c r="H1201" t="n">
        <ns0:v>3025</ns0:v>
      </ns0:c>
      <ns0:c r="I1201" t="n">
        <ns0:v>261</ns0:v>
      </ns0:c>
      <ns0:c r="J1201" t="n">
        <ns0:v>3286</ns0:v>
      </ns0:c>
      <ns0:c r="K1201" t="n">
        <ns0:v>3</ns0:v>
      </ns0:c>
      <ns0:c r="L1201" t="n">
        <ns0:v>0</ns0:v>
      </ns0:c>
      <ns0:c r="M1201" t="n">
        <ns0:v>162476</ns0:v>
      </ns0:c>
      <ns0:c r="N1201" t="n">
        <ns0:v>1385</ns0:v>
      </ns0:c>
      <ns0:c r="O1201" t="n">
        <ns0:v>163861</ns0:v>
      </ns0:c>
      <ns0:c r="P1201" t="n">
        <ns0:v>20</ns0:v>
      </ns0:c>
      <ns0:c r="Q1201">
        <ns0:f>IF(AND(L1201=1,O1201*Calculations!$B$2&lt;=Calculations!$B$10*Calculations!$B$4),1,0)</ns0:f>
        <ns0:v>0</ns0:v>
      </ns0:c>
      <ns0:c r="R1201">
        <ns0:f>IF(AND(L1201=1,O1201*Calculations!$B$2&lt;=Calculations!$B$11*Calculations!$B$4),1,0)</ns0:f>
        <ns0:v>0</ns0:v>
      </ns0:c>
    </ns0:row>
    <ns0:row r="1202">
      <ns0:c r="A1202" t="inlineStr">
        <ns0:is>
          <ns0:t>case_1201</ns0:t>
        </ns0:is>
      </ns0:c>
      <ns0:c r="B1202" t="inlineStr">
        <ns0:is>
          <ns0:t>function_0260</ns0:t>
        </ns0:is>
      </ns0:c>
      <ns0:c r="C1202" t="inlineStr">
        <ns0:is>
          <ns0:t>run_012</ns0:t>
        </ns0:is>
      </ns0:c>
      <ns0:c r="D1202" t="inlineStr">
        <ns0:is>
          <ns0:t>mio</ns0:t>
        </ns0:is>
      </ns0:c>
      <ns0:c r="E1202" t="inlineStr">
        <ns0:is>
          <ns0:t>gemini-2.5-flash-nothinking</ns0:t>
        </ns0:is>
      </ns0:c>
      <ns0:c r="F1202" t="inlineStr">
        <ns0:is>
          <ns0:t>E0599</ns0:t>
        </ns0:is>
      </ns0:c>
      <ns0:c r="G1202" t="n">
        <ns0:v>0</ns0:v>
      </ns0:c>
      <ns0:c r="H1202" t="n">
        <ns0:v>3051</ns0:v>
      </ns0:c>
      <ns0:c r="I1202" t="n">
        <ns0:v>111</ns0:v>
      </ns0:c>
      <ns0:c r="J1202" t="n">
        <ns0:v>3162</ns0:v>
      </ns0:c>
      <ns0:c r="K1202" t="n">
        <ns0:v>3</ns0:v>
      </ns0:c>
      <ns0:c r="L1202" t="n">
        <ns0:v>1</ns0:v>
      </ns0:c>
      <ns0:c r="M1202" t="n">
        <ns0:v>113904</ns0:v>
      </ns0:c>
      <ns0:c r="N1202" t="n">
        <ns0:v>1775</ns0:v>
      </ns0:c>
      <ns0:c r="O1202" t="n">
        <ns0:v>115679</ns0:v>
      </ns0:c>
      <ns0:c r="P1202" t="n">
        <ns0:v>13</ns0:v>
      </ns0:c>
      <ns0:c r="Q1202">
        <ns0:f>IF(AND(L1202=1,O1202*Calculations!$B$2&lt;=Calculations!$B$10*Calculations!$B$4),1,0)</ns0:f>
        <ns0:v>0</ns0:v>
      </ns0:c>
      <ns0:c r="R1202">
        <ns0:f>IF(AND(L1202=1,O1202*Calculations!$B$2&lt;=Calculations!$B$11*Calculations!$B$4),1,0)</ns0:f>
        <ns0:v>0</ns0:v>
      </ns0:c>
    </ns0:row>
    <ns0:row r="1203">
      <ns0:c r="A1203" t="inlineStr">
        <ns0:is>
          <ns0:t>case_1202</ns0:t>
        </ns0:is>
      </ns0:c>
      <ns0:c r="B1203" t="inlineStr">
        <ns0:is>
          <ns0:t>function_0260</ns0:t>
        </ns0:is>
      </ns0:c>
      <ns0:c r="C1203" t="inlineStr">
        <ns0:is>
          <ns0:t>run_012</ns0:t>
        </ns0:is>
      </ns0:c>
      <ns0:c r="D1203" t="inlineStr">
        <ns0:is>
          <ns0:t>mio</ns0:t>
        </ns0:is>
      </ns0:c>
      <ns0:c r="E1203" t="inlineStr">
        <ns0:is>
          <ns0:t>gemini-2.5-flash-nothinking</ns0:t>
        </ns0:is>
      </ns0:c>
      <ns0:c r="F1203" t="inlineStr">
        <ns0:is>
          <ns0:t>E0599</ns0:t>
        </ns0:is>
      </ns0:c>
      <ns0:c r="G1203" t="n">
        <ns0:v>0</ns0:v>
      </ns0:c>
      <ns0:c r="H1203" t="n">
        <ns0:v>3560</ns0:v>
      </ns0:c>
      <ns0:c r="I1203" t="n">
        <ns0:v>435</ns0:v>
      </ns0:c>
      <ns0:c r="J1203" t="n">
        <ns0:v>3995</ns0:v>
      </ns0:c>
      <ns0:c r="K1203" t="n">
        <ns0:v>3</ns0:v>
      </ns0:c>
      <ns0:c r="L1203" t="n">
        <ns0:v>0</ns0:v>
      </ns0:c>
      <ns0:c r="M1203" t="n">
        <ns0:v>191337</ns0:v>
      </ns0:c>
      <ns0:c r="N1203" t="n">
        <ns0:v>2773</ns0:v>
      </ns0:c>
      <ns0:c r="O1203" t="n">
        <ns0:v>194110</ns0:v>
      </ns0:c>
      <ns0:c r="P1203" t="n">
        <ns0:v>20</ns0:v>
      </ns0:c>
      <ns0:c r="Q1203">
        <ns0:f>IF(AND(L1203=1,O1203*Calculations!$B$2&lt;=Calculations!$B$10*Calculations!$B$4),1,0)</ns0:f>
        <ns0:v>0</ns0:v>
      </ns0:c>
      <ns0:c r="R1203">
        <ns0:f>IF(AND(L1203=1,O1203*Calculations!$B$2&lt;=Calculations!$B$11*Calculations!$B$4),1,0)</ns0:f>
        <ns0:v>0</ns0:v>
      </ns0:c>
    </ns0:row>
    <ns0:row r="1204">
      <ns0:c r="A1204" t="inlineStr">
        <ns0:is>
          <ns0:t>case_1203</ns0:t>
        </ns0:is>
      </ns0:c>
      <ns0:c r="B1204" t="inlineStr">
        <ns0:is>
          <ns0:t>function_0260</ns0:t>
        </ns0:is>
      </ns0:c>
      <ns0:c r="C1204" t="inlineStr">
        <ns0:is>
          <ns0:t>run_012</ns0:t>
        </ns0:is>
      </ns0:c>
      <ns0:c r="D1204" t="inlineStr">
        <ns0:is>
          <ns0:t>mio</ns0:t>
        </ns0:is>
      </ns0:c>
      <ns0:c r="E1204" t="inlineStr">
        <ns0:is>
          <ns0:t>gemini-2.5-flash-nothinking</ns0:t>
        </ns0:is>
      </ns0:c>
      <ns0:c r="F1204" t="inlineStr">
        <ns0:is>
          <ns0:t>E0433,E0599</ns0:t>
        </ns0:is>
      </ns0:c>
      <ns0:c r="G1204" t="n">
        <ns0:v>0</ns0:v>
      </ns0:c>
      <ns0:c r="H1204" t="n">
        <ns0:v>3588</ns0:v>
      </ns0:c>
      <ns0:c r="I1204" t="n">
        <ns0:v>117</ns0:v>
      </ns0:c>
      <ns0:c r="J1204" t="n">
        <ns0:v>3705</ns0:v>
      </ns0:c>
      <ns0:c r="K1204" t="n">
        <ns0:v>3</ns0:v>
      </ns0:c>
      <ns0:c r="L1204" t="n">
        <ns0:v>0</ns0:v>
      </ns0:c>
      <ns0:c r="M1204" t="n">
        <ns0:v>165864</ns0:v>
      </ns0:c>
      <ns0:c r="N1204" t="n">
        <ns0:v>2304</ns0:v>
      </ns0:c>
      <ns0:c r="O1204" t="n">
        <ns0:v>168168</ns0:v>
      </ns0:c>
      <ns0:c r="P1204" t="n">
        <ns0:v>20</ns0:v>
      </ns0:c>
      <ns0:c r="Q1204">
        <ns0:f>IF(AND(L1204=1,O1204*Calculations!$B$2&lt;=Calculations!$B$10*Calculations!$B$4),1,0)</ns0:f>
        <ns0:v>0</ns0:v>
      </ns0:c>
      <ns0:c r="R1204">
        <ns0:f>IF(AND(L1204=1,O1204*Calculations!$B$2&lt;=Calculations!$B$11*Calculations!$B$4),1,0)</ns0:f>
        <ns0:v>0</ns0:v>
      </ns0:c>
    </ns0:row>
    <ns0:row r="1205">
      <ns0:c r="A1205" t="inlineStr">
        <ns0:is>
          <ns0:t>case_1204</ns0:t>
        </ns0:is>
      </ns0:c>
      <ns0:c r="B1205" t="inlineStr">
        <ns0:is>
          <ns0:t>function_0260</ns0:t>
        </ns0:is>
      </ns0:c>
      <ns0:c r="C1205" t="inlineStr">
        <ns0:is>
          <ns0:t>run_012</ns0:t>
        </ns0:is>
      </ns0:c>
      <ns0:c r="D1205" t="inlineStr">
        <ns0:is>
          <ns0:t>mio</ns0:t>
        </ns0:is>
      </ns0:c>
      <ns0:c r="E1205" t="inlineStr">
        <ns0:is>
          <ns0:t>gemini-2.5-flash-nothinking</ns0:t>
        </ns0:is>
      </ns0:c>
      <ns0:c r="F1205" t="inlineStr">
        <ns0:is>
          <ns0:t>E0432,E0599</ns0:t>
        </ns0:is>
      </ns0:c>
      <ns0:c r="G1205" t="n">
        <ns0:v>0</ns0:v>
      </ns0:c>
      <ns0:c r="H1205" t="n">
        <ns0:v>3195</ns0:v>
      </ns0:c>
      <ns0:c r="I1205" t="n">
        <ns0:v>119</ns0:v>
      </ns0:c>
      <ns0:c r="J1205" t="n">
        <ns0:v>3314</ns0:v>
      </ns0:c>
      <ns0:c r="K1205" t="n">
        <ns0:v>3</ns0:v>
      </ns0:c>
      <ns0:c r="L1205" t="n">
        <ns0:v>0</ns0:v>
      </ns0:c>
      <ns0:c r="M1205" t="n">
        <ns0:v>109323</ns0:v>
      </ns0:c>
      <ns0:c r="N1205" t="n">
        <ns0:v>1051</ns0:v>
      </ns0:c>
      <ns0:c r="O1205" t="n">
        <ns0:v>110374</ns0:v>
      </ns0:c>
      <ns0:c r="P1205" t="n">
        <ns0:v>7</ns0:v>
      </ns0:c>
      <ns0:c r="Q1205">
        <ns0:f>IF(AND(L1205=1,O1205*Calculations!$B$2&lt;=Calculations!$B$10*Calculations!$B$4),1,0)</ns0:f>
        <ns0:v>0</ns0:v>
      </ns0:c>
      <ns0:c r="R1205">
        <ns0:f>IF(AND(L1205=1,O1205*Calculations!$B$2&lt;=Calculations!$B$11*Calculations!$B$4),1,0)</ns0:f>
        <ns0:v>0</ns0:v>
      </ns0:c>
    </ns0:row>
    <ns0:row r="1206">
      <ns0:c r="A1206" t="inlineStr">
        <ns0:is>
          <ns0:t>case_1205</ns0:t>
        </ns0:is>
      </ns0:c>
      <ns0:c r="B1206" t="inlineStr">
        <ns0:is>
          <ns0:t>function_0261</ns0:t>
        </ns0:is>
      </ns0:c>
      <ns0:c r="C1206" t="inlineStr">
        <ns0:is>
          <ns0:t>run_012</ns0:t>
        </ns0:is>
      </ns0:c>
      <ns0:c r="D1206" t="inlineStr">
        <ns0:is>
          <ns0:t>mio</ns0:t>
        </ns0:is>
      </ns0:c>
      <ns0:c r="E1206" t="inlineStr">
        <ns0:is>
          <ns0:t>gemini-2.5-flash-nothinking</ns0:t>
        </ns0:is>
      </ns0:c>
      <ns0:c r="F1206" t="inlineStr">
        <ns0:is>
          <ns0:t>E0432,E0433,E0599</ns0:t>
        </ns0:is>
      </ns0:c>
      <ns0:c r="G1206" t="n">
        <ns0:v>0</ns0:v>
      </ns0:c>
      <ns0:c r="H1206" t="n">
        <ns0:v>4450</ns0:v>
      </ns0:c>
      <ns0:c r="I1206" t="n">
        <ns0:v>672</ns0:v>
      </ns0:c>
      <ns0:c r="J1206" t="n">
        <ns0:v>5122</ns0:v>
      </ns0:c>
      <ns0:c r="K1206" t="n">
        <ns0:v>3</ns0:v>
      </ns0:c>
      <ns0:c r="L1206" t="n">
        <ns0:v>0</ns0:v>
      </ns0:c>
      <ns0:c r="M1206" t="n">
        <ns0:v>183194</ns0:v>
      </ns0:c>
      <ns0:c r="N1206" t="n">
        <ns0:v>3676</ns0:v>
      </ns0:c>
      <ns0:c r="O1206" t="n">
        <ns0:v>186870</ns0:v>
      </ns0:c>
      <ns0:c r="P1206" t="n">
        <ns0:v>20</ns0:v>
      </ns0:c>
      <ns0:c r="Q1206">
        <ns0:f>IF(AND(L1206=1,O1206*Calculations!$B$2&lt;=Calculations!$B$10*Calculations!$B$4),1,0)</ns0:f>
        <ns0:v>0</ns0:v>
      </ns0:c>
      <ns0:c r="R1206">
        <ns0:f>IF(AND(L1206=1,O1206*Calculations!$B$2&lt;=Calculations!$B$11*Calculations!$B$4),1,0)</ns0:f>
        <ns0:v>0</ns0:v>
      </ns0:c>
    </ns0:row>
    <ns0:row r="1207">
      <ns0:c r="A1207" t="inlineStr">
        <ns0:is>
          <ns0:t>case_1206</ns0:t>
        </ns0:is>
      </ns0:c>
      <ns0:c r="B1207" t="inlineStr">
        <ns0:is>
          <ns0:t>function_0261</ns0:t>
        </ns0:is>
      </ns0:c>
      <ns0:c r="C1207" t="inlineStr">
        <ns0:is>
          <ns0:t>run_012</ns0:t>
        </ns0:is>
      </ns0:c>
      <ns0:c r="D1207" t="inlineStr">
        <ns0:is>
          <ns0:t>mio</ns0:t>
        </ns0:is>
      </ns0:c>
      <ns0:c r="E1207" t="inlineStr">
        <ns0:is>
          <ns0:t>gemini-2.5-flash-nothinking</ns0:t>
        </ns0:is>
      </ns0:c>
      <ns0:c r="F1207" t="inlineStr">
        <ns0:is>
          <ns0:t>E0432,E0433,E0599</ns0:t>
        </ns0:is>
      </ns0:c>
      <ns0:c r="G1207" t="n">
        <ns0:v>0</ns0:v>
      </ns0:c>
      <ns0:c r="H1207" t="n">
        <ns0:v>4637</ns0:v>
      </ns0:c>
      <ns0:c r="I1207" t="n">
        <ns0:v>744</ns0:v>
      </ns0:c>
      <ns0:c r="J1207" t="n">
        <ns0:v>5381</ns0:v>
      </ns0:c>
      <ns0:c r="K1207" t="n">
        <ns0:v>3</ns0:v>
      </ns0:c>
      <ns0:c r="L1207" t="n">
        <ns0:v>0</ns0:v>
      </ns0:c>
      <ns0:c r="M1207" t="n">
        <ns0:v>210184</ns0:v>
      </ns0:c>
      <ns0:c r="N1207" t="n">
        <ns0:v>7844</ns0:v>
      </ns0:c>
      <ns0:c r="O1207" t="n">
        <ns0:v>218028</ns0:v>
      </ns0:c>
      <ns0:c r="P1207" t="n">
        <ns0:v>20</ns0:v>
      </ns0:c>
      <ns0:c r="Q1207">
        <ns0:f>IF(AND(L1207=1,O1207*Calculations!$B$2&lt;=Calculations!$B$10*Calculations!$B$4),1,0)</ns0:f>
        <ns0:v>0</ns0:v>
      </ns0:c>
      <ns0:c r="R1207">
        <ns0:f>IF(AND(L1207=1,O1207*Calculations!$B$2&lt;=Calculations!$B$11*Calculations!$B$4),1,0)</ns0:f>
        <ns0:v>0</ns0:v>
      </ns0:c>
    </ns0:row>
    <ns0:row r="1208">
      <ns0:c r="A1208" t="inlineStr">
        <ns0:is>
          <ns0:t>case_1207</ns0:t>
        </ns0:is>
      </ns0:c>
      <ns0:c r="B1208" t="inlineStr">
        <ns0:is>
          <ns0:t>function_0261</ns0:t>
        </ns0:is>
      </ns0:c>
      <ns0:c r="C1208" t="inlineStr">
        <ns0:is>
          <ns0:t>run_012</ns0:t>
        </ns0:is>
      </ns0:c>
      <ns0:c r="D1208" t="inlineStr">
        <ns0:is>
          <ns0:t>mio</ns0:t>
        </ns0:is>
      </ns0:c>
      <ns0:c r="E1208" t="inlineStr">
        <ns0:is>
          <ns0:t>gemini-2.5-flash-nothinking</ns0:t>
        </ns0:is>
      </ns0:c>
      <ns0:c r="F1208" t="inlineStr">
        <ns0:is>
          <ns0:t>E0432,E0433,E0599</ns0:t>
        </ns0:is>
      </ns0:c>
      <ns0:c r="G1208" t="n">
        <ns0:v>0</ns0:v>
      </ns0:c>
      <ns0:c r="H1208" t="n">
        <ns0:v>4530</ns0:v>
      </ns0:c>
      <ns0:c r="I1208" t="n">
        <ns0:v>699</ns0:v>
      </ns0:c>
      <ns0:c r="J1208" t="n">
        <ns0:v>5229</ns0:v>
      </ns0:c>
      <ns0:c r="K1208" t="n">
        <ns0:v>3</ns0:v>
      </ns0:c>
      <ns0:c r="L1208" t="n">
        <ns0:v>0</ns0:v>
      </ns0:c>
      <ns0:c r="M1208" t="n">
        <ns0:v>167501</ns0:v>
      </ns0:c>
      <ns0:c r="N1208" t="n">
        <ns0:v>2967</ns0:v>
      </ns0:c>
      <ns0:c r="O1208" t="n">
        <ns0:v>170468</ns0:v>
      </ns0:c>
      <ns0:c r="P1208" t="n">
        <ns0:v>20</ns0:v>
      </ns0:c>
      <ns0:c r="Q1208">
        <ns0:f>IF(AND(L1208=1,O1208*Calculations!$B$2&lt;=Calculations!$B$10*Calculations!$B$4),1,0)</ns0:f>
        <ns0:v>0</ns0:v>
      </ns0:c>
      <ns0:c r="R1208">
        <ns0:f>IF(AND(L1208=1,O1208*Calculations!$B$2&lt;=Calculations!$B$11*Calculations!$B$4),1,0)</ns0:f>
        <ns0:v>0</ns0:v>
      </ns0:c>
    </ns0:row>
    <ns0:row r="1209">
      <ns0:c r="A1209" t="inlineStr">
        <ns0:is>
          <ns0:t>case_1208</ns0:t>
        </ns0:is>
      </ns0:c>
      <ns0:c r="B1209" t="inlineStr">
        <ns0:is>
          <ns0:t>function_0261</ns0:t>
        </ns0:is>
      </ns0:c>
      <ns0:c r="C1209" t="inlineStr">
        <ns0:is>
          <ns0:t>run_012</ns0:t>
        </ns0:is>
      </ns0:c>
      <ns0:c r="D1209" t="inlineStr">
        <ns0:is>
          <ns0:t>mio</ns0:t>
        </ns0:is>
      </ns0:c>
      <ns0:c r="E1209" t="inlineStr">
        <ns0:is>
          <ns0:t>gemini-2.5-flash-nothinking</ns0:t>
        </ns0:is>
      </ns0:c>
      <ns0:c r="F1209" t="inlineStr">
        <ns0:is>
          <ns0:t>E0432,E0433,E0599</ns0:t>
        </ns0:is>
      </ns0:c>
      <ns0:c r="G1209" t="n">
        <ns0:v>0</ns0:v>
      </ns0:c>
      <ns0:c r="H1209" t="n">
        <ns0:v>4497</ns0:v>
      </ns0:c>
      <ns0:c r="I1209" t="n">
        <ns0:v>651</ns0:v>
      </ns0:c>
      <ns0:c r="J1209" t="n">
        <ns0:v>5148</ns0:v>
      </ns0:c>
      <ns0:c r="K1209" t="n">
        <ns0:v>3</ns0:v>
      </ns0:c>
      <ns0:c r="L1209" t="n">
        <ns0:v>0</ns0:v>
      </ns0:c>
      <ns0:c r="M1209" t="n">
        <ns0:v>250070</ns0:v>
      </ns0:c>
      <ns0:c r="N1209" t="n">
        <ns0:v>4685</ns0:v>
      </ns0:c>
      <ns0:c r="O1209" t="n">
        <ns0:v>254755</ns0:v>
      </ns0:c>
      <ns0:c r="P1209" t="n">
        <ns0:v>21</ns0:v>
      </ns0:c>
      <ns0:c r="Q1209">
        <ns0:f>IF(AND(L1209=1,O1209*Calculations!$B$2&lt;=Calculations!$B$10*Calculations!$B$4),1,0)</ns0:f>
        <ns0:v>0</ns0:v>
      </ns0:c>
      <ns0:c r="R1209">
        <ns0:f>IF(AND(L1209=1,O1209*Calculations!$B$2&lt;=Calculations!$B$11*Calculations!$B$4),1,0)</ns0:f>
        <ns0:v>0</ns0:v>
      </ns0:c>
    </ns0:row>
    <ns0:row r="1210">
      <ns0:c r="A1210" t="inlineStr">
        <ns0:is>
          <ns0:t>case_1209</ns0:t>
        </ns0:is>
      </ns0:c>
      <ns0:c r="B1210" t="inlineStr">
        <ns0:is>
          <ns0:t>function_0262</ns0:t>
        </ns0:is>
      </ns0:c>
      <ns0:c r="C1210" t="inlineStr">
        <ns0:is>
          <ns0:t>run_012</ns0:t>
        </ns0:is>
      </ns0:c>
      <ns0:c r="D1210" t="inlineStr">
        <ns0:is>
          <ns0:t>mio</ns0:t>
        </ns0:is>
      </ns0:c>
      <ns0:c r="E1210" t="inlineStr">
        <ns0:is>
          <ns0:t>gemini-2.5-flash-nothinking</ns0:t>
        </ns0:is>
      </ns0:c>
      <ns0:c r="F1210" t="inlineStr">
        <ns0:is>
          <ns0:t>E0432,E0433,E0599</ns0:t>
        </ns0:is>
      </ns0:c>
      <ns0:c r="G1210" t="n">
        <ns0:v>0</ns0:v>
      </ns0:c>
      <ns0:c r="H1210" t="n">
        <ns0:v>4387</ns0:v>
      </ns0:c>
      <ns0:c r="I1210" t="n">
        <ns0:v>610</ns0:v>
      </ns0:c>
      <ns0:c r="J1210" t="n">
        <ns0:v>4997</ns0:v>
      </ns0:c>
      <ns0:c r="K1210" t="n">
        <ns0:v>3</ns0:v>
      </ns0:c>
      <ns0:c r="L1210" t="n">
        <ns0:v>0</ns0:v>
      </ns0:c>
      <ns0:c r="M1210" t="n">
        <ns0:v>194049</ns0:v>
      </ns0:c>
      <ns0:c r="N1210" t="n">
        <ns0:v>5317</ns0:v>
      </ns0:c>
      <ns0:c r="O1210" t="n">
        <ns0:v>199366</ns0:v>
      </ns0:c>
      <ns0:c r="P1210" t="n">
        <ns0:v>21</ns0:v>
      </ns0:c>
      <ns0:c r="Q1210">
        <ns0:f>IF(AND(L1210=1,O1210*Calculations!$B$2&lt;=Calculations!$B$10*Calculations!$B$4),1,0)</ns0:f>
        <ns0:v>0</ns0:v>
      </ns0:c>
      <ns0:c r="R1210">
        <ns0:f>IF(AND(L1210=1,O1210*Calculations!$B$2&lt;=Calculations!$B$11*Calculations!$B$4),1,0)</ns0:f>
        <ns0:v>0</ns0:v>
      </ns0:c>
    </ns0:row>
    <ns0:row r="1211">
      <ns0:c r="A1211" t="inlineStr">
        <ns0:is>
          <ns0:t>case_1210</ns0:t>
        </ns0:is>
      </ns0:c>
      <ns0:c r="B1211" t="inlineStr">
        <ns0:is>
          <ns0:t>function_0262</ns0:t>
        </ns0:is>
      </ns0:c>
      <ns0:c r="C1211" t="inlineStr">
        <ns0:is>
          <ns0:t>run_012</ns0:t>
        </ns0:is>
      </ns0:c>
      <ns0:c r="D1211" t="inlineStr">
        <ns0:is>
          <ns0:t>mio</ns0:t>
        </ns0:is>
      </ns0:c>
      <ns0:c r="E1211" t="inlineStr">
        <ns0:is>
          <ns0:t>gemini-2.5-flash-nothinking</ns0:t>
        </ns0:is>
      </ns0:c>
      <ns0:c r="F1211" t="inlineStr">
        <ns0:is>
          <ns0:t>E0432,E0433,E0599</ns0:t>
        </ns0:is>
      </ns0:c>
      <ns0:c r="G1211" t="n">
        <ns0:v>0</ns0:v>
      </ns0:c>
      <ns0:c r="H1211" t="n">
        <ns0:v>4147</ns0:v>
      </ns0:c>
      <ns0:c r="I1211" t="n">
        <ns0:v>519</ns0:v>
      </ns0:c>
      <ns0:c r="J1211" t="n">
        <ns0:v>4666</ns0:v>
      </ns0:c>
      <ns0:c r="K1211" t="n">
        <ns0:v>3</ns0:v>
      </ns0:c>
      <ns0:c r="L1211" t="n">
        <ns0:v>0</ns0:v>
      </ns0:c>
      <ns0:c r="M1211" t="n">
        <ns0:v>193133</ns0:v>
      </ns0:c>
      <ns0:c r="N1211" t="n">
        <ns0:v>3446</ns0:v>
      </ns0:c>
      <ns0:c r="O1211" t="n">
        <ns0:v>196579</ns0:v>
      </ns0:c>
      <ns0:c r="P1211" t="n">
        <ns0:v>21</ns0:v>
      </ns0:c>
      <ns0:c r="Q1211">
        <ns0:f>IF(AND(L1211=1,O1211*Calculations!$B$2&lt;=Calculations!$B$10*Calculations!$B$4),1,0)</ns0:f>
        <ns0:v>0</ns0:v>
      </ns0:c>
      <ns0:c r="R1211">
        <ns0:f>IF(AND(L1211=1,O1211*Calculations!$B$2&lt;=Calculations!$B$11*Calculations!$B$4),1,0)</ns0:f>
        <ns0:v>0</ns0:v>
      </ns0:c>
    </ns0:row>
    <ns0:row r="1212">
      <ns0:c r="A1212" t="inlineStr">
        <ns0:is>
          <ns0:t>case_1211</ns0:t>
        </ns0:is>
      </ns0:c>
      <ns0:c r="B1212" t="inlineStr">
        <ns0:is>
          <ns0:t>function_0262</ns0:t>
        </ns0:is>
      </ns0:c>
      <ns0:c r="C1212" t="inlineStr">
        <ns0:is>
          <ns0:t>run_012</ns0:t>
        </ns0:is>
      </ns0:c>
      <ns0:c r="D1212" t="inlineStr">
        <ns0:is>
          <ns0:t>mio</ns0:t>
        </ns0:is>
      </ns0:c>
      <ns0:c r="E1212" t="inlineStr">
        <ns0:is>
          <ns0:t>gemini-2.5-flash-nothinking</ns0:t>
        </ns0:is>
      </ns0:c>
      <ns0:c r="F1212" t="inlineStr">
        <ns0:is>
          <ns0:t>E0432,E0433,E0599</ns0:t>
        </ns0:is>
      </ns0:c>
      <ns0:c r="G1212" t="n">
        <ns0:v>0</ns0:v>
      </ns0:c>
      <ns0:c r="H1212" t="n">
        <ns0:v>4218</ns0:v>
      </ns0:c>
      <ns0:c r="I1212" t="n">
        <ns0:v>554</ns0:v>
      </ns0:c>
      <ns0:c r="J1212" t="n">
        <ns0:v>4772</ns0:v>
      </ns0:c>
      <ns0:c r="K1212" t="n">
        <ns0:v>3</ns0:v>
      </ns0:c>
      <ns0:c r="L1212" t="n">
        <ns0:v>0</ns0:v>
      </ns0:c>
      <ns0:c r="M1212" t="n">
        <ns0:v>283463</ns0:v>
      </ns0:c>
      <ns0:c r="N1212" t="n">
        <ns0:v>8335</ns0:v>
      </ns0:c>
      <ns0:c r="O1212" t="n">
        <ns0:v>291798</ns0:v>
      </ns0:c>
      <ns0:c r="P1212" t="n">
        <ns0:v>25</ns0:v>
      </ns0:c>
      <ns0:c r="Q1212">
        <ns0:f>IF(AND(L1212=1,O1212*Calculations!$B$2&lt;=Calculations!$B$10*Calculations!$B$4),1,0)</ns0:f>
        <ns0:v>0</ns0:v>
      </ns0:c>
      <ns0:c r="R1212">
        <ns0:f>IF(AND(L1212=1,O1212*Calculations!$B$2&lt;=Calculations!$B$11*Calculations!$B$4),1,0)</ns0:f>
        <ns0:v>0</ns0:v>
      </ns0:c>
    </ns0:row>
    <ns0:row r="1213">
      <ns0:c r="A1213" t="inlineStr">
        <ns0:is>
          <ns0:t>case_1212</ns0:t>
        </ns0:is>
      </ns0:c>
      <ns0:c r="B1213" t="inlineStr">
        <ns0:is>
          <ns0:t>function_0262</ns0:t>
        </ns0:is>
      </ns0:c>
      <ns0:c r="C1213" t="inlineStr">
        <ns0:is>
          <ns0:t>run_012</ns0:t>
        </ns0:is>
      </ns0:c>
      <ns0:c r="D1213" t="inlineStr">
        <ns0:is>
          <ns0:t>mio</ns0:t>
        </ns0:is>
      </ns0:c>
      <ns0:c r="E1213" t="inlineStr">
        <ns0:is>
          <ns0:t>gemini-2.5-flash-nothinking</ns0:t>
        </ns0:is>
      </ns0:c>
      <ns0:c r="F1213" t="inlineStr">
        <ns0:is>
          <ns0:t>E0277,E0599</ns0:t>
        </ns0:is>
      </ns0:c>
      <ns0:c r="G1213" t="n">
        <ns0:v>0</ns0:v>
      </ns0:c>
      <ns0:c r="H1213" t="n">
        <ns0:v>3681</ns0:v>
      </ns0:c>
      <ns0:c r="I1213" t="n">
        <ns0:v>542</ns0:v>
      </ns0:c>
      <ns0:c r="J1213" t="n">
        <ns0:v>4223</ns0:v>
      </ns0:c>
      <ns0:c r="K1213" t="n">
        <ns0:v>3</ns0:v>
      </ns0:c>
      <ns0:c r="L1213" t="n">
        <ns0:v>0</ns0:v>
      </ns0:c>
      <ns0:c r="M1213" t="n">
        <ns0:v>415440</ns0:v>
      </ns0:c>
      <ns0:c r="N1213" t="n">
        <ns0:v>5486</ns0:v>
      </ns0:c>
      <ns0:c r="O1213" t="n">
        <ns0:v>420926</ns0:v>
      </ns0:c>
      <ns0:c r="P1213" t="n">
        <ns0:v>19</ns0:v>
      </ns0:c>
      <ns0:c r="Q1213">
        <ns0:f>IF(AND(L1213=1,O1213*Calculations!$B$2&lt;=Calculations!$B$10*Calculations!$B$4),1,0)</ns0:f>
        <ns0:v>0</ns0:v>
      </ns0:c>
      <ns0:c r="R1213">
        <ns0:f>IF(AND(L1213=1,O1213*Calculations!$B$2&lt;=Calculations!$B$11*Calculations!$B$4),1,0)</ns0:f>
        <ns0:v>0</ns0:v>
      </ns0:c>
    </ns0:row>
    <ns0:row r="1214">
      <ns0:c r="A1214" t="inlineStr">
        <ns0:is>
          <ns0:t>case_1213</ns0:t>
        </ns0:is>
      </ns0:c>
      <ns0:c r="B1214" t="inlineStr">
        <ns0:is>
          <ns0:t>function_0263</ns0:t>
        </ns0:is>
      </ns0:c>
      <ns0:c r="C1214" t="inlineStr">
        <ns0:is>
          <ns0:t>run_012</ns0:t>
        </ns0:is>
      </ns0:c>
      <ns0:c r="D1214" t="inlineStr">
        <ns0:is>
          <ns0:t>mio</ns0:t>
        </ns0:is>
      </ns0:c>
      <ns0:c r="E1214" t="inlineStr">
        <ns0:is>
          <ns0:t>gemini-2.5-flash-nothinking</ns0:t>
        </ns0:is>
      </ns0:c>
      <ns0:c r="F1214" t="inlineStr">
        <ns0:is>
          <ns0:t>E0599</ns0:t>
        </ns0:is>
      </ns0:c>
      <ns0:c r="G1214" t="n">
        <ns0:v>0</ns0:v>
      </ns0:c>
      <ns0:c r="H1214" t="n">
        <ns0:v>4977</ns0:v>
      </ns0:c>
      <ns0:c r="I1214" t="n">
        <ns0:v>1498</ns0:v>
      </ns0:c>
      <ns0:c r="J1214" t="n">
        <ns0:v>6475</ns0:v>
      </ns0:c>
      <ns0:c r="K1214" t="n">
        <ns0:v>3</ns0:v>
      </ns0:c>
      <ns0:c r="L1214" t="n">
        <ns0:v>0</ns0:v>
      </ns0:c>
      <ns0:c r="M1214" t="n">
        <ns0:v>438110</ns0:v>
      </ns0:c>
      <ns0:c r="N1214" t="n">
        <ns0:v>8469</ns0:v>
      </ns0:c>
      <ns0:c r="O1214" t="n">
        <ns0:v>446579</ns0:v>
      </ns0:c>
      <ns0:c r="P1214" t="n">
        <ns0:v>20</ns0:v>
      </ns0:c>
      <ns0:c r="Q1214">
        <ns0:f>IF(AND(L1214=1,O1214*Calculations!$B$2&lt;=Calculations!$B$10*Calculations!$B$4),1,0)</ns0:f>
        <ns0:v>0</ns0:v>
      </ns0:c>
      <ns0:c r="R1214">
        <ns0:f>IF(AND(L1214=1,O1214*Calculations!$B$2&lt;=Calculations!$B$11*Calculations!$B$4),1,0)</ns0:f>
        <ns0:v>0</ns0:v>
      </ns0:c>
    </ns0:row>
    <ns0:row r="1215">
      <ns0:c r="A1215" t="inlineStr">
        <ns0:is>
          <ns0:t>case_1214</ns0:t>
        </ns0:is>
      </ns0:c>
      <ns0:c r="B1215" t="inlineStr">
        <ns0:is>
          <ns0:t>function_0263</ns0:t>
        </ns0:is>
      </ns0:c>
      <ns0:c r="C1215" t="inlineStr">
        <ns0:is>
          <ns0:t>run_012</ns0:t>
        </ns0:is>
      </ns0:c>
      <ns0:c r="D1215" t="inlineStr">
        <ns0:is>
          <ns0:t>mio</ns0:t>
        </ns0:is>
      </ns0:c>
      <ns0:c r="E1215" t="inlineStr">
        <ns0:is>
          <ns0:t>gemini-2.5-flash-nothinking</ns0:t>
        </ns0:is>
      </ns0:c>
      <ns0:c r="F1215" t="inlineStr">
        <ns0:is>
          <ns0:t>E0432,E0599</ns0:t>
        </ns0:is>
      </ns0:c>
      <ns0:c r="G1215" t="n">
        <ns0:v>0</ns0:v>
      </ns0:c>
      <ns0:c r="H1215" t="n">
        <ns0:v>4730</ns0:v>
      </ns0:c>
      <ns0:c r="I1215" t="n">
        <ns0:v>1211</ns0:v>
      </ns0:c>
      <ns0:c r="J1215" t="n">
        <ns0:v>5941</ns0:v>
      </ns0:c>
      <ns0:c r="K1215" t="n">
        <ns0:v>3</ns0:v>
      </ns0:c>
      <ns0:c r="L1215" t="n">
        <ns0:v>0</ns0:v>
      </ns0:c>
      <ns0:c r="M1215" t="n">
        <ns0:v>87039</ns0:v>
      </ns0:c>
      <ns0:c r="N1215" t="n">
        <ns0:v>1530</ns0:v>
      </ns0:c>
      <ns0:c r="O1215" t="n">
        <ns0:v>88569</ns0:v>
      </ns0:c>
      <ns0:c r="P1215" t="n">
        <ns0:v>11</ns0:v>
      </ns0:c>
      <ns0:c r="Q1215">
        <ns0:f>IF(AND(L1215=1,O1215*Calculations!$B$2&lt;=Calculations!$B$10*Calculations!$B$4),1,0)</ns0:f>
        <ns0:v>0</ns0:v>
      </ns0:c>
      <ns0:c r="R1215">
        <ns0:f>IF(AND(L1215=1,O1215*Calculations!$B$2&lt;=Calculations!$B$11*Calculations!$B$4),1,0)</ns0:f>
        <ns0:v>0</ns0:v>
      </ns0:c>
    </ns0:row>
    <ns0:row r="1216">
      <ns0:c r="A1216" t="inlineStr">
        <ns0:is>
          <ns0:t>case_1215</ns0:t>
        </ns0:is>
      </ns0:c>
      <ns0:c r="B1216" t="inlineStr">
        <ns0:is>
          <ns0:t>function_0263</ns0:t>
        </ns0:is>
      </ns0:c>
      <ns0:c r="C1216" t="inlineStr">
        <ns0:is>
          <ns0:t>run_012</ns0:t>
        </ns0:is>
      </ns0:c>
      <ns0:c r="D1216" t="inlineStr">
        <ns0:is>
          <ns0:t>mio</ns0:t>
        </ns0:is>
      </ns0:c>
      <ns0:c r="E1216" t="inlineStr">
        <ns0:is>
          <ns0:t>gemini-2.5-flash-nothinking</ns0:t>
        </ns0:is>
      </ns0:c>
      <ns0:c r="F1216" t="inlineStr">
        <ns0:is>
          <ns0:t>E0432,E0599</ns0:t>
        </ns0:is>
      </ns0:c>
      <ns0:c r="G1216" t="n">
        <ns0:v>0</ns0:v>
      </ns0:c>
      <ns0:c r="H1216" t="n">
        <ns0:v>4094</ns0:v>
      </ns0:c>
      <ns0:c r="I1216" t="n">
        <ns0:v>219</ns0:v>
      </ns0:c>
      <ns0:c r="J1216" t="n">
        <ns0:v>4313</ns0:v>
      </ns0:c>
      <ns0:c r="K1216" t="n">
        <ns0:v>3</ns0:v>
      </ns0:c>
      <ns0:c r="L1216" t="n">
        <ns0:v>1</ns0:v>
      </ns0:c>
      <ns0:c r="M1216" t="n">
        <ns0:v>105582</ns0:v>
      </ns0:c>
      <ns0:c r="N1216" t="n">
        <ns0:v>832</ns0:v>
      </ns0:c>
      <ns0:c r="O1216" t="n">
        <ns0:v>106414</ns0:v>
      </ns0:c>
      <ns0:c r="P1216" t="n">
        <ns0:v>13</ns0:v>
      </ns0:c>
      <ns0:c r="Q1216">
        <ns0:f>IF(AND(L1216=1,O1216*Calculations!$B$2&lt;=Calculations!$B$10*Calculations!$B$4),1,0)</ns0:f>
        <ns0:v>0</ns0:v>
      </ns0:c>
      <ns0:c r="R1216">
        <ns0:f>IF(AND(L1216=1,O1216*Calculations!$B$2&lt;=Calculations!$B$11*Calculations!$B$4),1,0)</ns0:f>
        <ns0:v>0</ns0:v>
      </ns0:c>
    </ns0:row>
    <ns0:row r="1217">
      <ns0:c r="A1217" t="inlineStr">
        <ns0:is>
          <ns0:t>case_1216</ns0:t>
        </ns0:is>
      </ns0:c>
      <ns0:c r="B1217" t="inlineStr">
        <ns0:is>
          <ns0:t>function_0263</ns0:t>
        </ns0:is>
      </ns0:c>
      <ns0:c r="C1217" t="inlineStr">
        <ns0:is>
          <ns0:t>run_012</ns0:t>
        </ns0:is>
      </ns0:c>
      <ns0:c r="D1217" t="inlineStr">
        <ns0:is>
          <ns0:t>mio</ns0:t>
        </ns0:is>
      </ns0:c>
      <ns0:c r="E1217" t="inlineStr">
        <ns0:is>
          <ns0:t>gemini-2.5-flash-nothinking</ns0:t>
        </ns0:is>
      </ns0:c>
      <ns0:c r="F1217" t="inlineStr">
        <ns0:is>
          <ns0:t>E0599</ns0:t>
        </ns0:is>
      </ns0:c>
      <ns0:c r="G1217" t="n">
        <ns0:v>0</ns0:v>
      </ns0:c>
      <ns0:c r="H1217" t="n">
        <ns0:v>4838</ns0:v>
      </ns0:c>
      <ns0:c r="I1217" t="n">
        <ns0:v>1430</ns0:v>
      </ns0:c>
      <ns0:c r="J1217" t="n">
        <ns0:v>6268</ns0:v>
      </ns0:c>
      <ns0:c r="K1217" t="n">
        <ns0:v>3</ns0:v>
      </ns0:c>
      <ns0:c r="L1217" t="n">
        <ns0:v>0</ns0:v>
      </ns0:c>
      <ns0:c r="M1217" t="n">
        <ns0:v>404473</ns0:v>
      </ns0:c>
      <ns0:c r="N1217" t="n">
        <ns0:v>2840</ns0:v>
      </ns0:c>
      <ns0:c r="O1217" t="n">
        <ns0:v>407313</ns0:v>
      </ns0:c>
      <ns0:c r="P1217" t="n">
        <ns0:v>20</ns0:v>
      </ns0:c>
      <ns0:c r="Q1217">
        <ns0:f>IF(AND(L1217=1,O1217*Calculations!$B$2&lt;=Calculations!$B$10*Calculations!$B$4),1,0)</ns0:f>
        <ns0:v>0</ns0:v>
      </ns0:c>
      <ns0:c r="R1217">
        <ns0:f>IF(AND(L1217=1,O1217*Calculations!$B$2&lt;=Calculations!$B$11*Calculations!$B$4),1,0)</ns0:f>
        <ns0:v>0</ns0:v>
      </ns0:c>
    </ns0:row>
    <ns0:row r="1218">
      <ns0:c r="A1218" t="inlineStr">
        <ns0:is>
          <ns0:t>case_1217</ns0:t>
        </ns0:is>
      </ns0:c>
      <ns0:c r="B1218" t="inlineStr">
        <ns0:is>
          <ns0:t>function_0264</ns0:t>
        </ns0:is>
      </ns0:c>
      <ns0:c r="C1218" t="inlineStr">
        <ns0:is>
          <ns0:t>run_012</ns0:t>
        </ns0:is>
      </ns0:c>
      <ns0:c r="D1218" t="inlineStr">
        <ns0:is>
          <ns0:t>mio</ns0:t>
        </ns0:is>
      </ns0:c>
      <ns0:c r="E1218" t="inlineStr">
        <ns0:is>
          <ns0:t>gemini-2.5-flash-nothinking</ns0:t>
        </ns0:is>
      </ns0:c>
      <ns0:c r="F1218" t="inlineStr">
        <ns0:is>
          <ns0:t>E0432,E0433,E0599</ns0:t>
        </ns0:is>
      </ns0:c>
      <ns0:c r="G1218" t="n">
        <ns0:v>0</ns0:v>
      </ns0:c>
      <ns0:c r="H1218" t="n">
        <ns0:v>4423</ns0:v>
      </ns0:c>
      <ns0:c r="I1218" t="n">
        <ns0:v>682</ns0:v>
      </ns0:c>
      <ns0:c r="J1218" t="n">
        <ns0:v>5105</ns0:v>
      </ns0:c>
      <ns0:c r="K1218" t="n">
        <ns0:v>3</ns0:v>
      </ns0:c>
      <ns0:c r="L1218" t="n">
        <ns0:v>0</ns0:v>
      </ns0:c>
      <ns0:c r="M1218" t="n">
        <ns0:v>199544</ns0:v>
      </ns0:c>
      <ns0:c r="N1218" t="n">
        <ns0:v>2292</ns0:v>
      </ns0:c>
      <ns0:c r="O1218" t="n">
        <ns0:v>201836</ns0:v>
      </ns0:c>
      <ns0:c r="P1218" t="n">
        <ns0:v>20</ns0:v>
      </ns0:c>
      <ns0:c r="Q1218">
        <ns0:f>IF(AND(L1218=1,O1218*Calculations!$B$2&lt;=Calculations!$B$10*Calculations!$B$4),1,0)</ns0:f>
        <ns0:v>0</ns0:v>
      </ns0:c>
      <ns0:c r="R1218">
        <ns0:f>IF(AND(L1218=1,O1218*Calculations!$B$2&lt;=Calculations!$B$11*Calculations!$B$4),1,0)</ns0:f>
        <ns0:v>0</ns0:v>
      </ns0:c>
    </ns0:row>
    <ns0:row r="1219">
      <ns0:c r="A1219" t="inlineStr">
        <ns0:is>
          <ns0:t>case_1218</ns0:t>
        </ns0:is>
      </ns0:c>
      <ns0:c r="B1219" t="inlineStr">
        <ns0:is>
          <ns0:t>function_0264</ns0:t>
        </ns0:is>
      </ns0:c>
      <ns0:c r="C1219" t="inlineStr">
        <ns0:is>
          <ns0:t>run_012</ns0:t>
        </ns0:is>
      </ns0:c>
      <ns0:c r="D1219" t="inlineStr">
        <ns0:is>
          <ns0:t>mio</ns0:t>
        </ns0:is>
      </ns0:c>
      <ns0:c r="E1219" t="inlineStr">
        <ns0:is>
          <ns0:t>gemini-2.5-flash-nothinking</ns0:t>
        </ns0:is>
      </ns0:c>
      <ns0:c r="F1219" t="inlineStr">
        <ns0:is>
          <ns0:t>E0432,E0433,E0599</ns0:t>
        </ns0:is>
      </ns0:c>
      <ns0:c r="G1219" t="n">
        <ns0:v>0</ns0:v>
      </ns0:c>
      <ns0:c r="H1219" t="n">
        <ns0:v>4480</ns0:v>
      </ns0:c>
      <ns0:c r="I1219" t="n">
        <ns0:v>682</ns0:v>
      </ns0:c>
      <ns0:c r="J1219" t="n">
        <ns0:v>5162</ns0:v>
      </ns0:c>
      <ns0:c r="K1219" t="n">
        <ns0:v>3</ns0:v>
      </ns0:c>
      <ns0:c r="L1219" t="n">
        <ns0:v>1</ns0:v>
      </ns0:c>
      <ns0:c r="M1219" t="n">
        <ns0:v>215316</ns0:v>
      </ns0:c>
      <ns0:c r="N1219" t="n">
        <ns0:v>4426</ns0:v>
      </ns0:c>
      <ns0:c r="O1219" t="n">
        <ns0:v>219742</ns0:v>
      </ns0:c>
      <ns0:c r="P1219" t="n">
        <ns0:v>10</ns0:v>
      </ns0:c>
      <ns0:c r="Q1219">
        <ns0:f>IF(AND(L1219=1,O1219*Calculations!$B$2&lt;=Calculations!$B$10*Calculations!$B$4),1,0)</ns0:f>
        <ns0:v>0</ns0:v>
      </ns0:c>
      <ns0:c r="R1219">
        <ns0:f>IF(AND(L1219=1,O1219*Calculations!$B$2&lt;=Calculations!$B$11*Calculations!$B$4),1,0)</ns0:f>
        <ns0:v>0</ns0:v>
      </ns0:c>
    </ns0:row>
    <ns0:row r="1220">
      <ns0:c r="A1220" t="inlineStr">
        <ns0:is>
          <ns0:t>case_1219</ns0:t>
        </ns0:is>
      </ns0:c>
      <ns0:c r="B1220" t="inlineStr">
        <ns0:is>
          <ns0:t>function_0264</ns0:t>
        </ns0:is>
      </ns0:c>
      <ns0:c r="C1220" t="inlineStr">
        <ns0:is>
          <ns0:t>run_012</ns0:t>
        </ns0:is>
      </ns0:c>
      <ns0:c r="D1220" t="inlineStr">
        <ns0:is>
          <ns0:t>mio</ns0:t>
        </ns0:is>
      </ns0:c>
      <ns0:c r="E1220" t="inlineStr">
        <ns0:is>
          <ns0:t>gemini-2.5-flash-nothinking</ns0:t>
        </ns0:is>
      </ns0:c>
      <ns0:c r="F1220" t="inlineStr">
        <ns0:is>
          <ns0:t>E0432,E0433,E0599</ns0:t>
        </ns0:is>
      </ns0:c>
      <ns0:c r="G1220" t="n">
        <ns0:v>0</ns0:v>
      </ns0:c>
      <ns0:c r="H1220" t="n">
        <ns0:v>4358</ns0:v>
      </ns0:c>
      <ns0:c r="I1220" t="n">
        <ns0:v>606</ns0:v>
      </ns0:c>
      <ns0:c r="J1220" t="n">
        <ns0:v>4964</ns0:v>
      </ns0:c>
      <ns0:c r="K1220" t="n">
        <ns0:v>3</ns0:v>
      </ns0:c>
      <ns0:c r="L1220" t="n">
        <ns0:v>1</ns0:v>
      </ns0:c>
      <ns0:c r="M1220" t="n">
        <ns0:v>55645</ns0:v>
      </ns0:c>
      <ns0:c r="N1220" t="n">
        <ns0:v>1951</ns0:v>
      </ns0:c>
      <ns0:c r="O1220" t="n">
        <ns0:v>57596</ns0:v>
      </ns0:c>
      <ns0:c r="P1220" t="n">
        <ns0:v>7</ns0:v>
      </ns0:c>
      <ns0:c r="Q1220">
        <ns0:f>IF(AND(L1220=1,O1220*Calculations!$B$2&lt;=Calculations!$B$10*Calculations!$B$4),1,0)</ns0:f>
        <ns0:v>0</ns0:v>
      </ns0:c>
      <ns0:c r="R1220">
        <ns0:f>IF(AND(L1220=1,O1220*Calculations!$B$2&lt;=Calculations!$B$11*Calculations!$B$4),1,0)</ns0:f>
        <ns0:v>0</ns0:v>
      </ns0:c>
    </ns0:row>
    <ns0:row r="1221">
      <ns0:c r="A1221" t="inlineStr">
        <ns0:is>
          <ns0:t>case_1220</ns0:t>
        </ns0:is>
      </ns0:c>
      <ns0:c r="B1221" t="inlineStr">
        <ns0:is>
          <ns0:t>function_0264</ns0:t>
        </ns0:is>
      </ns0:c>
      <ns0:c r="C1221" t="inlineStr">
        <ns0:is>
          <ns0:t>run_012</ns0:t>
        </ns0:is>
      </ns0:c>
      <ns0:c r="D1221" t="inlineStr">
        <ns0:is>
          <ns0:t>mio</ns0:t>
        </ns0:is>
      </ns0:c>
      <ns0:c r="E1221" t="inlineStr">
        <ns0:is>
          <ns0:t>gemini-2.5-flash-nothinking</ns0:t>
        </ns0:is>
      </ns0:c>
      <ns0:c r="F1221" t="inlineStr">
        <ns0:is>
          <ns0:t>E0432,E0433,E0599</ns0:t>
        </ns0:is>
      </ns0:c>
      <ns0:c r="G1221" t="n">
        <ns0:v>0</ns0:v>
      </ns0:c>
      <ns0:c r="H1221" t="n">
        <ns0:v>4066</ns0:v>
      </ns0:c>
      <ns0:c r="I1221" t="n">
        <ns0:v>505</ns0:v>
      </ns0:c>
      <ns0:c r="J1221" t="n">
        <ns0:v>4571</ns0:v>
      </ns0:c>
      <ns0:c r="K1221" t="n">
        <ns0:v>3</ns0:v>
      </ns0:c>
      <ns0:c r="L1221" t="n">
        <ns0:v>1</ns0:v>
      </ns0:c>
      <ns0:c r="M1221" t="n">
        <ns0:v>39652</ns0:v>
      </ns0:c>
      <ns0:c r="N1221" t="n">
        <ns0:v>714</ns0:v>
      </ns0:c>
      <ns0:c r="O1221" t="n">
        <ns0:v>40366</ns0:v>
      </ns0:c>
      <ns0:c r="P1221" t="n">
        <ns0:v>5</ns0:v>
      </ns0:c>
      <ns0:c r="Q1221">
        <ns0:f>IF(AND(L1221=1,O1221*Calculations!$B$2&lt;=Calculations!$B$10*Calculations!$B$4),1,0)</ns0:f>
        <ns0:v>0</ns0:v>
      </ns0:c>
      <ns0:c r="R1221">
        <ns0:f>IF(AND(L1221=1,O1221*Calculations!$B$2&lt;=Calculations!$B$11*Calculations!$B$4),1,0)</ns0:f>
        <ns0:v>1</ns0:v>
      </ns0:c>
    </ns0:row>
    <ns0:row r="1222">
      <ns0:c r="A1222" t="inlineStr">
        <ns0:is>
          <ns0:t>case_1221</ns0:t>
        </ns0:is>
      </ns0:c>
      <ns0:c r="B1222" t="inlineStr">
        <ns0:is>
          <ns0:t>function_0265</ns0:t>
        </ns0:is>
      </ns0:c>
      <ns0:c r="C1222" t="inlineStr">
        <ns0:is>
          <ns0:t>run_012</ns0:t>
        </ns0:is>
      </ns0:c>
      <ns0:c r="D1222" t="inlineStr">
        <ns0:is>
          <ns0:t>mio</ns0:t>
        </ns0:is>
      </ns0:c>
      <ns0:c r="E1222" t="inlineStr">
        <ns0:is>
          <ns0:t>gemini-2.5-flash-nothinking</ns0:t>
        </ns0:is>
      </ns0:c>
      <ns0:c r="F1222" t="inlineStr">
        <ns0:is>
          <ns0:t>E0599</ns0:t>
        </ns0:is>
      </ns0:c>
      <ns0:c r="G1222" t="n">
        <ns0:v>0</ns0:v>
      </ns0:c>
      <ns0:c r="H1222" t="n">
        <ns0:v>3178</ns0:v>
      </ns0:c>
      <ns0:c r="I1222" t="n">
        <ns0:v>168</ns0:v>
      </ns0:c>
      <ns0:c r="J1222" t="n">
        <ns0:v>3346</ns0:v>
      </ns0:c>
      <ns0:c r="K1222" t="n">
        <ns0:v>3</ns0:v>
      </ns0:c>
      <ns0:c r="L1222" t="n">
        <ns0:v>0</ns0:v>
      </ns0:c>
      <ns0:c r="M1222" t="n">
        <ns0:v>383178</ns0:v>
      </ns0:c>
      <ns0:c r="N1222" t="n">
        <ns0:v>3020</ns0:v>
      </ns0:c>
      <ns0:c r="O1222" t="n">
        <ns0:v>386198</ns0:v>
      </ns0:c>
      <ns0:c r="P1222" t="n">
        <ns0:v>21</ns0:v>
      </ns0:c>
      <ns0:c r="Q1222">
        <ns0:f>IF(AND(L1222=1,O1222*Calculations!$B$2&lt;=Calculations!$B$10*Calculations!$B$4),1,0)</ns0:f>
        <ns0:v>0</ns0:v>
      </ns0:c>
      <ns0:c r="R1222">
        <ns0:f>IF(AND(L1222=1,O1222*Calculations!$B$2&lt;=Calculations!$B$11*Calculations!$B$4),1,0)</ns0:f>
        <ns0:v>0</ns0:v>
      </ns0:c>
    </ns0:row>
    <ns0:row r="1223">
      <ns0:c r="A1223" t="inlineStr">
        <ns0:is>
          <ns0:t>case_1222</ns0:t>
        </ns0:is>
      </ns0:c>
      <ns0:c r="B1223" t="inlineStr">
        <ns0:is>
          <ns0:t>function_0265</ns0:t>
        </ns0:is>
      </ns0:c>
      <ns0:c r="C1223" t="inlineStr">
        <ns0:is>
          <ns0:t>run_012</ns0:t>
        </ns0:is>
      </ns0:c>
      <ns0:c r="D1223" t="inlineStr">
        <ns0:is>
          <ns0:t>mio</ns0:t>
        </ns0:is>
      </ns0:c>
      <ns0:c r="E1223" t="inlineStr">
        <ns0:is>
          <ns0:t>gemini-2.5-flash-nothinking</ns0:t>
        </ns0:is>
      </ns0:c>
      <ns0:c r="F1223" t="inlineStr">
        <ns0:is>
          <ns0:t>E0599</ns0:t>
        </ns0:is>
      </ns0:c>
      <ns0:c r="G1223" t="n">
        <ns0:v>0</ns0:v>
      </ns0:c>
      <ns0:c r="H1223" t="n">
        <ns0:v>3190</ns0:v>
      </ns0:c>
      <ns0:c r="I1223" t="n">
        <ns0:v>167</ns0:v>
      </ns0:c>
      <ns0:c r="J1223" t="n">
        <ns0:v>3357</ns0:v>
      </ns0:c>
      <ns0:c r="K1223" t="n">
        <ns0:v>3</ns0:v>
      </ns0:c>
      <ns0:c r="L1223" t="n">
        <ns0:v>0</ns0:v>
      </ns0:c>
      <ns0:c r="M1223" t="n">
        <ns0:v>136378</ns0:v>
      </ns0:c>
      <ns0:c r="N1223" t="n">
        <ns0:v>1261</ns0:v>
      </ns0:c>
      <ns0:c r="O1223" t="n">
        <ns0:v>137639</ns0:v>
      </ns0:c>
      <ns0:c r="P1223" t="n">
        <ns0:v>11</ns0:v>
      </ns0:c>
      <ns0:c r="Q1223">
        <ns0:f>IF(AND(L1223=1,O1223*Calculations!$B$2&lt;=Calculations!$B$10*Calculations!$B$4),1,0)</ns0:f>
        <ns0:v>0</ns0:v>
      </ns0:c>
      <ns0:c r="R1223">
        <ns0:f>IF(AND(L1223=1,O1223*Calculations!$B$2&lt;=Calculations!$B$11*Calculations!$B$4),1,0)</ns0:f>
        <ns0:v>0</ns0:v>
      </ns0:c>
    </ns0:row>
    <ns0:row r="1224">
      <ns0:c r="A1224" t="inlineStr">
        <ns0:is>
          <ns0:t>case_1223</ns0:t>
        </ns0:is>
      </ns0:c>
      <ns0:c r="B1224" t="inlineStr">
        <ns0:is>
          <ns0:t>function_0265</ns0:t>
        </ns0:is>
      </ns0:c>
      <ns0:c r="C1224" t="inlineStr">
        <ns0:is>
          <ns0:t>run_012</ns0:t>
        </ns0:is>
      </ns0:c>
      <ns0:c r="D1224" t="inlineStr">
        <ns0:is>
          <ns0:t>mio</ns0:t>
        </ns0:is>
      </ns0:c>
      <ns0:c r="E1224" t="inlineStr">
        <ns0:is>
          <ns0:t>gemini-2.5-flash-nothinking</ns0:t>
        </ns0:is>
      </ns0:c>
      <ns0:c r="F1224" t="inlineStr">
        <ns0:is>
          <ns0:t>E0599</ns0:t>
        </ns0:is>
      </ns0:c>
      <ns0:c r="G1224" t="n">
        <ns0:v>0</ns0:v>
      </ns0:c>
      <ns0:c r="H1224" t="n">
        <ns0:v>3179</ns0:v>
      </ns0:c>
      <ns0:c r="I1224" t="n">
        <ns0:v>168</ns0:v>
      </ns0:c>
      <ns0:c r="J1224" t="n">
        <ns0:v>3347</ns0:v>
      </ns0:c>
      <ns0:c r="K1224" t="n">
        <ns0:v>3</ns0:v>
      </ns0:c>
      <ns0:c r="L1224" t="n">
        <ns0:v>0</ns0:v>
      </ns0:c>
      <ns0:c r="M1224" t="n">
        <ns0:v>172739</ns0:v>
      </ns0:c>
      <ns0:c r="N1224" t="n">
        <ns0:v>2819</ns0:v>
      </ns0:c>
      <ns0:c r="O1224" t="n">
        <ns0:v>175558</ns0:v>
      </ns0:c>
      <ns0:c r="P1224" t="n">
        <ns0:v>20</ns0:v>
      </ns0:c>
      <ns0:c r="Q1224">
        <ns0:f>IF(AND(L1224=1,O1224*Calculations!$B$2&lt;=Calculations!$B$10*Calculations!$B$4),1,0)</ns0:f>
        <ns0:v>0</ns0:v>
      </ns0:c>
      <ns0:c r="R1224">
        <ns0:f>IF(AND(L1224=1,O1224*Calculations!$B$2&lt;=Calculations!$B$11*Calculations!$B$4),1,0)</ns0:f>
        <ns0:v>0</ns0:v>
      </ns0:c>
    </ns0:row>
    <ns0:row r="1225">
      <ns0:c r="A1225" t="inlineStr">
        <ns0:is>
          <ns0:t>case_1224</ns0:t>
        </ns0:is>
      </ns0:c>
      <ns0:c r="B1225" t="inlineStr">
        <ns0:is>
          <ns0:t>function_0265</ns0:t>
        </ns0:is>
      </ns0:c>
      <ns0:c r="C1225" t="inlineStr">
        <ns0:is>
          <ns0:t>run_012</ns0:t>
        </ns0:is>
      </ns0:c>
      <ns0:c r="D1225" t="inlineStr">
        <ns0:is>
          <ns0:t>mio</ns0:t>
        </ns0:is>
      </ns0:c>
      <ns0:c r="E1225" t="inlineStr">
        <ns0:is>
          <ns0:t>gemini-2.5-flash-nothinking</ns0:t>
        </ns0:is>
      </ns0:c>
      <ns0:c r="F1225" t="inlineStr">
        <ns0:is>
          <ns0:t>E0599</ns0:t>
        </ns0:is>
      </ns0:c>
      <ns0:c r="G1225" t="n">
        <ns0:v>0</ns0:v>
      </ns0:c>
      <ns0:c r="H1225" t="n">
        <ns0:v>3110</ns0:v>
      </ns0:c>
      <ns0:c r="I1225" t="n">
        <ns0:v>162</ns0:v>
      </ns0:c>
      <ns0:c r="J1225" t="n">
        <ns0:v>3272</ns0:v>
      </ns0:c>
      <ns0:c r="K1225" t="n">
        <ns0:v>3</ns0:v>
      </ns0:c>
      <ns0:c r="L1225" t="n">
        <ns0:v>0</ns0:v>
      </ns0:c>
      <ns0:c r="M1225" t="n">
        <ns0:v>204168</ns0:v>
      </ns0:c>
      <ns0:c r="N1225" t="n">
        <ns0:v>2180</ns0:v>
      </ns0:c>
      <ns0:c r="O1225" t="n">
        <ns0:v>206348</ns0:v>
      </ns0:c>
      <ns0:c r="P1225" t="n">
        <ns0:v>20</ns0:v>
      </ns0:c>
      <ns0:c r="Q1225">
        <ns0:f>IF(AND(L1225=1,O1225*Calculations!$B$2&lt;=Calculations!$B$10*Calculations!$B$4),1,0)</ns0:f>
        <ns0:v>0</ns0:v>
      </ns0:c>
      <ns0:c r="R1225">
        <ns0:f>IF(AND(L1225=1,O1225*Calculations!$B$2&lt;=Calculations!$B$11*Calculations!$B$4),1,0)</ns0:f>
        <ns0:v>0</ns0:v>
      </ns0:c>
    </ns0:row>
    <ns0:row r="1226">
      <ns0:c r="A1226" t="inlineStr">
        <ns0:is>
          <ns0:t>case_1225</ns0:t>
        </ns0:is>
      </ns0:c>
      <ns0:c r="B1226" t="inlineStr">
        <ns0:is>
          <ns0:t>function_0266</ns0:t>
        </ns0:is>
      </ns0:c>
      <ns0:c r="C1226" t="inlineStr">
        <ns0:is>
          <ns0:t>run_012</ns0:t>
        </ns0:is>
      </ns0:c>
      <ns0:c r="D1226" t="inlineStr">
        <ns0:is>
          <ns0:t>mio</ns0:t>
        </ns0:is>
      </ns0:c>
      <ns0:c r="E1226" t="inlineStr">
        <ns0:is>
          <ns0:t>gemini-2.5-flash-nothinking</ns0:t>
        </ns0:is>
      </ns0:c>
      <ns0:c r="F1226" t="inlineStr">
        <ns0:is>
          <ns0:t>E0599</ns0:t>
        </ns0:is>
      </ns0:c>
      <ns0:c r="G1226" t="n">
        <ns0:v>0</ns0:v>
      </ns0:c>
      <ns0:c r="H1226" t="n">
        <ns0:v>3084</ns0:v>
      </ns0:c>
      <ns0:c r="I1226" t="n">
        <ns0:v>199</ns0:v>
      </ns0:c>
      <ns0:c r="J1226" t="n">
        <ns0:v>3283</ns0:v>
      </ns0:c>
      <ns0:c r="K1226" t="n">
        <ns0:v>3</ns0:v>
      </ns0:c>
      <ns0:c r="L1226" t="n">
        <ns0:v>0</ns0:v>
      </ns0:c>
      <ns0:c r="M1226" t="n">
        <ns0:v>255223</ns0:v>
      </ns0:c>
      <ns0:c r="N1226" t="n">
        <ns0:v>3472</ns0:v>
      </ns0:c>
      <ns0:c r="O1226" t="n">
        <ns0:v>258695</ns0:v>
      </ns0:c>
      <ns0:c r="P1226" t="n">
        <ns0:v>20</ns0:v>
      </ns0:c>
      <ns0:c r="Q1226">
        <ns0:f>IF(AND(L1226=1,O1226*Calculations!$B$2&lt;=Calculations!$B$10*Calculations!$B$4),1,0)</ns0:f>
        <ns0:v>0</ns0:v>
      </ns0:c>
      <ns0:c r="R1226">
        <ns0:f>IF(AND(L1226=1,O1226*Calculations!$B$2&lt;=Calculations!$B$11*Calculations!$B$4),1,0)</ns0:f>
        <ns0:v>0</ns0:v>
      </ns0:c>
    </ns0:row>
    <ns0:row r="1227">
      <ns0:c r="A1227" t="inlineStr">
        <ns0:is>
          <ns0:t>case_1226</ns0:t>
        </ns0:is>
      </ns0:c>
      <ns0:c r="B1227" t="inlineStr">
        <ns0:is>
          <ns0:t>function_0266</ns0:t>
        </ns0:is>
      </ns0:c>
      <ns0:c r="C1227" t="inlineStr">
        <ns0:is>
          <ns0:t>run_012</ns0:t>
        </ns0:is>
      </ns0:c>
      <ns0:c r="D1227" t="inlineStr">
        <ns0:is>
          <ns0:t>mio</ns0:t>
        </ns0:is>
      </ns0:c>
      <ns0:c r="E1227" t="inlineStr">
        <ns0:is>
          <ns0:t>gemini-2.5-flash-nothinking</ns0:t>
        </ns0:is>
      </ns0:c>
      <ns0:c r="F1227" t="inlineStr">
        <ns0:is>
          <ns0:t>E0599</ns0:t>
        </ns0:is>
      </ns0:c>
      <ns0:c r="G1227" t="n">
        <ns0:v>0</ns0:v>
      </ns0:c>
      <ns0:c r="H1227" t="n">
        <ns0:v>3291</ns0:v>
      </ns0:c>
      <ns0:c r="I1227" t="n">
        <ns0:v>213</ns0:v>
      </ns0:c>
      <ns0:c r="J1227" t="n">
        <ns0:v>3504</ns0:v>
      </ns0:c>
      <ns0:c r="K1227" t="n">
        <ns0:v>3</ns0:v>
      </ns0:c>
      <ns0:c r="L1227" t="n">
        <ns0:v>0</ns0:v>
      </ns0:c>
      <ns0:c r="M1227" t="n">
        <ns0:v>201222</ns0:v>
      </ns0:c>
      <ns0:c r="N1227" t="n">
        <ns0:v>2457</ns0:v>
      </ns0:c>
      <ns0:c r="O1227" t="n">
        <ns0:v>203679</ns0:v>
      </ns0:c>
      <ns0:c r="P1227" t="n">
        <ns0:v>20</ns0:v>
      </ns0:c>
      <ns0:c r="Q1227">
        <ns0:f>IF(AND(L1227=1,O1227*Calculations!$B$2&lt;=Calculations!$B$10*Calculations!$B$4),1,0)</ns0:f>
        <ns0:v>0</ns0:v>
      </ns0:c>
      <ns0:c r="R1227">
        <ns0:f>IF(AND(L1227=1,O1227*Calculations!$B$2&lt;=Calculations!$B$11*Calculations!$B$4),1,0)</ns0:f>
        <ns0:v>0</ns0:v>
      </ns0:c>
    </ns0:row>
    <ns0:row r="1228">
      <ns0:c r="A1228" t="inlineStr">
        <ns0:is>
          <ns0:t>case_1227</ns0:t>
        </ns0:is>
      </ns0:c>
      <ns0:c r="B1228" t="inlineStr">
        <ns0:is>
          <ns0:t>function_0266</ns0:t>
        </ns0:is>
      </ns0:c>
      <ns0:c r="C1228" t="inlineStr">
        <ns0:is>
          <ns0:t>run_012</ns0:t>
        </ns0:is>
      </ns0:c>
      <ns0:c r="D1228" t="inlineStr">
        <ns0:is>
          <ns0:t>mio</ns0:t>
        </ns0:is>
      </ns0:c>
      <ns0:c r="E1228" t="inlineStr">
        <ns0:is>
          <ns0:t>gemini-2.5-flash-nothinking</ns0:t>
        </ns0:is>
      </ns0:c>
      <ns0:c r="F1228" t="inlineStr">
        <ns0:is>
          <ns0:t>E0599</ns0:t>
        </ns0:is>
      </ns0:c>
      <ns0:c r="G1228" t="n">
        <ns0:v>0</ns0:v>
      </ns0:c>
      <ns0:c r="H1228" t="n">
        <ns0:v>3283</ns0:v>
      </ns0:c>
      <ns0:c r="I1228" t="n">
        <ns0:v>236</ns0:v>
      </ns0:c>
      <ns0:c r="J1228" t="n">
        <ns0:v>3519</ns0:v>
      </ns0:c>
      <ns0:c r="K1228" t="n">
        <ns0:v>3</ns0:v>
      </ns0:c>
      <ns0:c r="L1228" t="n">
        <ns0:v>1</ns0:v>
      </ns0:c>
      <ns0:c r="M1228" t="n">
        <ns0:v>52918</ns0:v>
      </ns0:c>
      <ns0:c r="N1228" t="n">
        <ns0:v>1139</ns0:v>
      </ns0:c>
      <ns0:c r="O1228" t="n">
        <ns0:v>54057</ns0:v>
      </ns0:c>
      <ns0:c r="P1228" t="n">
        <ns0:v>4</ns0:v>
      </ns0:c>
      <ns0:c r="Q1228">
        <ns0:f>IF(AND(L1228=1,O1228*Calculations!$B$2&lt;=Calculations!$B$10*Calculations!$B$4),1,0)</ns0:f>
        <ns0:v>0</ns0:v>
      </ns0:c>
      <ns0:c r="R1228">
        <ns0:f>IF(AND(L1228=1,O1228*Calculations!$B$2&lt;=Calculations!$B$11*Calculations!$B$4),1,0)</ns0:f>
        <ns0:v>0</ns0:v>
      </ns0:c>
    </ns0:row>
    <ns0:row r="1229">
      <ns0:c r="A1229" t="inlineStr">
        <ns0:is>
          <ns0:t>case_1228</ns0:t>
        </ns0:is>
      </ns0:c>
      <ns0:c r="B1229" t="inlineStr">
        <ns0:is>
          <ns0:t>function_0266</ns0:t>
        </ns0:is>
      </ns0:c>
      <ns0:c r="C1229" t="inlineStr">
        <ns0:is>
          <ns0:t>run_012</ns0:t>
        </ns0:is>
      </ns0:c>
      <ns0:c r="D1229" t="inlineStr">
        <ns0:is>
          <ns0:t>mio</ns0:t>
        </ns0:is>
      </ns0:c>
      <ns0:c r="E1229" t="inlineStr">
        <ns0:is>
          <ns0:t>gemini-2.5-flash-nothinking</ns0:t>
        </ns0:is>
      </ns0:c>
      <ns0:c r="F1229" t="inlineStr">
        <ns0:is>
          <ns0:t>E0599</ns0:t>
        </ns0:is>
      </ns0:c>
      <ns0:c r="G1229" t="n">
        <ns0:v>0</ns0:v>
      </ns0:c>
      <ns0:c r="H1229" t="n">
        <ns0:v>2928</ns0:v>
      </ns0:c>
      <ns0:c r="I1229" t="n">
        <ns0:v>194</ns0:v>
      </ns0:c>
      <ns0:c r="J1229" t="n">
        <ns0:v>3122</ns0:v>
      </ns0:c>
      <ns0:c r="K1229" t="n">
        <ns0:v>3</ns0:v>
      </ns0:c>
      <ns0:c r="L1229" t="n">
        <ns0:v>0</ns0:v>
      </ns0:c>
      <ns0:c r="M1229" t="n">
        <ns0:v>158907</ns0:v>
      </ns0:c>
      <ns0:c r="N1229" t="n">
        <ns0:v>1028</ns0:v>
      </ns0:c>
      <ns0:c r="O1229" t="n">
        <ns0:v>159935</ns0:v>
      </ns0:c>
      <ns0:c r="P1229" t="n">
        <ns0:v>10</ns0:v>
      </ns0:c>
      <ns0:c r="Q1229">
        <ns0:f>IF(AND(L1229=1,O1229*Calculations!$B$2&lt;=Calculations!$B$10*Calculations!$B$4),1,0)</ns0:f>
        <ns0:v>0</ns0:v>
      </ns0:c>
      <ns0:c r="R1229">
        <ns0:f>IF(AND(L1229=1,O1229*Calculations!$B$2&lt;=Calculations!$B$11*Calculations!$B$4),1,0)</ns0:f>
        <ns0:v>0</ns0:v>
      </ns0:c>
    </ns0:row>
    <ns0:row r="1230">
      <ns0:c r="A1230" t="inlineStr">
        <ns0:is>
          <ns0:t>case_1229</ns0:t>
        </ns0:is>
      </ns0:c>
      <ns0:c r="B1230" t="inlineStr">
        <ns0:is>
          <ns0:t>function_0267</ns0:t>
        </ns0:is>
      </ns0:c>
      <ns0:c r="C1230" t="inlineStr">
        <ns0:is>
          <ns0:t>run_012</ns0:t>
        </ns0:is>
      </ns0:c>
      <ns0:c r="D1230" t="inlineStr">
        <ns0:is>
          <ns0:t>mio</ns0:t>
        </ns0:is>
      </ns0:c>
      <ns0:c r="E1230" t="inlineStr">
        <ns0:is>
          <ns0:t>gemini-2.5-flash-nothinking</ns0:t>
        </ns0:is>
      </ns0:c>
      <ns0:c r="F1230" t="inlineStr">
        <ns0:is>
          <ns0:t>E0433</ns0:t>
        </ns0:is>
      </ns0:c>
      <ns0:c r="G1230" t="n">
        <ns0:v>0</ns0:v>
      </ns0:c>
      <ns0:c r="H1230" t="n">
        <ns0:v>4895</ns0:v>
      </ns0:c>
      <ns0:c r="I1230" t="n">
        <ns0:v>159</ns0:v>
      </ns0:c>
      <ns0:c r="J1230" t="n">
        <ns0:v>5054</ns0:v>
      </ns0:c>
      <ns0:c r="K1230" t="n">
        <ns0:v>3</ns0:v>
      </ns0:c>
      <ns0:c r="L1230" t="n">
        <ns0:v>1</ns0:v>
      </ns0:c>
      <ns0:c r="M1230" t="n">
        <ns0:v>50336</ns0:v>
      </ns0:c>
      <ns0:c r="N1230" t="n">
        <ns0:v>923</ns0:v>
      </ns0:c>
      <ns0:c r="O1230" t="n">
        <ns0:v>51259</ns0:v>
      </ns0:c>
      <ns0:c r="P1230" t="n">
        <ns0:v>6</ns0:v>
      </ns0:c>
      <ns0:c r="Q1230">
        <ns0:f>IF(AND(L1230=1,O1230*Calculations!$B$2&lt;=Calculations!$B$10*Calculations!$B$4),1,0)</ns0:f>
        <ns0:v>0</ns0:v>
      </ns0:c>
      <ns0:c r="R1230">
        <ns0:f>IF(AND(L1230=1,O1230*Calculations!$B$2&lt;=Calculations!$B$11*Calculations!$B$4),1,0)</ns0:f>
        <ns0:v>0</ns0:v>
      </ns0:c>
    </ns0:row>
    <ns0:row r="1231">
      <ns0:c r="A1231" t="inlineStr">
        <ns0:is>
          <ns0:t>case_1230</ns0:t>
        </ns0:is>
      </ns0:c>
      <ns0:c r="B1231" t="inlineStr">
        <ns0:is>
          <ns0:t>function_0267</ns0:t>
        </ns0:is>
      </ns0:c>
      <ns0:c r="C1231" t="inlineStr">
        <ns0:is>
          <ns0:t>run_012</ns0:t>
        </ns0:is>
      </ns0:c>
      <ns0:c r="D1231" t="inlineStr">
        <ns0:is>
          <ns0:t>mio</ns0:t>
        </ns0:is>
      </ns0:c>
      <ns0:c r="E1231" t="inlineStr">
        <ns0:is>
          <ns0:t>gemini-2.5-flash-nothinking</ns0:t>
        </ns0:is>
      </ns0:c>
      <ns0:c r="F1231" t="inlineStr">
        <ns0:is>
          <ns0:t>E0599</ns0:t>
        </ns0:is>
      </ns0:c>
      <ns0:c r="G1231" t="n">
        <ns0:v>0</ns0:v>
      </ns0:c>
      <ns0:c r="H1231" t="n">
        <ns0:v>3345</ns0:v>
      </ns0:c>
      <ns0:c r="I1231" t="n">
        <ns0:v>136</ns0:v>
      </ns0:c>
      <ns0:c r="J1231" t="n">
        <ns0:v>3481</ns0:v>
      </ns0:c>
      <ns0:c r="K1231" t="n">
        <ns0:v>3</ns0:v>
      </ns0:c>
      <ns0:c r="L1231" t="n">
        <ns0:v>1</ns0:v>
      </ns0:c>
      <ns0:c r="M1231" t="n">
        <ns0:v>121364</ns0:v>
      </ns0:c>
      <ns0:c r="N1231" t="n">
        <ns0:v>1669</ns0:v>
      </ns0:c>
      <ns0:c r="O1231" t="n">
        <ns0:v>123033</ns0:v>
      </ns0:c>
      <ns0:c r="P1231" t="n">
        <ns0:v>11</ns0:v>
      </ns0:c>
      <ns0:c r="Q1231">
        <ns0:f>IF(AND(L1231=1,O1231*Calculations!$B$2&lt;=Calculations!$B$10*Calculations!$B$4),1,0)</ns0:f>
        <ns0:v>0</ns0:v>
      </ns0:c>
      <ns0:c r="R1231">
        <ns0:f>IF(AND(L1231=1,O1231*Calculations!$B$2&lt;=Calculations!$B$11*Calculations!$B$4),1,0)</ns0:f>
        <ns0:v>0</ns0:v>
      </ns0:c>
    </ns0:row>
    <ns0:row r="1232">
      <ns0:c r="A1232" t="inlineStr">
        <ns0:is>
          <ns0:t>case_1231</ns0:t>
        </ns0:is>
      </ns0:c>
      <ns0:c r="B1232" t="inlineStr">
        <ns0:is>
          <ns0:t>function_0267</ns0:t>
        </ns0:is>
      </ns0:c>
      <ns0:c r="C1232" t="inlineStr">
        <ns0:is>
          <ns0:t>run_012</ns0:t>
        </ns0:is>
      </ns0:c>
      <ns0:c r="D1232" t="inlineStr">
        <ns0:is>
          <ns0:t>mio</ns0:t>
        </ns0:is>
      </ns0:c>
      <ns0:c r="E1232" t="inlineStr">
        <ns0:is>
          <ns0:t>gemini-2.5-flash-nothinking</ns0:t>
        </ns0:is>
      </ns0:c>
      <ns0:c r="F1232" t="inlineStr">
        <ns0:is>
          <ns0:t>E0433</ns0:t>
        </ns0:is>
      </ns0:c>
      <ns0:c r="G1232" t="n">
        <ns0:v>0</ns0:v>
      </ns0:c>
      <ns0:c r="H1232" t="n">
        <ns0:v>5962</ns0:v>
      </ns0:c>
      <ns0:c r="I1232" t="n">
        <ns0:v>155</ns0:v>
      </ns0:c>
      <ns0:c r="J1232" t="n">
        <ns0:v>6117</ns0:v>
      </ns0:c>
      <ns0:c r="K1232" t="n">
        <ns0:v>3</ns0:v>
      </ns0:c>
      <ns0:c r="L1232" t="n">
        <ns0:v>1</ns0:v>
      </ns0:c>
      <ns0:c r="M1232" t="n">
        <ns0:v>120731</ns0:v>
      </ns0:c>
      <ns0:c r="N1232" t="n">
        <ns0:v>811</ns0:v>
      </ns0:c>
      <ns0:c r="O1232" t="n">
        <ns0:v>121542</ns0:v>
      </ns0:c>
      <ns0:c r="P1232" t="n">
        <ns0:v>14</ns0:v>
      </ns0:c>
      <ns0:c r="Q1232">
        <ns0:f>IF(AND(L1232=1,O1232*Calculations!$B$2&lt;=Calculations!$B$10*Calculations!$B$4),1,0)</ns0:f>
        <ns0:v>0</ns0:v>
      </ns0:c>
      <ns0:c r="R1232">
        <ns0:f>IF(AND(L1232=1,O1232*Calculations!$B$2&lt;=Calculations!$B$11*Calculations!$B$4),1,0)</ns0:f>
        <ns0:v>0</ns0:v>
      </ns0:c>
    </ns0:row>
    <ns0:row r="1233">
      <ns0:c r="A1233" t="inlineStr">
        <ns0:is>
          <ns0:t>case_1232</ns0:t>
        </ns0:is>
      </ns0:c>
      <ns0:c r="B1233" t="inlineStr">
        <ns0:is>
          <ns0:t>function_0267</ns0:t>
        </ns0:is>
      </ns0:c>
      <ns0:c r="C1233" t="inlineStr">
        <ns0:is>
          <ns0:t>run_012</ns0:t>
        </ns0:is>
      </ns0:c>
      <ns0:c r="D1233" t="inlineStr">
        <ns0:is>
          <ns0:t>mio</ns0:t>
        </ns0:is>
      </ns0:c>
      <ns0:c r="E1233" t="inlineStr">
        <ns0:is>
          <ns0:t>gemini-2.5-flash-nothinking</ns0:t>
        </ns0:is>
      </ns0:c>
      <ns0:c r="F1233" t="inlineStr">
        <ns0:is>
          <ns0:t>E0061</ns0:t>
        </ns0:is>
      </ns0:c>
      <ns0:c r="G1233" t="n">
        <ns0:v>0</ns0:v>
      </ns0:c>
      <ns0:c r="H1233" t="n">
        <ns0:v>2521</ns0:v>
      </ns0:c>
      <ns0:c r="I1233" t="n">
        <ns0:v>140</ns0:v>
      </ns0:c>
      <ns0:c r="J1233" t="n">
        <ns0:v>2661</ns0:v>
      </ns0:c>
      <ns0:c r="K1233" t="n">
        <ns0:v>3</ns0:v>
      </ns0:c>
      <ns0:c r="L1233" t="n">
        <ns0:v>1</ns0:v>
      </ns0:c>
      <ns0:c r="M1233" t="n">
        <ns0:v>73598</ns0:v>
      </ns0:c>
      <ns0:c r="N1233" t="n">
        <ns0:v>698</ns0:v>
      </ns0:c>
      <ns0:c r="O1233" t="n">
        <ns0:v>74296</ns0:v>
      </ns0:c>
      <ns0:c r="P1233" t="n">
        <ns0:v>9</ns0:v>
      </ns0:c>
      <ns0:c r="Q1233">
        <ns0:f>IF(AND(L1233=1,O1233*Calculations!$B$2&lt;=Calculations!$B$10*Calculations!$B$4),1,0)</ns0:f>
        <ns0:v>0</ns0:v>
      </ns0:c>
      <ns0:c r="R1233">
        <ns0:f>IF(AND(L1233=1,O1233*Calculations!$B$2&lt;=Calculations!$B$11*Calculations!$B$4),1,0)</ns0:f>
        <ns0:v>0</ns0:v>
      </ns0:c>
    </ns0:row>
    <ns0:row r="1234">
      <ns0:c r="A1234" t="inlineStr">
        <ns0:is>
          <ns0:t>case_1233</ns0:t>
        </ns0:is>
      </ns0:c>
      <ns0:c r="B1234" t="inlineStr">
        <ns0:is>
          <ns0:t>function_0268</ns0:t>
        </ns0:is>
      </ns0:c>
      <ns0:c r="C1234" t="inlineStr">
        <ns0:is>
          <ns0:t>run_012</ns0:t>
        </ns0:is>
      </ns0:c>
      <ns0:c r="D1234" t="inlineStr">
        <ns0:is>
          <ns0:t>mio</ns0:t>
        </ns0:is>
      </ns0:c>
      <ns0:c r="E1234" t="inlineStr">
        <ns0:is>
          <ns0:t>gemini-2.5-flash-nothinking</ns0:t>
        </ns0:is>
      </ns0:c>
      <ns0:c r="F1234" t="inlineStr">
        <ns0:is>
          <ns0:t>E0061</ns0:t>
        </ns0:is>
      </ns0:c>
      <ns0:c r="G1234" t="n">
        <ns0:v>0</ns0:v>
      </ns0:c>
      <ns0:c r="H1234" t="n">
        <ns0:v>2902</ns0:v>
      </ns0:c>
      <ns0:c r="I1234" t="n">
        <ns0:v>258</ns0:v>
      </ns0:c>
      <ns0:c r="J1234" t="n">
        <ns0:v>3160</ns0:v>
      </ns0:c>
      <ns0:c r="K1234" t="n">
        <ns0:v>3</ns0:v>
      </ns0:c>
      <ns0:c r="L1234" t="n">
        <ns0:v>1</ns0:v>
      </ns0:c>
      <ns0:c r="M1234" t="n">
        <ns0:v>54960</ns0:v>
      </ns0:c>
      <ns0:c r="N1234" t="n">
        <ns0:v>853</ns0:v>
      </ns0:c>
      <ns0:c r="O1234" t="n">
        <ns0:v>55813</ns0:v>
      </ns0:c>
      <ns0:c r="P1234" t="n">
        <ns0:v>7</ns0:v>
      </ns0:c>
      <ns0:c r="Q1234">
        <ns0:f>IF(AND(L1234=1,O1234*Calculations!$B$2&lt;=Calculations!$B$10*Calculations!$B$4),1,0)</ns0:f>
        <ns0:v>0</ns0:v>
      </ns0:c>
      <ns0:c r="R1234">
        <ns0:f>IF(AND(L1234=1,O1234*Calculations!$B$2&lt;=Calculations!$B$11*Calculations!$B$4),1,0)</ns0:f>
        <ns0:v>0</ns0:v>
      </ns0:c>
    </ns0:row>
    <ns0:row r="1235">
      <ns0:c r="A1235" t="inlineStr">
        <ns0:is>
          <ns0:t>case_1234</ns0:t>
        </ns0:is>
      </ns0:c>
      <ns0:c r="B1235" t="inlineStr">
        <ns0:is>
          <ns0:t>function_0268</ns0:t>
        </ns0:is>
      </ns0:c>
      <ns0:c r="C1235" t="inlineStr">
        <ns0:is>
          <ns0:t>run_012</ns0:t>
        </ns0:is>
      </ns0:c>
      <ns0:c r="D1235" t="inlineStr">
        <ns0:is>
          <ns0:t>mio</ns0:t>
        </ns0:is>
      </ns0:c>
      <ns0:c r="E1235" t="inlineStr">
        <ns0:is>
          <ns0:t>gemini-2.5-flash-nothinking</ns0:t>
        </ns0:is>
      </ns0:c>
      <ns0:c r="F1235" t="inlineStr">
        <ns0:is>
          <ns0:t>E0599</ns0:t>
        </ns0:is>
      </ns0:c>
      <ns0:c r="G1235" t="n">
        <ns0:v>0</ns0:v>
      </ns0:c>
      <ns0:c r="H1235" t="n">
        <ns0:v>3854</ns0:v>
      </ns0:c>
      <ns0:c r="I1235" t="n">
        <ns0:v>312</ns0:v>
      </ns0:c>
      <ns0:c r="J1235" t="n">
        <ns0:v>4166</ns0:v>
      </ns0:c>
      <ns0:c r="K1235" t="n">
        <ns0:v>3</ns0:v>
      </ns0:c>
      <ns0:c r="L1235" t="n">
        <ns0:v>0</ns0:v>
      </ns0:c>
      <ns0:c r="M1235" t="n">
        <ns0:v>129251</ns0:v>
      </ns0:c>
      <ns0:c r="N1235" t="n">
        <ns0:v>1935</ns0:v>
      </ns0:c>
      <ns0:c r="O1235" t="n">
        <ns0:v>131186</ns0:v>
      </ns0:c>
      <ns0:c r="P1235" t="n">
        <ns0:v>14</ns0:v>
      </ns0:c>
      <ns0:c r="Q1235">
        <ns0:f>IF(AND(L1235=1,O1235*Calculations!$B$2&lt;=Calculations!$B$10*Calculations!$B$4),1,0)</ns0:f>
        <ns0:v>0</ns0:v>
      </ns0:c>
      <ns0:c r="R1235">
        <ns0:f>IF(AND(L1235=1,O1235*Calculations!$B$2&lt;=Calculations!$B$11*Calculations!$B$4),1,0)</ns0:f>
        <ns0:v>0</ns0:v>
      </ns0:c>
    </ns0:row>
    <ns0:row r="1236">
      <ns0:c r="A1236" t="inlineStr">
        <ns0:is>
          <ns0:t>case_1235</ns0:t>
        </ns0:is>
      </ns0:c>
      <ns0:c r="B1236" t="inlineStr">
        <ns0:is>
          <ns0:t>function_0268</ns0:t>
        </ns0:is>
      </ns0:c>
      <ns0:c r="C1236" t="inlineStr">
        <ns0:is>
          <ns0:t>run_012</ns0:t>
        </ns0:is>
      </ns0:c>
      <ns0:c r="D1236" t="inlineStr">
        <ns0:is>
          <ns0:t>mio</ns0:t>
        </ns0:is>
      </ns0:c>
      <ns0:c r="E1236" t="inlineStr">
        <ns0:is>
          <ns0:t>gemini-2.5-flash-nothinking</ns0:t>
        </ns0:is>
      </ns0:c>
      <ns0:c r="F1236" t="inlineStr">
        <ns0:is>
          <ns0:t>E0432,E0433</ns0:t>
        </ns0:is>
      </ns0:c>
      <ns0:c r="G1236" t="n">
        <ns0:v>0</ns0:v>
      </ns0:c>
      <ns0:c r="H1236" t="n">
        <ns0:v>7121</ns0:v>
      </ns0:c>
      <ns0:c r="I1236" t="n">
        <ns0:v>327</ns0:v>
      </ns0:c>
      <ns0:c r="J1236" t="n">
        <ns0:v>7448</ns0:v>
      </ns0:c>
      <ns0:c r="K1236" t="n">
        <ns0:v>3</ns0:v>
      </ns0:c>
      <ns0:c r="L1236" t="n">
        <ns0:v>1</ns0:v>
      </ns0:c>
      <ns0:c r="M1236" t="n">
        <ns0:v>94638</ns0:v>
      </ns0:c>
      <ns0:c r="N1236" t="n">
        <ns0:v>1671</ns0:v>
      </ns0:c>
      <ns0:c r="O1236" t="n">
        <ns0:v>96309</ns0:v>
      </ns0:c>
      <ns0:c r="P1236" t="n">
        <ns0:v>11</ns0:v>
      </ns0:c>
      <ns0:c r="Q1236">
        <ns0:f>IF(AND(L1236=1,O1236*Calculations!$B$2&lt;=Calculations!$B$10*Calculations!$B$4),1,0)</ns0:f>
        <ns0:v>0</ns0:v>
      </ns0:c>
      <ns0:c r="R1236">
        <ns0:f>IF(AND(L1236=1,O1236*Calculations!$B$2&lt;=Calculations!$B$11*Calculations!$B$4),1,0)</ns0:f>
        <ns0:v>0</ns0:v>
      </ns0:c>
    </ns0:row>
    <ns0:row r="1237">
      <ns0:c r="A1237" t="inlineStr">
        <ns0:is>
          <ns0:t>case_1236</ns0:t>
        </ns0:is>
      </ns0:c>
      <ns0:c r="B1237" t="inlineStr">
        <ns0:is>
          <ns0:t>function_0268</ns0:t>
        </ns0:is>
      </ns0:c>
      <ns0:c r="C1237" t="inlineStr">
        <ns0:is>
          <ns0:t>run_012</ns0:t>
        </ns0:is>
      </ns0:c>
      <ns0:c r="D1237" t="inlineStr">
        <ns0:is>
          <ns0:t>mio</ns0:t>
        </ns0:is>
      </ns0:c>
      <ns0:c r="E1237" t="inlineStr">
        <ns0:is>
          <ns0:t>gemini-2.5-flash-nothinking</ns0:t>
        </ns0:is>
      </ns0:c>
      <ns0:c r="F1237" t="inlineStr">
        <ns0:is>
          <ns0:t>E0308,E0599</ns0:t>
        </ns0:is>
      </ns0:c>
      <ns0:c r="G1237" t="n">
        <ns0:v>0</ns0:v>
      </ns0:c>
      <ns0:c r="H1237" t="n">
        <ns0:v>3787</ns0:v>
      </ns0:c>
      <ns0:c r="I1237" t="n">
        <ns0:v>297</ns0:v>
      </ns0:c>
      <ns0:c r="J1237" t="n">
        <ns0:v>4084</ns0:v>
      </ns0:c>
      <ns0:c r="K1237" t="n">
        <ns0:v>3</ns0:v>
      </ns0:c>
      <ns0:c r="L1237" t="n">
        <ns0:v>1</ns0:v>
      </ns0:c>
      <ns0:c r="M1237" t="n">
        <ns0:v>127680</ns0:v>
      </ns0:c>
      <ns0:c r="N1237" t="n">
        <ns0:v>1167</ns0:v>
      </ns0:c>
      <ns0:c r="O1237" t="n">
        <ns0:v>128847</ns0:v>
      </ns0:c>
      <ns0:c r="P1237" t="n">
        <ns0:v>15</ns0:v>
      </ns0:c>
      <ns0:c r="Q1237">
        <ns0:f>IF(AND(L1237=1,O1237*Calculations!$B$2&lt;=Calculations!$B$10*Calculations!$B$4),1,0)</ns0:f>
        <ns0:v>0</ns0:v>
      </ns0:c>
      <ns0:c r="R1237">
        <ns0:f>IF(AND(L1237=1,O1237*Calculations!$B$2&lt;=Calculations!$B$11*Calculations!$B$4),1,0)</ns0:f>
        <ns0:v>0</ns0:v>
      </ns0:c>
    </ns0:row>
    <ns0:row r="1238">
      <ns0:c r="A1238" t="inlineStr">
        <ns0:is>
          <ns0:t>case_1237</ns0:t>
        </ns0:is>
      </ns0:c>
      <ns0:c r="B1238" t="inlineStr">
        <ns0:is>
          <ns0:t>function_0269</ns0:t>
        </ns0:is>
      </ns0:c>
      <ns0:c r="C1238" t="inlineStr">
        <ns0:is>
          <ns0:t>run_012</ns0:t>
        </ns0:is>
      </ns0:c>
      <ns0:c r="D1238" t="inlineStr">
        <ns0:is>
          <ns0:t>mio</ns0:t>
        </ns0:is>
      </ns0:c>
      <ns0:c r="E1238" t="inlineStr">
        <ns0:is>
          <ns0:t>gemini-2.5-flash-nothinking</ns0:t>
        </ns0:is>
      </ns0:c>
      <ns0:c r="F1238" t="inlineStr"/>
      <ns0:c r="G1238" t="n">
        <ns0:v>0</ns0:v>
      </ns0:c>
      <ns0:c r="H1238" t="n">
        <ns0:v>2776</ns0:v>
      </ns0:c>
      <ns0:c r="I1238" t="n">
        <ns0:v>584</ns0:v>
      </ns0:c>
      <ns0:c r="J1238" t="n">
        <ns0:v>3360</ns0:v>
      </ns0:c>
      <ns0:c r="K1238" t="n">
        <ns0:v>3</ns0:v>
      </ns0:c>
      <ns0:c r="L1238" t="n">
        <ns0:v>1</ns0:v>
      </ns0:c>
      <ns0:c r="M1238" t="n">
        <ns0:v>33388</ns0:v>
      </ns0:c>
      <ns0:c r="N1238" t="n">
        <ns0:v>378</ns0:v>
      </ns0:c>
      <ns0:c r="O1238" t="n">
        <ns0:v>33766</ns0:v>
      </ns0:c>
      <ns0:c r="P1238" t="n">
        <ns0:v>4</ns0:v>
      </ns0:c>
      <ns0:c r="Q1238">
        <ns0:f>IF(AND(L1238=1,O1238*Calculations!$B$2&lt;=Calculations!$B$10*Calculations!$B$4),1,0)</ns0:f>
        <ns0:v>0</ns0:v>
      </ns0:c>
      <ns0:c r="R1238">
        <ns0:f>IF(AND(L1238=1,O1238*Calculations!$B$2&lt;=Calculations!$B$11*Calculations!$B$4),1,0)</ns0:f>
        <ns0:v>1</ns0:v>
      </ns0:c>
    </ns0:row>
    <ns0:row r="1239">
      <ns0:c r="A1239" t="inlineStr">
        <ns0:is>
          <ns0:t>case_1238</ns0:t>
        </ns0:is>
      </ns0:c>
      <ns0:c r="B1239" t="inlineStr">
        <ns0:is>
          <ns0:t>function_0269</ns0:t>
        </ns0:is>
      </ns0:c>
      <ns0:c r="C1239" t="inlineStr">
        <ns0:is>
          <ns0:t>run_012</ns0:t>
        </ns0:is>
      </ns0:c>
      <ns0:c r="D1239" t="inlineStr">
        <ns0:is>
          <ns0:t>mio</ns0:t>
        </ns0:is>
      </ns0:c>
      <ns0:c r="E1239" t="inlineStr">
        <ns0:is>
          <ns0:t>gemini-2.5-flash-nothinking</ns0:t>
        </ns0:is>
      </ns0:c>
      <ns0:c r="F1239" t="inlineStr"/>
      <ns0:c r="G1239" t="n">
        <ns0:v>0</ns0:v>
      </ns0:c>
      <ns0:c r="H1239" t="n">
        <ns0:v>2756</ns0:v>
      </ns0:c>
      <ns0:c r="I1239" t="n">
        <ns0:v>141</ns0:v>
      </ns0:c>
      <ns0:c r="J1239" t="n">
        <ns0:v>2897</ns0:v>
      </ns0:c>
      <ns0:c r="K1239" t="n">
        <ns0:v>3</ns0:v>
      </ns0:c>
      <ns0:c r="L1239" t="n">
        <ns0:v>1</ns0:v>
      </ns0:c>
      <ns0:c r="M1239" t="n">
        <ns0:v>44772</ns0:v>
      </ns0:c>
      <ns0:c r="N1239" t="n">
        <ns0:v>519</ns0:v>
      </ns0:c>
      <ns0:c r="O1239" t="n">
        <ns0:v>45291</ns0:v>
      </ns0:c>
      <ns0:c r="P1239" t="n">
        <ns0:v>6</ns0:v>
      </ns0:c>
      <ns0:c r="Q1239">
        <ns0:f>IF(AND(L1239=1,O1239*Calculations!$B$2&lt;=Calculations!$B$10*Calculations!$B$4),1,0)</ns0:f>
        <ns0:v>0</ns0:v>
      </ns0:c>
      <ns0:c r="R1239">
        <ns0:f>IF(AND(L1239=1,O1239*Calculations!$B$2&lt;=Calculations!$B$11*Calculations!$B$4),1,0)</ns0:f>
        <ns0:v>1</ns0:v>
      </ns0:c>
    </ns0:row>
    <ns0:row r="1240">
      <ns0:c r="A1240" t="inlineStr">
        <ns0:is>
          <ns0:t>case_1239</ns0:t>
        </ns0:is>
      </ns0:c>
      <ns0:c r="B1240" t="inlineStr">
        <ns0:is>
          <ns0:t>function_0269</ns0:t>
        </ns0:is>
      </ns0:c>
      <ns0:c r="C1240" t="inlineStr">
        <ns0:is>
          <ns0:t>run_012</ns0:t>
        </ns0:is>
      </ns0:c>
      <ns0:c r="D1240" t="inlineStr">
        <ns0:is>
          <ns0:t>mio</ns0:t>
        </ns0:is>
      </ns0:c>
      <ns0:c r="E1240" t="inlineStr">
        <ns0:is>
          <ns0:t>gemini-2.5-flash-nothinking</ns0:t>
        </ns0:is>
      </ns0:c>
      <ns0:c r="F1240" t="inlineStr"/>
      <ns0:c r="G1240" t="n">
        <ns0:v>0</ns0:v>
      </ns0:c>
      <ns0:c r="H1240" t="n">
        <ns0:v>2794</ns0:v>
      </ns0:c>
      <ns0:c r="I1240" t="n">
        <ns0:v>168</ns0:v>
      </ns0:c>
      <ns0:c r="J1240" t="n">
        <ns0:v>2962</ns0:v>
      </ns0:c>
      <ns0:c r="K1240" t="n">
        <ns0:v>3</ns0:v>
      </ns0:c>
      <ns0:c r="L1240" t="n">
        <ns0:v>1</ns0:v>
      </ns0:c>
      <ns0:c r="M1240" t="n">
        <ns0:v>33292</ns0:v>
      </ns0:c>
      <ns0:c r="N1240" t="n">
        <ns0:v>378</ns0:v>
      </ns0:c>
      <ns0:c r="O1240" t="n">
        <ns0:v>33670</ns0:v>
      </ns0:c>
      <ns0:c r="P1240" t="n">
        <ns0:v>4</ns0:v>
      </ns0:c>
      <ns0:c r="Q1240">
        <ns0:f>IF(AND(L1240=1,O1240*Calculations!$B$2&lt;=Calculations!$B$10*Calculations!$B$4),1,0)</ns0:f>
        <ns0:v>0</ns0:v>
      </ns0:c>
      <ns0:c r="R1240">
        <ns0:f>IF(AND(L1240=1,O1240*Calculations!$B$2&lt;=Calculations!$B$11*Calculations!$B$4),1,0)</ns0:f>
        <ns0:v>1</ns0:v>
      </ns0:c>
    </ns0:row>
    <ns0:row r="1241">
      <ns0:c r="A1241" t="inlineStr">
        <ns0:is>
          <ns0:t>case_1240</ns0:t>
        </ns0:is>
      </ns0:c>
      <ns0:c r="B1241" t="inlineStr">
        <ns0:is>
          <ns0:t>function_0269</ns0:t>
        </ns0:is>
      </ns0:c>
      <ns0:c r="C1241" t="inlineStr">
        <ns0:is>
          <ns0:t>run_012</ns0:t>
        </ns0:is>
      </ns0:c>
      <ns0:c r="D1241" t="inlineStr">
        <ns0:is>
          <ns0:t>mio</ns0:t>
        </ns0:is>
      </ns0:c>
      <ns0:c r="E1241" t="inlineStr">
        <ns0:is>
          <ns0:t>gemini-2.5-flash-nothinking</ns0:t>
        </ns0:is>
      </ns0:c>
      <ns0:c r="F1241" t="inlineStr"/>
      <ns0:c r="G1241" t="n">
        <ns0:v>0</ns0:v>
      </ns0:c>
      <ns0:c r="H1241" t="n">
        <ns0:v>2693</ns0:v>
      </ns0:c>
      <ns0:c r="I1241" t="n">
        <ns0:v>117</ns0:v>
      </ns0:c>
      <ns0:c r="J1241" t="n">
        <ns0:v>2810</ns0:v>
      </ns0:c>
      <ns0:c r="K1241" t="n">
        <ns0:v>3</ns0:v>
      </ns0:c>
      <ns0:c r="L1241" t="n">
        <ns0:v>1</ns0:v>
      </ns0:c>
      <ns0:c r="M1241" t="n">
        <ns0:v>28829</ns0:v>
      </ns0:c>
      <ns0:c r="N1241" t="n">
        <ns0:v>429</ns0:v>
      </ns0:c>
      <ns0:c r="O1241" t="n">
        <ns0:v>29258</ns0:v>
      </ns0:c>
      <ns0:c r="P1241" t="n">
        <ns0:v>4</ns0:v>
      </ns0:c>
      <ns0:c r="Q1241">
        <ns0:f>IF(AND(L1241=1,O1241*Calculations!$B$2&lt;=Calculations!$B$10*Calculations!$B$4),1,0)</ns0:f>
        <ns0:v>0</ns0:v>
      </ns0:c>
      <ns0:c r="R1241">
        <ns0:f>IF(AND(L1241=1,O1241*Calculations!$B$2&lt;=Calculations!$B$11*Calculations!$B$4),1,0)</ns0:f>
        <ns0:v>1</ns0:v>
      </ns0:c>
    </ns0:row>
    <ns0:row r="1242">
      <ns0:c r="A1242" t="inlineStr">
        <ns0:is>
          <ns0:t>case_1241</ns0:t>
        </ns0:is>
      </ns0:c>
      <ns0:c r="B1242" t="inlineStr">
        <ns0:is>
          <ns0:t>function_0270</ns0:t>
        </ns0:is>
      </ns0:c>
      <ns0:c r="C1242" t="inlineStr">
        <ns0:is>
          <ns0:t>run_012</ns0:t>
        </ns0:is>
      </ns0:c>
      <ns0:c r="D1242" t="inlineStr">
        <ns0:is>
          <ns0:t>mio</ns0:t>
        </ns0:is>
      </ns0:c>
      <ns0:c r="E1242" t="inlineStr">
        <ns0:is>
          <ns0:t>gemini-2.5-flash-nothinking</ns0:t>
        </ns0:is>
      </ns0:c>
      <ns0:c r="F1242" t="inlineStr">
        <ns0:is>
          <ns0:t>E0433,E0599,E0658</ns0:t>
        </ns0:is>
      </ns0:c>
      <ns0:c r="G1242" t="n">
        <ns0:v>0</ns0:v>
      </ns0:c>
      <ns0:c r="H1242" t="n">
        <ns0:v>3094</ns0:v>
      </ns0:c>
      <ns0:c r="I1242" t="n">
        <ns0:v>415</ns0:v>
      </ns0:c>
      <ns0:c r="J1242" t="n">
        <ns0:v>3509</ns0:v>
      </ns0:c>
      <ns0:c r="K1242" t="n">
        <ns0:v>3</ns0:v>
      </ns0:c>
      <ns0:c r="L1242" t="n">
        <ns0:v>1</ns0:v>
      </ns0:c>
      <ns0:c r="M1242" t="n">
        <ns0:v>35072</ns0:v>
      </ns0:c>
      <ns0:c r="N1242" t="n">
        <ns0:v>3748</ns0:v>
      </ns0:c>
      <ns0:c r="O1242" t="n">
        <ns0:v>38820</ns0:v>
      </ns0:c>
      <ns0:c r="P1242" t="n">
        <ns0:v>4</ns0:v>
      </ns0:c>
      <ns0:c r="Q1242">
        <ns0:f>IF(AND(L1242=1,O1242*Calculations!$B$2&lt;=Calculations!$B$10*Calculations!$B$4),1,0)</ns0:f>
        <ns0:v>0</ns0:v>
      </ns0:c>
      <ns0:c r="R1242">
        <ns0:f>IF(AND(L1242=1,O1242*Calculations!$B$2&lt;=Calculations!$B$11*Calculations!$B$4),1,0)</ns0:f>
        <ns0:v>1</ns0:v>
      </ns0:c>
    </ns0:row>
    <ns0:row r="1243">
      <ns0:c r="A1243" t="inlineStr">
        <ns0:is>
          <ns0:t>case_1242</ns0:t>
        </ns0:is>
      </ns0:c>
      <ns0:c r="B1243" t="inlineStr">
        <ns0:is>
          <ns0:t>function_0270</ns0:t>
        </ns0:is>
      </ns0:c>
      <ns0:c r="C1243" t="inlineStr">
        <ns0:is>
          <ns0:t>run_012</ns0:t>
        </ns0:is>
      </ns0:c>
      <ns0:c r="D1243" t="inlineStr">
        <ns0:is>
          <ns0:t>mio</ns0:t>
        </ns0:is>
      </ns0:c>
      <ns0:c r="E1243" t="inlineStr">
        <ns0:is>
          <ns0:t>gemini-2.5-flash-nothinking</ns0:t>
        </ns0:is>
      </ns0:c>
      <ns0:c r="F1243" t="inlineStr">
        <ns0:is>
          <ns0:t>E0071,E0425,E0433,E0658</ns0:t>
        </ns0:is>
      </ns0:c>
      <ns0:c r="G1243" t="n">
        <ns0:v>0</ns0:v>
      </ns0:c>
      <ns0:c r="H1243" t="n">
        <ns0:v>2824</ns0:v>
      </ns0:c>
      <ns0:c r="I1243" t="n">
        <ns0:v>294</ns0:v>
      </ns0:c>
      <ns0:c r="J1243" t="n">
        <ns0:v>3118</ns0:v>
      </ns0:c>
      <ns0:c r="K1243" t="n">
        <ns0:v>3</ns0:v>
      </ns0:c>
      <ns0:c r="L1243" t="n">
        <ns0:v>0</ns0:v>
      </ns0:c>
      <ns0:c r="M1243" t="n">
        <ns0:v>262546</ns0:v>
      </ns0:c>
      <ns0:c r="N1243" t="n">
        <ns0:v>8205</ns0:v>
      </ns0:c>
      <ns0:c r="O1243" t="n">
        <ns0:v>270751</ns0:v>
      </ns0:c>
      <ns0:c r="P1243" t="n">
        <ns0:v>23</ns0:v>
      </ns0:c>
      <ns0:c r="Q1243">
        <ns0:f>IF(AND(L1243=1,O1243*Calculations!$B$2&lt;=Calculations!$B$10*Calculations!$B$4),1,0)</ns0:f>
        <ns0:v>0</ns0:v>
      </ns0:c>
      <ns0:c r="R1243">
        <ns0:f>IF(AND(L1243=1,O1243*Calculations!$B$2&lt;=Calculations!$B$11*Calculations!$B$4),1,0)</ns0:f>
        <ns0:v>0</ns0:v>
      </ns0:c>
    </ns0:row>
    <ns0:row r="1244">
      <ns0:c r="A1244" t="inlineStr">
        <ns0:is>
          <ns0:t>case_1243</ns0:t>
        </ns0:is>
      </ns0:c>
      <ns0:c r="B1244" t="inlineStr">
        <ns0:is>
          <ns0:t>function_0271</ns0:t>
        </ns0:is>
      </ns0:c>
      <ns0:c r="C1244" t="inlineStr">
        <ns0:is>
          <ns0:t>run_012</ns0:t>
        </ns0:is>
      </ns0:c>
      <ns0:c r="D1244" t="inlineStr">
        <ns0:is>
          <ns0:t>mio</ns0:t>
        </ns0:is>
      </ns0:c>
      <ns0:c r="E1244" t="inlineStr">
        <ns0:is>
          <ns0:t>gemini-2.5-flash-nothinking</ns0:t>
        </ns0:is>
      </ns0:c>
      <ns0:c r="F1244" t="inlineStr">
        <ns0:is>
          <ns0:t>E0599,E0603</ns0:t>
        </ns0:is>
      </ns0:c>
      <ns0:c r="G1244" t="n">
        <ns0:v>0</ns0:v>
      </ns0:c>
      <ns0:c r="H1244" t="n">
        <ns0:v>2395</ns0:v>
      </ns0:c>
      <ns0:c r="I1244" t="n">
        <ns0:v>189</ns0:v>
      </ns0:c>
      <ns0:c r="J1244" t="n">
        <ns0:v>2584</ns0:v>
      </ns0:c>
      <ns0:c r="K1244" t="n">
        <ns0:v>3</ns0:v>
      </ns0:c>
      <ns0:c r="L1244" t="n">
        <ns0:v>1</ns0:v>
      </ns0:c>
      <ns0:c r="M1244" t="n">
        <ns0:v>70237</ns0:v>
      </ns0:c>
      <ns0:c r="N1244" t="n">
        <ns0:v>641</ns0:v>
      </ns0:c>
      <ns0:c r="O1244" t="n">
        <ns0:v>70878</ns0:v>
      </ns0:c>
      <ns0:c r="P1244" t="n">
        <ns0:v>9</ns0:v>
      </ns0:c>
      <ns0:c r="Q1244">
        <ns0:f>IF(AND(L1244=1,O1244*Calculations!$B$2&lt;=Calculations!$B$10*Calculations!$B$4),1,0)</ns0:f>
        <ns0:v>0</ns0:v>
      </ns0:c>
      <ns0:c r="R1244">
        <ns0:f>IF(AND(L1244=1,O1244*Calculations!$B$2&lt;=Calculations!$B$11*Calculations!$B$4),1,0)</ns0:f>
        <ns0:v>0</ns0:v>
      </ns0:c>
    </ns0:row>
    <ns0:row r="1245">
      <ns0:c r="A1245" t="inlineStr">
        <ns0:is>
          <ns0:t>case_1244</ns0:t>
        </ns0:is>
      </ns0:c>
      <ns0:c r="B1245" t="inlineStr">
        <ns0:is>
          <ns0:t>function_0271</ns0:t>
        </ns0:is>
      </ns0:c>
      <ns0:c r="C1245" t="inlineStr">
        <ns0:is>
          <ns0:t>run_012</ns0:t>
        </ns0:is>
      </ns0:c>
      <ns0:c r="D1245" t="inlineStr">
        <ns0:is>
          <ns0:t>mio</ns0:t>
        </ns0:is>
      </ns0:c>
      <ns0:c r="E1245" t="inlineStr">
        <ns0:is>
          <ns0:t>gemini-2.5-flash-nothinking</ns0:t>
        </ns0:is>
      </ns0:c>
      <ns0:c r="F1245" t="inlineStr">
        <ns0:is>
          <ns0:t>E0433,E0599</ns0:t>
        </ns0:is>
      </ns0:c>
      <ns0:c r="G1245" t="n">
        <ns0:v>0</ns0:v>
      </ns0:c>
      <ns0:c r="H1245" t="n">
        <ns0:v>2877</ns0:v>
      </ns0:c>
      <ns0:c r="I1245" t="n">
        <ns0:v>213</ns0:v>
      </ns0:c>
      <ns0:c r="J1245" t="n">
        <ns0:v>3090</ns0:v>
      </ns0:c>
      <ns0:c r="K1245" t="n">
        <ns0:v>3</ns0:v>
      </ns0:c>
      <ns0:c r="L1245" t="n">
        <ns0:v>1</ns0:v>
      </ns0:c>
      <ns0:c r="M1245" t="n">
        <ns0:v>33634</ns0:v>
      </ns0:c>
      <ns0:c r="N1245" t="n">
        <ns0:v>748</ns0:v>
      </ns0:c>
      <ns0:c r="O1245" t="n">
        <ns0:v>34382</ns0:v>
      </ns0:c>
      <ns0:c r="P1245" t="n">
        <ns0:v>4</ns0:v>
      </ns0:c>
      <ns0:c r="Q1245">
        <ns0:f>IF(AND(L1245=1,O1245*Calculations!$B$2&lt;=Calculations!$B$10*Calculations!$B$4),1,0)</ns0:f>
        <ns0:v>0</ns0:v>
      </ns0:c>
      <ns0:c r="R1245">
        <ns0:f>IF(AND(L1245=1,O1245*Calculations!$B$2&lt;=Calculations!$B$11*Calculations!$B$4),1,0)</ns0:f>
        <ns0:v>1</ns0:v>
      </ns0:c>
    </ns0:row>
    <ns0:row r="1246">
      <ns0:c r="A1246" t="inlineStr">
        <ns0:is>
          <ns0:t>case_1245</ns0:t>
        </ns0:is>
      </ns0:c>
      <ns0:c r="B1246" t="inlineStr">
        <ns0:is>
          <ns0:t>function_0272</ns0:t>
        </ns0:is>
      </ns0:c>
      <ns0:c r="C1246" t="inlineStr">
        <ns0:is>
          <ns0:t>run_012</ns0:t>
        </ns0:is>
      </ns0:c>
      <ns0:c r="D1246" t="inlineStr">
        <ns0:is>
          <ns0:t>mio</ns0:t>
        </ns0:is>
      </ns0:c>
      <ns0:c r="E1246" t="inlineStr">
        <ns0:is>
          <ns0:t>gemini-2.5-flash-nothinking</ns0:t>
        </ns0:is>
      </ns0:c>
      <ns0:c r="F1246" t="inlineStr">
        <ns0:is>
          <ns0:t>E0599</ns0:t>
        </ns0:is>
      </ns0:c>
      <ns0:c r="G1246" t="n">
        <ns0:v>0</ns0:v>
      </ns0:c>
      <ns0:c r="H1246" t="n">
        <ns0:v>2256</ns0:v>
      </ns0:c>
      <ns0:c r="I1246" t="n">
        <ns0:v>191</ns0:v>
      </ns0:c>
      <ns0:c r="J1246" t="n">
        <ns0:v>2447</ns0:v>
      </ns0:c>
      <ns0:c r="K1246" t="n">
        <ns0:v>3</ns0:v>
      </ns0:c>
      <ns0:c r="L1246" t="n">
        <ns0:v>1</ns0:v>
      </ns0:c>
      <ns0:c r="M1246" t="n">
        <ns0:v>62953</ns0:v>
      </ns0:c>
      <ns0:c r="N1246" t="n">
        <ns0:v>548</ns0:v>
      </ns0:c>
      <ns0:c r="O1246" t="n">
        <ns0:v>63501</ns0:v>
      </ns0:c>
      <ns0:c r="P1246" t="n">
        <ns0:v>7</ns0:v>
      </ns0:c>
      <ns0:c r="Q1246">
        <ns0:f>IF(AND(L1246=1,O1246*Calculations!$B$2&lt;=Calculations!$B$10*Calculations!$B$4),1,0)</ns0:f>
        <ns0:v>0</ns0:v>
      </ns0:c>
      <ns0:c r="R1246">
        <ns0:f>IF(AND(L1246=1,O1246*Calculations!$B$2&lt;=Calculations!$B$11*Calculations!$B$4),1,0)</ns0:f>
        <ns0:v>0</ns0:v>
      </ns0:c>
    </ns0:row>
    <ns0:row r="1247">
      <ns0:c r="A1247" t="inlineStr">
        <ns0:is>
          <ns0:t>case_1246</ns0:t>
        </ns0:is>
      </ns0:c>
      <ns0:c r="B1247" t="inlineStr">
        <ns0:is>
          <ns0:t>function_0272</ns0:t>
        </ns0:is>
      </ns0:c>
      <ns0:c r="C1247" t="inlineStr">
        <ns0:is>
          <ns0:t>run_012</ns0:t>
        </ns0:is>
      </ns0:c>
      <ns0:c r="D1247" t="inlineStr">
        <ns0:is>
          <ns0:t>mio</ns0:t>
        </ns0:is>
      </ns0:c>
      <ns0:c r="E1247" t="inlineStr">
        <ns0:is>
          <ns0:t>gemini-2.5-flash-nothinking</ns0:t>
        </ns0:is>
      </ns0:c>
      <ns0:c r="F1247" t="inlineStr">
        <ns0:is>
          <ns0:t>E0433</ns0:t>
        </ns0:is>
      </ns0:c>
      <ns0:c r="G1247" t="n">
        <ns0:v>0</ns0:v>
      </ns0:c>
      <ns0:c r="H1247" t="n">
        <ns0:v>2142</ns0:v>
      </ns0:c>
      <ns0:c r="I1247" t="n">
        <ns0:v>152</ns0:v>
      </ns0:c>
      <ns0:c r="J1247" t="n">
        <ns0:v>2294</ns0:v>
      </ns0:c>
      <ns0:c r="K1247" t="n">
        <ns0:v>3</ns0:v>
      </ns0:c>
      <ns0:c r="L1247" t="n">
        <ns0:v>1</ns0:v>
      </ns0:c>
      <ns0:c r="M1247" t="n">
        <ns0:v>36015</ns0:v>
      </ns0:c>
      <ns0:c r="N1247" t="n">
        <ns0:v>347</ns0:v>
      </ns0:c>
      <ns0:c r="O1247" t="n">
        <ns0:v>36362</ns0:v>
      </ns0:c>
      <ns0:c r="P1247" t="n">
        <ns0:v>5</ns0:v>
      </ns0:c>
      <ns0:c r="Q1247">
        <ns0:f>IF(AND(L1247=1,O1247*Calculations!$B$2&lt;=Calculations!$B$10*Calculations!$B$4),1,0)</ns0:f>
        <ns0:v>0</ns0:v>
      </ns0:c>
      <ns0:c r="R1247">
        <ns0:f>IF(AND(L1247=1,O1247*Calculations!$B$2&lt;=Calculations!$B$11*Calculations!$B$4),1,0)</ns0:f>
        <ns0:v>1</ns0:v>
      </ns0:c>
    </ns0:row>
    <ns0:row r="1248">
      <ns0:c r="A1248" t="inlineStr">
        <ns0:is>
          <ns0:t>case_1247</ns0:t>
        </ns0:is>
      </ns0:c>
      <ns0:c r="B1248" t="inlineStr">
        <ns0:is>
          <ns0:t>function_0273</ns0:t>
        </ns0:is>
      </ns0:c>
      <ns0:c r="C1248" t="inlineStr">
        <ns0:is>
          <ns0:t>run_012</ns0:t>
        </ns0:is>
      </ns0:c>
      <ns0:c r="D1248" t="inlineStr">
        <ns0:is>
          <ns0:t>mio</ns0:t>
        </ns0:is>
      </ns0:c>
      <ns0:c r="E1248" t="inlineStr">
        <ns0:is>
          <ns0:t>gemini-2.5-flash-nothinking</ns0:t>
        </ns0:is>
      </ns0:c>
      <ns0:c r="F1248" t="inlineStr">
        <ns0:is>
          <ns0:t>E0433,E0599</ns0:t>
        </ns0:is>
      </ns0:c>
      <ns0:c r="G1248" t="n">
        <ns0:v>0</ns0:v>
      </ns0:c>
      <ns0:c r="H1248" t="n">
        <ns0:v>6391</ns0:v>
      </ns0:c>
      <ns0:c r="I1248" t="n">
        <ns0:v>336</ns0:v>
      </ns0:c>
      <ns0:c r="J1248" t="n">
        <ns0:v>6727</ns0:v>
      </ns0:c>
      <ns0:c r="K1248" t="n">
        <ns0:v>3</ns0:v>
      </ns0:c>
      <ns0:c r="L1248" t="n">
        <ns0:v>0</ns0:v>
      </ns0:c>
      <ns0:c r="M1248" t="n">
        <ns0:v>249868</ns0:v>
      </ns0:c>
      <ns0:c r="N1248" t="n">
        <ns0:v>4378</ns0:v>
      </ns0:c>
      <ns0:c r="O1248" t="n">
        <ns0:v>254246</ns0:v>
      </ns0:c>
      <ns0:c r="P1248" t="n">
        <ns0:v>23</ns0:v>
      </ns0:c>
      <ns0:c r="Q1248">
        <ns0:f>IF(AND(L1248=1,O1248*Calculations!$B$2&lt;=Calculations!$B$10*Calculations!$B$4),1,0)</ns0:f>
        <ns0:v>0</ns0:v>
      </ns0:c>
      <ns0:c r="R1248">
        <ns0:f>IF(AND(L1248=1,O1248*Calculations!$B$2&lt;=Calculations!$B$11*Calculations!$B$4),1,0)</ns0:f>
        <ns0:v>0</ns0:v>
      </ns0:c>
    </ns0:row>
    <ns0:row r="1249">
      <ns0:c r="A1249" t="inlineStr">
        <ns0:is>
          <ns0:t>case_1248</ns0:t>
        </ns0:is>
      </ns0:c>
      <ns0:c r="B1249" t="inlineStr">
        <ns0:is>
          <ns0:t>function_0273</ns0:t>
        </ns0:is>
      </ns0:c>
      <ns0:c r="C1249" t="inlineStr">
        <ns0:is>
          <ns0:t>run_012</ns0:t>
        </ns0:is>
      </ns0:c>
      <ns0:c r="D1249" t="inlineStr">
        <ns0:is>
          <ns0:t>mio</ns0:t>
        </ns0:is>
      </ns0:c>
      <ns0:c r="E1249" t="inlineStr">
        <ns0:is>
          <ns0:t>gemini-2.5-flash-nothinking</ns0:t>
        </ns0:is>
      </ns0:c>
      <ns0:c r="F1249" t="inlineStr">
        <ns0:is>
          <ns0:t>E0433,E0599,E0603</ns0:t>
        </ns0:is>
      </ns0:c>
      <ns0:c r="G1249" t="n">
        <ns0:v>0</ns0:v>
      </ns0:c>
      <ns0:c r="H1249" t="n">
        <ns0:v>2468</ns0:v>
      </ns0:c>
      <ns0:c r="I1249" t="n">
        <ns0:v>150</ns0:v>
      </ns0:c>
      <ns0:c r="J1249" t="n">
        <ns0:v>2618</ns0:v>
      </ns0:c>
      <ns0:c r="K1249" t="n">
        <ns0:v>3</ns0:v>
      </ns0:c>
      <ns0:c r="L1249" t="n">
        <ns0:v>1</ns0:v>
      </ns0:c>
      <ns0:c r="M1249" t="n">
        <ns0:v>50084</ns0:v>
      </ns0:c>
      <ns0:c r="N1249" t="n">
        <ns0:v>1615</ns0:v>
      </ns0:c>
      <ns0:c r="O1249" t="n">
        <ns0:v>51699</ns0:v>
      </ns0:c>
      <ns0:c r="P1249" t="n">
        <ns0:v>6</ns0:v>
      </ns0:c>
      <ns0:c r="Q1249">
        <ns0:f>IF(AND(L1249=1,O1249*Calculations!$B$2&lt;=Calculations!$B$10*Calculations!$B$4),1,0)</ns0:f>
        <ns0:v>0</ns0:v>
      </ns0:c>
      <ns0:c r="R1249">
        <ns0:f>IF(AND(L1249=1,O1249*Calculations!$B$2&lt;=Calculations!$B$11*Calculations!$B$4),1,0)</ns0:f>
        <ns0:v>0</ns0:v>
      </ns0:c>
    </ns0:row>
    <ns0:row r="1250">
      <ns0:c r="A1250" t="inlineStr">
        <ns0:is>
          <ns0:t>case_1249</ns0:t>
        </ns0:is>
      </ns0:c>
      <ns0:c r="B1250" t="inlineStr">
        <ns0:is>
          <ns0:t>function_0274</ns0:t>
        </ns0:is>
      </ns0:c>
      <ns0:c r="C1250" t="inlineStr">
        <ns0:is>
          <ns0:t>run_012</ns0:t>
        </ns0:is>
      </ns0:c>
      <ns0:c r="D1250" t="inlineStr">
        <ns0:is>
          <ns0:t>mio</ns0:t>
        </ns0:is>
      </ns0:c>
      <ns0:c r="E1250" t="inlineStr">
        <ns0:is>
          <ns0:t>gemini-2.5-flash-nothinking</ns0:t>
        </ns0:is>
      </ns0:c>
      <ns0:c r="F1250" t="inlineStr"/>
      <ns0:c r="G1250" t="n">
        <ns0:v>1</ns0:v>
      </ns0:c>
      <ns0:c r="H1250" t="n">
        <ns0:v>597</ns0:v>
      </ns0:c>
      <ns0:c r="I1250" t="n">
        <ns0:v>95</ns0:v>
      </ns0:c>
      <ns0:c r="J1250" t="n">
        <ns0:v>692</ns0:v>
      </ns0:c>
      <ns0:c r="K1250" t="n">
        <ns0:v>1</ns0:v>
      </ns0:c>
      <ns0:c r="L1250" t="n">
        <ns0:v>1</ns0:v>
      </ns0:c>
      <ns0:c r="M1250" t="n">
        <ns0:v>32663</ns0:v>
      </ns0:c>
      <ns0:c r="N1250" t="n">
        <ns0:v>612</ns0:v>
      </ns0:c>
      <ns0:c r="O1250" t="n">
        <ns0:v>33275</ns0:v>
      </ns0:c>
      <ns0:c r="P1250" t="n">
        <ns0:v>4</ns0:v>
      </ns0:c>
      <ns0:c r="Q1250">
        <ns0:f>IF(AND(L1250=1,O1250*Calculations!$B$2&lt;=Calculations!$B$10*Calculations!$B$4),1,0)</ns0:f>
        <ns0:v>0</ns0:v>
      </ns0:c>
      <ns0:c r="R1250">
        <ns0:f>IF(AND(L1250=1,O1250*Calculations!$B$2&lt;=Calculations!$B$11*Calculations!$B$4),1,0)</ns0:f>
        <ns0:v>1</ns0:v>
      </ns0:c>
    </ns0:row>
    <ns0:row r="1251">
      <ns0:c r="A1251" t="inlineStr">
        <ns0:is>
          <ns0:t>case_1250</ns0:t>
        </ns0:is>
      </ns0:c>
      <ns0:c r="B1251" t="inlineStr">
        <ns0:is>
          <ns0:t>function_0274</ns0:t>
        </ns0:is>
      </ns0:c>
      <ns0:c r="C1251" t="inlineStr">
        <ns0:is>
          <ns0:t>run_012</ns0:t>
        </ns0:is>
      </ns0:c>
      <ns0:c r="D1251" t="inlineStr">
        <ns0:is>
          <ns0:t>mio</ns0:t>
        </ns0:is>
      </ns0:c>
      <ns0:c r="E1251" t="inlineStr">
        <ns0:is>
          <ns0:t>gemini-2.5-flash-nothinking</ns0:t>
        </ns0:is>
      </ns0:c>
      <ns0:c r="F1251" t="inlineStr">
        <ns0:is>
          <ns0:t>E0425,E0433,E0599</ns0:t>
        </ns0:is>
      </ns0:c>
      <ns0:c r="G1251" t="n">
        <ns0:v>1</ns0:v>
      </ns0:c>
      <ns0:c r="H1251" t="n">
        <ns0:v>753</ns0:v>
      </ns0:c>
      <ns0:c r="I1251" t="n">
        <ns0:v>47</ns0:v>
      </ns0:c>
      <ns0:c r="J1251" t="n">
        <ns0:v>800</ns0:v>
      </ns0:c>
      <ns0:c r="K1251" t="n">
        <ns0:v>1</ns0:v>
      </ns0:c>
      <ns0:c r="L1251" t="n">
        <ns0:v>0</ns0:v>
      </ns0:c>
      <ns0:c r="M1251" t="n">
        <ns0:v>236401</ns0:v>
      </ns0:c>
      <ns0:c r="N1251" t="n">
        <ns0:v>3158</ns0:v>
      </ns0:c>
      <ns0:c r="O1251" t="n">
        <ns0:v>239559</ns0:v>
      </ns0:c>
      <ns0:c r="P1251" t="n">
        <ns0:v>20</ns0:v>
      </ns0:c>
      <ns0:c r="Q1251">
        <ns0:f>IF(AND(L1251=1,O1251*Calculations!$B$2&lt;=Calculations!$B$10*Calculations!$B$4),1,0)</ns0:f>
        <ns0:v>0</ns0:v>
      </ns0:c>
      <ns0:c r="R1251">
        <ns0:f>IF(AND(L1251=1,O1251*Calculations!$B$2&lt;=Calculations!$B$11*Calculations!$B$4),1,0)</ns0:f>
        <ns0:v>0</ns0:v>
      </ns0:c>
    </ns0:row>
    <ns0:row r="1252">
      <ns0:c r="A1252" t="inlineStr">
        <ns0:is>
          <ns0:t>case_1251</ns0:t>
        </ns0:is>
      </ns0:c>
      <ns0:c r="B1252" t="inlineStr">
        <ns0:is>
          <ns0:t>function_0275</ns0:t>
        </ns0:is>
      </ns0:c>
      <ns0:c r="C1252" t="inlineStr">
        <ns0:is>
          <ns0:t>run_012</ns0:t>
        </ns0:is>
      </ns0:c>
      <ns0:c r="D1252" t="inlineStr">
        <ns0:is>
          <ns0:t>mio</ns0:t>
        </ns0:is>
      </ns0:c>
      <ns0:c r="E1252" t="inlineStr">
        <ns0:is>
          <ns0:t>gemini-2.5-flash-nothinking</ns0:t>
        </ns0:is>
      </ns0:c>
      <ns0:c r="F1252" t="inlineStr">
        <ns0:is>
          <ns0:t>E0433,E0599</ns0:t>
        </ns0:is>
      </ns0:c>
      <ns0:c r="G1252" t="n">
        <ns0:v>0</ns0:v>
      </ns0:c>
      <ns0:c r="H1252" t="n">
        <ns0:v>2252</ns0:v>
      </ns0:c>
      <ns0:c r="I1252" t="n">
        <ns0:v>180</ns0:v>
      </ns0:c>
      <ns0:c r="J1252" t="n">
        <ns0:v>2432</ns0:v>
      </ns0:c>
      <ns0:c r="K1252" t="n">
        <ns0:v>3</ns0:v>
      </ns0:c>
      <ns0:c r="L1252" t="n">
        <ns0:v>0</ns0:v>
      </ns0:c>
      <ns0:c r="M1252" t="n">
        <ns0:v>210617</ns0:v>
      </ns0:c>
      <ns0:c r="N1252" t="n">
        <ns0:v>2632</ns0:v>
      </ns0:c>
      <ns0:c r="O1252" t="n">
        <ns0:v>213249</ns0:v>
      </ns0:c>
      <ns0:c r="P1252" t="n">
        <ns0:v>20</ns0:v>
      </ns0:c>
      <ns0:c r="Q1252">
        <ns0:f>IF(AND(L1252=1,O1252*Calculations!$B$2&lt;=Calculations!$B$10*Calculations!$B$4),1,0)</ns0:f>
        <ns0:v>0</ns0:v>
      </ns0:c>
      <ns0:c r="R1252">
        <ns0:f>IF(AND(L1252=1,O1252*Calculations!$B$2&lt;=Calculations!$B$11*Calculations!$B$4),1,0)</ns0:f>
        <ns0:v>0</ns0:v>
      </ns0:c>
    </ns0:row>
    <ns0:row r="1253">
      <ns0:c r="A1253" t="inlineStr">
        <ns0:is>
          <ns0:t>case_1252</ns0:t>
        </ns0:is>
      </ns0:c>
      <ns0:c r="B1253" t="inlineStr">
        <ns0:is>
          <ns0:t>function_0275</ns0:t>
        </ns0:is>
      </ns0:c>
      <ns0:c r="C1253" t="inlineStr">
        <ns0:is>
          <ns0:t>run_012</ns0:t>
        </ns0:is>
      </ns0:c>
      <ns0:c r="D1253" t="inlineStr">
        <ns0:is>
          <ns0:t>mio</ns0:t>
        </ns0:is>
      </ns0:c>
      <ns0:c r="E1253" t="inlineStr">
        <ns0:is>
          <ns0:t>gemini-2.5-flash-nothinking</ns0:t>
        </ns0:is>
      </ns0:c>
      <ns0:c r="F1253" t="inlineStr">
        <ns0:is>
          <ns0:t>E0433,E0599,E0603</ns0:t>
        </ns0:is>
      </ns0:c>
      <ns0:c r="G1253" t="n">
        <ns0:v>0</ns0:v>
      </ns0:c>
      <ns0:c r="H1253" t="n">
        <ns0:v>2400</ns0:v>
      </ns0:c>
      <ns0:c r="I1253" t="n">
        <ns0:v>144</ns0:v>
      </ns0:c>
      <ns0:c r="J1253" t="n">
        <ns0:v>2544</ns0:v>
      </ns0:c>
      <ns0:c r="K1253" t="n">
        <ns0:v>3</ns0:v>
      </ns0:c>
      <ns0:c r="L1253" t="n">
        <ns0:v>1</ns0:v>
      </ns0:c>
      <ns0:c r="M1253" t="n">
        <ns0:v>52475</ns0:v>
      </ns0:c>
      <ns0:c r="N1253" t="n">
        <ns0:v>1078</ns0:v>
      </ns0:c>
      <ns0:c r="O1253" t="n">
        <ns0:v>53553</ns0:v>
      </ns0:c>
      <ns0:c r="P1253" t="n">
        <ns0:v>6</ns0:v>
      </ns0:c>
      <ns0:c r="Q1253">
        <ns0:f>IF(AND(L1253=1,O1253*Calculations!$B$2&lt;=Calculations!$B$10*Calculations!$B$4),1,0)</ns0:f>
        <ns0:v>0</ns0:v>
      </ns0:c>
      <ns0:c r="R1253">
        <ns0:f>IF(AND(L1253=1,O1253*Calculations!$B$2&lt;=Calculations!$B$11*Calculations!$B$4),1,0)</ns0:f>
        <ns0:v>0</ns0:v>
      </ns0:c>
    </ns0:row>
    <ns0:row r="1254">
      <ns0:c r="A1254" t="inlineStr">
        <ns0:is>
          <ns0:t>case_1253</ns0:t>
        </ns0:is>
      </ns0:c>
      <ns0:c r="B1254" t="inlineStr">
        <ns0:is>
          <ns0:t>function_0276</ns0:t>
        </ns0:is>
      </ns0:c>
      <ns0:c r="C1254" t="inlineStr">
        <ns0:is>
          <ns0:t>run_012</ns0:t>
        </ns0:is>
      </ns0:c>
      <ns0:c r="D1254" t="inlineStr">
        <ns0:is>
          <ns0:t>mio</ns0:t>
        </ns0:is>
      </ns0:c>
      <ns0:c r="E1254" t="inlineStr">
        <ns0:is>
          <ns0:t>gemini-2.5-flash-nothinking</ns0:t>
        </ns0:is>
      </ns0:c>
      <ns0:c r="F1254" t="inlineStr">
        <ns0:is>
          <ns0:t>E0433,E0599</ns0:t>
        </ns0:is>
      </ns0:c>
      <ns0:c r="G1254" t="n">
        <ns0:v>0</ns0:v>
      </ns0:c>
      <ns0:c r="H1254" t="n">
        <ns0:v>2300</ns0:v>
      </ns0:c>
      <ns0:c r="I1254" t="n">
        <ns0:v>175</ns0:v>
      </ns0:c>
      <ns0:c r="J1254" t="n">
        <ns0:v>2475</ns0:v>
      </ns0:c>
      <ns0:c r="K1254" t="n">
        <ns0:v>3</ns0:v>
      </ns0:c>
      <ns0:c r="L1254" t="n">
        <ns0:v>1</ns0:v>
      </ns0:c>
      <ns0:c r="M1254" t="n">
        <ns0:v>103363</ns0:v>
      </ns0:c>
      <ns0:c r="N1254" t="n">
        <ns0:v>1713</ns0:v>
      </ns0:c>
      <ns0:c r="O1254" t="n">
        <ns0:v>105076</ns0:v>
      </ns0:c>
      <ns0:c r="P1254" t="n">
        <ns0:v>12</ns0:v>
      </ns0:c>
      <ns0:c r="Q1254">
        <ns0:f>IF(AND(L1254=1,O1254*Calculations!$B$2&lt;=Calculations!$B$10*Calculations!$B$4),1,0)</ns0:f>
        <ns0:v>0</ns0:v>
      </ns0:c>
      <ns0:c r="R1254">
        <ns0:f>IF(AND(L1254=1,O1254*Calculations!$B$2&lt;=Calculations!$B$11*Calculations!$B$4),1,0)</ns0:f>
        <ns0:v>0</ns0:v>
      </ns0:c>
    </ns0:row>
    <ns0:row r="1255">
      <ns0:c r="A1255" t="inlineStr">
        <ns0:is>
          <ns0:t>case_1254</ns0:t>
        </ns0:is>
      </ns0:c>
      <ns0:c r="B1255" t="inlineStr">
        <ns0:is>
          <ns0:t>function_0276</ns0:t>
        </ns0:is>
      </ns0:c>
      <ns0:c r="C1255" t="inlineStr">
        <ns0:is>
          <ns0:t>run_012</ns0:t>
        </ns0:is>
      </ns0:c>
      <ns0:c r="D1255" t="inlineStr">
        <ns0:is>
          <ns0:t>mio</ns0:t>
        </ns0:is>
      </ns0:c>
      <ns0:c r="E1255" t="inlineStr">
        <ns0:is>
          <ns0:t>gemini-2.5-flash-nothinking</ns0:t>
        </ns0:is>
      </ns0:c>
      <ns0:c r="F1255" t="inlineStr">
        <ns0:is>
          <ns0:t>E0433</ns0:t>
        </ns0:is>
      </ns0:c>
      <ns0:c r="G1255" t="n">
        <ns0:v>0</ns0:v>
      </ns0:c>
      <ns0:c r="H1255" t="n">
        <ns0:v>4110</ns0:v>
      </ns0:c>
      <ns0:c r="I1255" t="n">
        <ns0:v>172</ns0:v>
      </ns0:c>
      <ns0:c r="J1255" t="n">
        <ns0:v>4282</ns0:v>
      </ns0:c>
      <ns0:c r="K1255" t="n">
        <ns0:v>3</ns0:v>
      </ns0:c>
      <ns0:c r="L1255" t="n">
        <ns0:v>1</ns0:v>
      </ns0:c>
      <ns0:c r="M1255" t="n">
        <ns0:v>52232</ns0:v>
      </ns0:c>
      <ns0:c r="N1255" t="n">
        <ns0:v>462</ns0:v>
      </ns0:c>
      <ns0:c r="O1255" t="n">
        <ns0:v>52694</ns0:v>
      </ns0:c>
      <ns0:c r="P1255" t="n">
        <ns0:v>7</ns0:v>
      </ns0:c>
      <ns0:c r="Q1255">
        <ns0:f>IF(AND(L1255=1,O1255*Calculations!$B$2&lt;=Calculations!$B$10*Calculations!$B$4),1,0)</ns0:f>
        <ns0:v>0</ns0:v>
      </ns0:c>
      <ns0:c r="R1255">
        <ns0:f>IF(AND(L1255=1,O1255*Calculations!$B$2&lt;=Calculations!$B$11*Calculations!$B$4),1,0)</ns0:f>
        <ns0:v>0</ns0:v>
      </ns0:c>
    </ns0:row>
    <ns0:row r="1256">
      <ns0:c r="A1256" t="inlineStr">
        <ns0:is>
          <ns0:t>case_1255</ns0:t>
        </ns0:is>
      </ns0:c>
      <ns0:c r="B1256" t="inlineStr">
        <ns0:is>
          <ns0:t>function_0277</ns0:t>
        </ns0:is>
      </ns0:c>
      <ns0:c r="C1256" t="inlineStr">
        <ns0:is>
          <ns0:t>run_012</ns0:t>
        </ns0:is>
      </ns0:c>
      <ns0:c r="D1256" t="inlineStr">
        <ns0:is>
          <ns0:t>mio</ns0:t>
        </ns0:is>
      </ns0:c>
      <ns0:c r="E1256" t="inlineStr">
        <ns0:is>
          <ns0:t>gemini-2.5-flash-nothinking</ns0:t>
        </ns0:is>
      </ns0:c>
      <ns0:c r="F1256" t="inlineStr"/>
      <ns0:c r="G1256" t="n">
        <ns0:v>0</ns0:v>
      </ns0:c>
      <ns0:c r="H1256" t="n">
        <ns0:v>2045</ns0:v>
      </ns0:c>
      <ns0:c r="I1256" t="n">
        <ns0:v>167</ns0:v>
      </ns0:c>
      <ns0:c r="J1256" t="n">
        <ns0:v>2212</ns0:v>
      </ns0:c>
      <ns0:c r="K1256" t="n">
        <ns0:v>3</ns0:v>
      </ns0:c>
      <ns0:c r="L1256" t="n">
        <ns0:v>1</ns0:v>
      </ns0:c>
      <ns0:c r="M1256" t="n">
        <ns0:v>20643</ns0:v>
      </ns0:c>
      <ns0:c r="N1256" t="n">
        <ns0:v>341</ns0:v>
      </ns0:c>
      <ns0:c r="O1256" t="n">
        <ns0:v>20984</ns0:v>
      </ns0:c>
      <ns0:c r="P1256" t="n">
        <ns0:v>3</ns0:v>
      </ns0:c>
      <ns0:c r="Q1256">
        <ns0:f>IF(AND(L1256=1,O1256*Calculations!$B$2&lt;=Calculations!$B$10*Calculations!$B$4),1,0)</ns0:f>
        <ns0:v>1</ns0:v>
      </ns0:c>
      <ns0:c r="R1256">
        <ns0:f>IF(AND(L1256=1,O1256*Calculations!$B$2&lt;=Calculations!$B$11*Calculations!$B$4),1,0)</ns0:f>
        <ns0:v>1</ns0:v>
      </ns0:c>
    </ns0:row>
    <ns0:row r="1257">
      <ns0:c r="A1257" t="inlineStr">
        <ns0:is>
          <ns0:t>case_1256</ns0:t>
        </ns0:is>
      </ns0:c>
      <ns0:c r="B1257" t="inlineStr">
        <ns0:is>
          <ns0:t>function_0277</ns0:t>
        </ns0:is>
      </ns0:c>
      <ns0:c r="C1257" t="inlineStr">
        <ns0:is>
          <ns0:t>run_012</ns0:t>
        </ns0:is>
      </ns0:c>
      <ns0:c r="D1257" t="inlineStr">
        <ns0:is>
          <ns0:t>mio</ns0:t>
        </ns0:is>
      </ns0:c>
      <ns0:c r="E1257" t="inlineStr">
        <ns0:is>
          <ns0:t>gemini-2.5-flash-nothinking</ns0:t>
        </ns0:is>
      </ns0:c>
      <ns0:c r="F1257" t="inlineStr">
        <ns0:is>
          <ns0:t>E0433,E0599</ns0:t>
        </ns0:is>
      </ns0:c>
      <ns0:c r="G1257" t="n">
        <ns0:v>1</ns0:v>
      </ns0:c>
      <ns0:c r="H1257" t="n">
        <ns0:v>743</ns0:v>
      </ns0:c>
      <ns0:c r="I1257" t="n">
        <ns0:v>57</ns0:v>
      </ns0:c>
      <ns0:c r="J1257" t="n">
        <ns0:v>800</ns0:v>
      </ns0:c>
      <ns0:c r="K1257" t="n">
        <ns0:v>1</ns0:v>
      </ns0:c>
      <ns0:c r="L1257" t="n">
        <ns0:v>0</ns0:v>
      </ns0:c>
      <ns0:c r="M1257" t="n">
        <ns0:v>217162</ns0:v>
      </ns0:c>
      <ns0:c r="N1257" t="n">
        <ns0:v>6975</ns0:v>
      </ns0:c>
      <ns0:c r="O1257" t="n">
        <ns0:v>224137</ns0:v>
      </ns0:c>
      <ns0:c r="P1257" t="n">
        <ns0:v>20</ns0:v>
      </ns0:c>
      <ns0:c r="Q1257">
        <ns0:f>IF(AND(L1257=1,O1257*Calculations!$B$2&lt;=Calculations!$B$10*Calculations!$B$4),1,0)</ns0:f>
        <ns0:v>0</ns0:v>
      </ns0:c>
      <ns0:c r="R1257">
        <ns0:f>IF(AND(L1257=1,O1257*Calculations!$B$2&lt;=Calculations!$B$11*Calculations!$B$4),1,0)</ns0:f>
        <ns0:v>0</ns0:v>
      </ns0:c>
    </ns0:row>
    <ns0:row r="1258">
      <ns0:c r="A1258" t="inlineStr">
        <ns0:is>
          <ns0:t>case_1257</ns0:t>
        </ns0:is>
      </ns0:c>
      <ns0:c r="B1258" t="inlineStr">
        <ns0:is>
          <ns0:t>function_0278</ns0:t>
        </ns0:is>
      </ns0:c>
      <ns0:c r="C1258" t="inlineStr">
        <ns0:is>
          <ns0:t>run_012</ns0:t>
        </ns0:is>
      </ns0:c>
      <ns0:c r="D1258" t="inlineStr">
        <ns0:is>
          <ns0:t>mio</ns0:t>
        </ns0:is>
      </ns0:c>
      <ns0:c r="E1258" t="inlineStr">
        <ns0:is>
          <ns0:t>gemini-2.5-flash-nothinking</ns0:t>
        </ns0:is>
      </ns0:c>
      <ns0:c r="F1258" t="inlineStr">
        <ns0:is>
          <ns0:t>E0433,E0599</ns0:t>
        </ns0:is>
      </ns0:c>
      <ns0:c r="G1258" t="n">
        <ns0:v>0</ns0:v>
      </ns0:c>
      <ns0:c r="H1258" t="n">
        <ns0:v>2260</ns0:v>
      </ns0:c>
      <ns0:c r="I1258" t="n">
        <ns0:v>181</ns0:v>
      </ns0:c>
      <ns0:c r="J1258" t="n">
        <ns0:v>2441</ns0:v>
      </ns0:c>
      <ns0:c r="K1258" t="n">
        <ns0:v>3</ns0:v>
      </ns0:c>
      <ns0:c r="L1258" t="n">
        <ns0:v>1</ns0:v>
      </ns0:c>
      <ns0:c r="M1258" t="n">
        <ns0:v>137930</ns0:v>
      </ns0:c>
      <ns0:c r="N1258" t="n">
        <ns0:v>1789</ns0:v>
      </ns0:c>
      <ns0:c r="O1258" t="n">
        <ns0:v>139719</ns0:v>
      </ns0:c>
      <ns0:c r="P1258" t="n">
        <ns0:v>16</ns0:v>
      </ns0:c>
      <ns0:c r="Q1258">
        <ns0:f>IF(AND(L1258=1,O1258*Calculations!$B$2&lt;=Calculations!$B$10*Calculations!$B$4),1,0)</ns0:f>
        <ns0:v>0</ns0:v>
      </ns0:c>
      <ns0:c r="R1258">
        <ns0:f>IF(AND(L1258=1,O1258*Calculations!$B$2&lt;=Calculations!$B$11*Calculations!$B$4),1,0)</ns0:f>
        <ns0:v>0</ns0:v>
      </ns0:c>
    </ns0:row>
    <ns0:row r="1259">
      <ns0:c r="A1259" t="inlineStr">
        <ns0:is>
          <ns0:t>case_1258</ns0:t>
        </ns0:is>
      </ns0:c>
      <ns0:c r="B1259" t="inlineStr">
        <ns0:is>
          <ns0:t>function_0278</ns0:t>
        </ns0:is>
      </ns0:c>
      <ns0:c r="C1259" t="inlineStr">
        <ns0:is>
          <ns0:t>run_012</ns0:t>
        </ns0:is>
      </ns0:c>
      <ns0:c r="D1259" t="inlineStr">
        <ns0:is>
          <ns0:t>mio</ns0:t>
        </ns0:is>
      </ns0:c>
      <ns0:c r="E1259" t="inlineStr">
        <ns0:is>
          <ns0:t>gemini-2.5-flash-nothinking</ns0:t>
        </ns0:is>
      </ns0:c>
      <ns0:c r="F1259" t="inlineStr">
        <ns0:is>
          <ns0:t>E0433,E0599</ns0:t>
        </ns0:is>
      </ns0:c>
      <ns0:c r="G1259" t="n">
        <ns0:v>0</ns0:v>
      </ns0:c>
      <ns0:c r="H1259" t="n">
        <ns0:v>2432</ns0:v>
      </ns0:c>
      <ns0:c r="I1259" t="n">
        <ns0:v>198</ns0:v>
      </ns0:c>
      <ns0:c r="J1259" t="n">
        <ns0:v>2630</ns0:v>
      </ns0:c>
      <ns0:c r="K1259" t="n">
        <ns0:v>3</ns0:v>
      </ns0:c>
      <ns0:c r="L1259" t="n">
        <ns0:v>1</ns0:v>
      </ns0:c>
      <ns0:c r="M1259" t="n">
        <ns0:v>51104</ns0:v>
      </ns0:c>
      <ns0:c r="N1259" t="n">
        <ns0:v>1047</ns0:v>
      </ns0:c>
      <ns0:c r="O1259" t="n">
        <ns0:v>52151</ns0:v>
      </ns0:c>
      <ns0:c r="P1259" t="n">
        <ns0:v>6</ns0:v>
      </ns0:c>
      <ns0:c r="Q1259">
        <ns0:f>IF(AND(L1259=1,O1259*Calculations!$B$2&lt;=Calculations!$B$10*Calculations!$B$4),1,0)</ns0:f>
        <ns0:v>0</ns0:v>
      </ns0:c>
      <ns0:c r="R1259">
        <ns0:f>IF(AND(L1259=1,O1259*Calculations!$B$2&lt;=Calculations!$B$11*Calculations!$B$4),1,0)</ns0:f>
        <ns0:v>0</ns0:v>
      </ns0:c>
    </ns0:row>
    <ns0:row r="1260">
      <ns0:c r="A1260" t="inlineStr">
        <ns0:is>
          <ns0:t>case_1259</ns0:t>
        </ns0:is>
      </ns0:c>
      <ns0:c r="B1260" t="inlineStr">
        <ns0:is>
          <ns0:t>function_0279</ns0:t>
        </ns0:is>
      </ns0:c>
      <ns0:c r="C1260" t="inlineStr">
        <ns0:is>
          <ns0:t>run_012</ns0:t>
        </ns0:is>
      </ns0:c>
      <ns0:c r="D1260" t="inlineStr">
        <ns0:is>
          <ns0:t>mio</ns0:t>
        </ns0:is>
      </ns0:c>
      <ns0:c r="E1260" t="inlineStr">
        <ns0:is>
          <ns0:t>gemini-2.5-flash-nothinking</ns0:t>
        </ns0:is>
      </ns0:c>
      <ns0:c r="F1260" t="inlineStr">
        <ns0:is>
          <ns0:t>E0432,E0599</ns0:t>
        </ns0:is>
      </ns0:c>
      <ns0:c r="G1260" t="n">
        <ns0:v>0</ns0:v>
      </ns0:c>
      <ns0:c r="H1260" t="n">
        <ns0:v>4082</ns0:v>
      </ns0:c>
      <ns0:c r="I1260" t="n">
        <ns0:v>1288</ns0:v>
      </ns0:c>
      <ns0:c r="J1260" t="n">
        <ns0:v>5370</ns0:v>
      </ns0:c>
      <ns0:c r="K1260" t="n">
        <ns0:v>3</ns0:v>
      </ns0:c>
      <ns0:c r="L1260" t="n">
        <ns0:v>1</ns0:v>
      </ns0:c>
      <ns0:c r="M1260" t="n">
        <ns0:v>68306</ns0:v>
      </ns0:c>
      <ns0:c r="N1260" t="n">
        <ns0:v>1851</ns0:v>
      </ns0:c>
      <ns0:c r="O1260" t="n">
        <ns0:v>70157</ns0:v>
      </ns0:c>
      <ns0:c r="P1260" t="n">
        <ns0:v>8</ns0:v>
      </ns0:c>
      <ns0:c r="Q1260">
        <ns0:f>IF(AND(L1260=1,O1260*Calculations!$B$2&lt;=Calculations!$B$10*Calculations!$B$4),1,0)</ns0:f>
        <ns0:v>0</ns0:v>
      </ns0:c>
      <ns0:c r="R1260">
        <ns0:f>IF(AND(L1260=1,O1260*Calculations!$B$2&lt;=Calculations!$B$11*Calculations!$B$4),1,0)</ns0:f>
        <ns0:v>0</ns0:v>
      </ns0:c>
    </ns0:row>
    <ns0:row r="1261">
      <ns0:c r="A1261" t="inlineStr">
        <ns0:is>
          <ns0:t>case_1260</ns0:t>
        </ns0:is>
      </ns0:c>
      <ns0:c r="B1261" t="inlineStr">
        <ns0:is>
          <ns0:t>function_0279</ns0:t>
        </ns0:is>
      </ns0:c>
      <ns0:c r="C1261" t="inlineStr">
        <ns0:is>
          <ns0:t>run_012</ns0:t>
        </ns0:is>
      </ns0:c>
      <ns0:c r="D1261" t="inlineStr">
        <ns0:is>
          <ns0:t>mio</ns0:t>
        </ns0:is>
      </ns0:c>
      <ns0:c r="E1261" t="inlineStr">
        <ns0:is>
          <ns0:t>gemini-2.5-flash-nothinking</ns0:t>
        </ns0:is>
      </ns0:c>
      <ns0:c r="F1261" t="inlineStr">
        <ns0:is>
          <ns0:t>E0432,E0433,E0599</ns0:t>
        </ns0:is>
      </ns0:c>
      <ns0:c r="G1261" t="n">
        <ns0:v>0</ns0:v>
      </ns0:c>
      <ns0:c r="H1261" t="n">
        <ns0:v>7589</ns0:v>
      </ns0:c>
      <ns0:c r="I1261" t="n">
        <ns0:v>4198</ns0:v>
      </ns0:c>
      <ns0:c r="J1261" t="n">
        <ns0:v>11787</ns0:v>
      </ns0:c>
      <ns0:c r="K1261" t="n">
        <ns0:v>3</ns0:v>
      </ns0:c>
      <ns0:c r="L1261" t="n">
        <ns0:v>0</ns0:v>
      </ns0:c>
      <ns0:c r="M1261" t="n">
        <ns0:v>247557</ns0:v>
      </ns0:c>
      <ns0:c r="N1261" t="n">
        <ns0:v>3121</ns0:v>
      </ns0:c>
      <ns0:c r="O1261" t="n">
        <ns0:v>250678</ns0:v>
      </ns0:c>
      <ns0:c r="P1261" t="n">
        <ns0:v>20</ns0:v>
      </ns0:c>
      <ns0:c r="Q1261">
        <ns0:f>IF(AND(L1261=1,O1261*Calculations!$B$2&lt;=Calculations!$B$10*Calculations!$B$4),1,0)</ns0:f>
        <ns0:v>0</ns0:v>
      </ns0:c>
      <ns0:c r="R1261">
        <ns0:f>IF(AND(L1261=1,O1261*Calculations!$B$2&lt;=Calculations!$B$11*Calculations!$B$4),1,0)</ns0:f>
        <ns0:v>0</ns0:v>
      </ns0:c>
    </ns0:row>
    <ns0:row r="1262">
      <ns0:c r="A1262" t="inlineStr">
        <ns0:is>
          <ns0:t>case_1261</ns0:t>
        </ns0:is>
      </ns0:c>
      <ns0:c r="B1262" t="inlineStr">
        <ns0:is>
          <ns0:t>function_0280</ns0:t>
        </ns0:is>
      </ns0:c>
      <ns0:c r="C1262" t="inlineStr">
        <ns0:is>
          <ns0:t>run_012</ns0:t>
        </ns0:is>
      </ns0:c>
      <ns0:c r="D1262" t="inlineStr">
        <ns0:is>
          <ns0:t>mio</ns0:t>
        </ns0:is>
      </ns0:c>
      <ns0:c r="E1262" t="inlineStr">
        <ns0:is>
          <ns0:t>gemini-2.5-flash-nothinking</ns0:t>
        </ns0:is>
      </ns0:c>
      <ns0:c r="F1262" t="inlineStr">
        <ns0:is>
          <ns0:t>E0061</ns0:t>
        </ns0:is>
      </ns0:c>
      <ns0:c r="G1262" t="n">
        <ns0:v>0</ns0:v>
      </ns0:c>
      <ns0:c r="H1262" t="n">
        <ns0:v>2495</ns0:v>
      </ns0:c>
      <ns0:c r="I1262" t="n">
        <ns0:v>270</ns0:v>
      </ns0:c>
      <ns0:c r="J1262" t="n">
        <ns0:v>2765</ns0:v>
      </ns0:c>
      <ns0:c r="K1262" t="n">
        <ns0:v>3</ns0:v>
      </ns0:c>
      <ns0:c r="L1262" t="n">
        <ns0:v>1</ns0:v>
      </ns0:c>
      <ns0:c r="M1262" t="n">
        <ns0:v>54391</ns0:v>
      </ns0:c>
      <ns0:c r="N1262" t="n">
        <ns0:v>480</ns0:v>
      </ns0:c>
      <ns0:c r="O1262" t="n">
        <ns0:v>54871</ns0:v>
      </ns0:c>
      <ns0:c r="P1262" t="n">
        <ns0:v>7</ns0:v>
      </ns0:c>
      <ns0:c r="Q1262">
        <ns0:f>IF(AND(L1262=1,O1262*Calculations!$B$2&lt;=Calculations!$B$10*Calculations!$B$4),1,0)</ns0:f>
        <ns0:v>0</ns0:v>
      </ns0:c>
      <ns0:c r="R1262">
        <ns0:f>IF(AND(L1262=1,O1262*Calculations!$B$2&lt;=Calculations!$B$11*Calculations!$B$4),1,0)</ns0:f>
        <ns0:v>0</ns0:v>
      </ns0:c>
    </ns0:row>
    <ns0:row r="1263">
      <ns0:c r="A1263" t="inlineStr">
        <ns0:is>
          <ns0:t>case_1262</ns0:t>
        </ns0:is>
      </ns0:c>
      <ns0:c r="B1263" t="inlineStr">
        <ns0:is>
          <ns0:t>function_0280</ns0:t>
        </ns0:is>
      </ns0:c>
      <ns0:c r="C1263" t="inlineStr">
        <ns0:is>
          <ns0:t>run_012</ns0:t>
        </ns0:is>
      </ns0:c>
      <ns0:c r="D1263" t="inlineStr">
        <ns0:is>
          <ns0:t>mio</ns0:t>
        </ns0:is>
      </ns0:c>
      <ns0:c r="E1263" t="inlineStr">
        <ns0:is>
          <ns0:t>gemini-2.5-flash-nothinking</ns0:t>
        </ns0:is>
      </ns0:c>
      <ns0:c r="F1263" t="inlineStr">
        <ns0:is>
          <ns0:t>E0061</ns0:t>
        </ns0:is>
      </ns0:c>
      <ns0:c r="G1263" t="n">
        <ns0:v>0</ns0:v>
      </ns0:c>
      <ns0:c r="H1263" t="n">
        <ns0:v>2414</ns0:v>
      </ns0:c>
      <ns0:c r="I1263" t="n">
        <ns0:v>237</ns0:v>
      </ns0:c>
      <ns0:c r="J1263" t="n">
        <ns0:v>2651</ns0:v>
      </ns0:c>
      <ns0:c r="K1263" t="n">
        <ns0:v>3</ns0:v>
      </ns0:c>
      <ns0:c r="L1263" t="n">
        <ns0:v>1</ns0:v>
      </ns0:c>
      <ns0:c r="M1263" t="n">
        <ns0:v>84626</ns0:v>
      </ns0:c>
      <ns0:c r="N1263" t="n">
        <ns0:v>880</ns0:v>
      </ns0:c>
      <ns0:c r="O1263" t="n">
        <ns0:v>85506</ns0:v>
      </ns0:c>
      <ns0:c r="P1263" t="n">
        <ns0:v>10</ns0:v>
      </ns0:c>
      <ns0:c r="Q1263">
        <ns0:f>IF(AND(L1263=1,O1263*Calculations!$B$2&lt;=Calculations!$B$10*Calculations!$B$4),1,0)</ns0:f>
        <ns0:v>0</ns0:v>
      </ns0:c>
      <ns0:c r="R1263">
        <ns0:f>IF(AND(L1263=1,O1263*Calculations!$B$2&lt;=Calculations!$B$11*Calculations!$B$4),1,0)</ns0:f>
        <ns0:v>0</ns0:v>
      </ns0:c>
    </ns0:row>
    <ns0:row r="1264">
      <ns0:c r="A1264" t="inlineStr">
        <ns0:is>
          <ns0:t>case_1263</ns0:t>
        </ns0:is>
      </ns0:c>
      <ns0:c r="B1264" t="inlineStr">
        <ns0:is>
          <ns0:t>function_0280</ns0:t>
        </ns0:is>
      </ns0:c>
      <ns0:c r="C1264" t="inlineStr">
        <ns0:is>
          <ns0:t>run_012</ns0:t>
        </ns0:is>
      </ns0:c>
      <ns0:c r="D1264" t="inlineStr">
        <ns0:is>
          <ns0:t>mio</ns0:t>
        </ns0:is>
      </ns0:c>
      <ns0:c r="E1264" t="inlineStr">
        <ns0:is>
          <ns0:t>gemini-2.5-flash-nothinking</ns0:t>
        </ns0:is>
      </ns0:c>
      <ns0:c r="F1264" t="inlineStr">
        <ns0:is>
          <ns0:t>E0433,E0599</ns0:t>
        </ns0:is>
      </ns0:c>
      <ns0:c r="G1264" t="n">
        <ns0:v>0</ns0:v>
      </ns0:c>
      <ns0:c r="H1264" t="n">
        <ns0:v>3203</ns0:v>
      </ns0:c>
      <ns0:c r="I1264" t="n">
        <ns0:v>306</ns0:v>
      </ns0:c>
      <ns0:c r="J1264" t="n">
        <ns0:v>3509</ns0:v>
      </ns0:c>
      <ns0:c r="K1264" t="n">
        <ns0:v>3</ns0:v>
      </ns0:c>
      <ns0:c r="L1264" t="n">
        <ns0:v>0</ns0:v>
      </ns0:c>
      <ns0:c r="M1264" t="n">
        <ns0:v>171997</ns0:v>
      </ns0:c>
      <ns0:c r="N1264" t="n">
        <ns0:v>1561</ns0:v>
      </ns0:c>
      <ns0:c r="O1264" t="n">
        <ns0:v>173558</ns0:v>
      </ns0:c>
      <ns0:c r="P1264" t="n">
        <ns0:v>20</ns0:v>
      </ns0:c>
      <ns0:c r="Q1264">
        <ns0:f>IF(AND(L1264=1,O1264*Calculations!$B$2&lt;=Calculations!$B$10*Calculations!$B$4),1,0)</ns0:f>
        <ns0:v>0</ns0:v>
      </ns0:c>
      <ns0:c r="R1264">
        <ns0:f>IF(AND(L1264=1,O1264*Calculations!$B$2&lt;=Calculations!$B$11*Calculations!$B$4),1,0)</ns0:f>
        <ns0:v>0</ns0:v>
      </ns0:c>
    </ns0:row>
    <ns0:row r="1265">
      <ns0:c r="A1265" t="inlineStr">
        <ns0:is>
          <ns0:t>case_1264</ns0:t>
        </ns0:is>
      </ns0:c>
      <ns0:c r="B1265" t="inlineStr">
        <ns0:is>
          <ns0:t>function_0281</ns0:t>
        </ns0:is>
      </ns0:c>
      <ns0:c r="C1265" t="inlineStr">
        <ns0:is>
          <ns0:t>run_012</ns0:t>
        </ns0:is>
      </ns0:c>
      <ns0:c r="D1265" t="inlineStr">
        <ns0:is>
          <ns0:t>mio</ns0:t>
        </ns0:is>
      </ns0:c>
      <ns0:c r="E1265" t="inlineStr">
        <ns0:is>
          <ns0:t>gemini-2.5-flash-nothinking</ns0:t>
        </ns0:is>
      </ns0:c>
      <ns0:c r="F1265" t="inlineStr"/>
      <ns0:c r="G1265" t="n">
        <ns0:v>0</ns0:v>
      </ns0:c>
      <ns0:c r="H1265" t="n">
        <ns0:v>2981</ns0:v>
      </ns0:c>
      <ns0:c r="I1265" t="n">
        <ns0:v>565</ns0:v>
      </ns0:c>
      <ns0:c r="J1265" t="n">
        <ns0:v>3546</ns0:v>
      </ns0:c>
      <ns0:c r="K1265" t="n">
        <ns0:v>3</ns0:v>
      </ns0:c>
      <ns0:c r="L1265" t="n">
        <ns0:v>1</ns0:v>
      </ns0:c>
      <ns0:c r="M1265" t="n">
        <ns0:v>21504</ns0:v>
      </ns0:c>
      <ns0:c r="N1265" t="n">
        <ns0:v>297</ns0:v>
      </ns0:c>
      <ns0:c r="O1265" t="n">
        <ns0:v>21801</ns0:v>
      </ns0:c>
      <ns0:c r="P1265" t="n">
        <ns0:v>3</ns0:v>
      </ns0:c>
      <ns0:c r="Q1265">
        <ns0:f>IF(AND(L1265=1,O1265*Calculations!$B$2&lt;=Calculations!$B$10*Calculations!$B$4),1,0)</ns0:f>
        <ns0:v>1</ns0:v>
      </ns0:c>
      <ns0:c r="R1265">
        <ns0:f>IF(AND(L1265=1,O1265*Calculations!$B$2&lt;=Calculations!$B$11*Calculations!$B$4),1,0)</ns0:f>
        <ns0:v>1</ns0:v>
      </ns0:c>
    </ns0:row>
    <ns0:row r="1266">
      <ns0:c r="A1266" t="inlineStr">
        <ns0:is>
          <ns0:t>case_1265</ns0:t>
        </ns0:is>
      </ns0:c>
      <ns0:c r="B1266" t="inlineStr">
        <ns0:is>
          <ns0:t>function_0281</ns0:t>
        </ns0:is>
      </ns0:c>
      <ns0:c r="C1266" t="inlineStr">
        <ns0:is>
          <ns0:t>run_012</ns0:t>
        </ns0:is>
      </ns0:c>
      <ns0:c r="D1266" t="inlineStr">
        <ns0:is>
          <ns0:t>mio</ns0:t>
        </ns0:is>
      </ns0:c>
      <ns0:c r="E1266" t="inlineStr">
        <ns0:is>
          <ns0:t>gemini-2.5-flash-nothinking</ns0:t>
        </ns0:is>
      </ns0:c>
      <ns0:c r="F1266" t="inlineStr"/>
      <ns0:c r="G1266" t="n">
        <ns0:v>0</ns0:v>
      </ns0:c>
      <ns0:c r="H1266" t="n">
        <ns0:v>2503</ns0:v>
      </ns0:c>
      <ns0:c r="I1266" t="n">
        <ns0:v>138</ns0:v>
      </ns0:c>
      <ns0:c r="J1266" t="n">
        <ns0:v>2641</ns0:v>
      </ns0:c>
      <ns0:c r="K1266" t="n">
        <ns0:v>3</ns0:v>
      </ns0:c>
      <ns0:c r="L1266" t="n">
        <ns0:v>1</ns0:v>
      </ns0:c>
      <ns0:c r="M1266" t="n">
        <ns0:v>38975</ns0:v>
      </ns0:c>
      <ns0:c r="N1266" t="n">
        <ns0:v>372</ns0:v>
      </ns0:c>
      <ns0:c r="O1266" t="n">
        <ns0:v>39347</ns0:v>
      </ns0:c>
      <ns0:c r="P1266" t="n">
        <ns0:v>5</ns0:v>
      </ns0:c>
      <ns0:c r="Q1266">
        <ns0:f>IF(AND(L1266=1,O1266*Calculations!$B$2&lt;=Calculations!$B$10*Calculations!$B$4),1,0)</ns0:f>
        <ns0:v>0</ns0:v>
      </ns0:c>
      <ns0:c r="R1266">
        <ns0:f>IF(AND(L1266=1,O1266*Calculations!$B$2&lt;=Calculations!$B$11*Calculations!$B$4),1,0)</ns0:f>
        <ns0:v>1</ns0:v>
      </ns0:c>
    </ns0:row>
    <ns0:row r="1267">
      <ns0:c r="A1267" t="inlineStr">
        <ns0:is>
          <ns0:t>case_1266</ns0:t>
        </ns0:is>
      </ns0:c>
      <ns0:c r="B1267" t="inlineStr">
        <ns0:is>
          <ns0:t>function_0281</ns0:t>
        </ns0:is>
      </ns0:c>
      <ns0:c r="C1267" t="inlineStr">
        <ns0:is>
          <ns0:t>run_012</ns0:t>
        </ns0:is>
      </ns0:c>
      <ns0:c r="D1267" t="inlineStr">
        <ns0:is>
          <ns0:t>mio</ns0:t>
        </ns0:is>
      </ns0:c>
      <ns0:c r="E1267" t="inlineStr">
        <ns0:is>
          <ns0:t>gemini-2.5-flash-nothinking</ns0:t>
        </ns0:is>
      </ns0:c>
      <ns0:c r="F1267" t="inlineStr">
        <ns0:is>
          <ns0:t>E0433</ns0:t>
        </ns0:is>
      </ns0:c>
      <ns0:c r="G1267" t="n">
        <ns0:v>0</ns0:v>
      </ns0:c>
      <ns0:c r="H1267" t="n">
        <ns0:v>2674</ns0:v>
      </ns0:c>
      <ns0:c r="I1267" t="n">
        <ns0:v>126</ns0:v>
      </ns0:c>
      <ns0:c r="J1267" t="n">
        <ns0:v>2800</ns0:v>
      </ns0:c>
      <ns0:c r="K1267" t="n">
        <ns0:v>3</ns0:v>
      </ns0:c>
      <ns0:c r="L1267" t="n">
        <ns0:v>1</ns0:v>
      </ns0:c>
      <ns0:c r="M1267" t="n">
        <ns0:v>55339</ns0:v>
      </ns0:c>
      <ns0:c r="N1267" t="n">
        <ns0:v>766</ns0:v>
      </ns0:c>
      <ns0:c r="O1267" t="n">
        <ns0:v>56105</ns0:v>
      </ns0:c>
      <ns0:c r="P1267" t="n">
        <ns0:v>7</ns0:v>
      </ns0:c>
      <ns0:c r="Q1267">
        <ns0:f>IF(AND(L1267=1,O1267*Calculations!$B$2&lt;=Calculations!$B$10*Calculations!$B$4),1,0)</ns0:f>
        <ns0:v>0</ns0:v>
      </ns0:c>
      <ns0:c r="R1267">
        <ns0:f>IF(AND(L1267=1,O1267*Calculations!$B$2&lt;=Calculations!$B$11*Calculations!$B$4),1,0)</ns0:f>
        <ns0:v>0</ns0:v>
      </ns0:c>
    </ns0:row>
    <ns0:row r="1268">
      <ns0:c r="A1268" t="inlineStr">
        <ns0:is>
          <ns0:t>case_1267</ns0:t>
        </ns0:is>
      </ns0:c>
      <ns0:c r="B1268" t="inlineStr">
        <ns0:is>
          <ns0:t>function_0281</ns0:t>
        </ns0:is>
      </ns0:c>
      <ns0:c r="C1268" t="inlineStr">
        <ns0:is>
          <ns0:t>run_012</ns0:t>
        </ns0:is>
      </ns0:c>
      <ns0:c r="D1268" t="inlineStr">
        <ns0:is>
          <ns0:t>mio</ns0:t>
        </ns0:is>
      </ns0:c>
      <ns0:c r="E1268" t="inlineStr">
        <ns0:is>
          <ns0:t>gemini-2.5-flash-nothinking</ns0:t>
        </ns0:is>
      </ns0:c>
      <ns0:c r="F1268" t="inlineStr">
        <ns0:is>
          <ns0:t>E0423</ns0:t>
        </ns0:is>
      </ns0:c>
      <ns0:c r="G1268" t="n">
        <ns0:v>0</ns0:v>
      </ns0:c>
      <ns0:c r="H1268" t="n">
        <ns0:v>2520</ns0:v>
      </ns0:c>
      <ns0:c r="I1268" t="n">
        <ns0:v>207</ns0:v>
      </ns0:c>
      <ns0:c r="J1268" t="n">
        <ns0:v>2727</ns0:v>
      </ns0:c>
      <ns0:c r="K1268" t="n">
        <ns0:v>3</ns0:v>
      </ns0:c>
      <ns0:c r="L1268" t="n">
        <ns0:v>1</ns0:v>
      </ns0:c>
      <ns0:c r="M1268" t="n">
        <ns0:v>27851</ns0:v>
      </ns0:c>
      <ns0:c r="N1268" t="n">
        <ns0:v>435</ns0:v>
      </ns0:c>
      <ns0:c r="O1268" t="n">
        <ns0:v>28286</ns0:v>
      </ns0:c>
      <ns0:c r="P1268" t="n">
        <ns0:v>4</ns0:v>
      </ns0:c>
      <ns0:c r="Q1268">
        <ns0:f>IF(AND(L1268=1,O1268*Calculations!$B$2&lt;=Calculations!$B$10*Calculations!$B$4),1,0)</ns0:f>
        <ns0:v>0</ns0:v>
      </ns0:c>
      <ns0:c r="R1268">
        <ns0:f>IF(AND(L1268=1,O1268*Calculations!$B$2&lt;=Calculations!$B$11*Calculations!$B$4),1,0)</ns0:f>
        <ns0:v>1</ns0:v>
      </ns0:c>
    </ns0:row>
    <ns0:row r="1269">
      <ns0:c r="A1269" t="inlineStr">
        <ns0:is>
          <ns0:t>case_1268</ns0:t>
        </ns0:is>
      </ns0:c>
      <ns0:c r="B1269" t="inlineStr">
        <ns0:is>
          <ns0:t>function_0282</ns0:t>
        </ns0:is>
      </ns0:c>
      <ns0:c r="C1269" t="inlineStr">
        <ns0:is>
          <ns0:t>run_012</ns0:t>
        </ns0:is>
      </ns0:c>
      <ns0:c r="D1269" t="inlineStr">
        <ns0:is>
          <ns0:t>mio</ns0:t>
        </ns0:is>
      </ns0:c>
      <ns0:c r="E1269" t="inlineStr">
        <ns0:is>
          <ns0:t>gemini-2.5-flash-nothinking</ns0:t>
        </ns0:is>
      </ns0:c>
      <ns0:c r="F1269" t="inlineStr"/>
      <ns0:c r="G1269" t="n">
        <ns0:v>0</ns0:v>
      </ns0:c>
      <ns0:c r="H1269" t="n">
        <ns0:v>7104</ns0:v>
      </ns0:c>
      <ns0:c r="I1269" t="n">
        <ns0:v>171</ns0:v>
      </ns0:c>
      <ns0:c r="J1269" t="n">
        <ns0:v>7275</ns0:v>
      </ns0:c>
      <ns0:c r="K1269" t="n">
        <ns0:v>3</ns0:v>
      </ns0:c>
      <ns0:c r="L1269" t="n">
        <ns0:v>1</ns0:v>
      </ns0:c>
      <ns0:c r="M1269" t="n">
        <ns0:v>27715</ns0:v>
      </ns0:c>
      <ns0:c r="N1269" t="n">
        <ns0:v>240</ns0:v>
      </ns0:c>
      <ns0:c r="O1269" t="n">
        <ns0:v>27955</ns0:v>
      </ns0:c>
      <ns0:c r="P1269" t="n">
        <ns0:v>4</ns0:v>
      </ns0:c>
      <ns0:c r="Q1269">
        <ns0:f>IF(AND(L1269=1,O1269*Calculations!$B$2&lt;=Calculations!$B$10*Calculations!$B$4),1,0)</ns0:f>
        <ns0:v>0</ns0:v>
      </ns0:c>
      <ns0:c r="R1269">
        <ns0:f>IF(AND(L1269=1,O1269*Calculations!$B$2&lt;=Calculations!$B$11*Calculations!$B$4),1,0)</ns0:f>
        <ns0:v>1</ns0:v>
      </ns0:c>
    </ns0:row>
    <ns0:row r="1270">
      <ns0:c r="A1270" t="inlineStr">
        <ns0:is>
          <ns0:t>case_1269</ns0:t>
        </ns0:is>
      </ns0:c>
      <ns0:c r="B1270" t="inlineStr">
        <ns0:is>
          <ns0:t>function_0283</ns0:t>
        </ns0:is>
      </ns0:c>
      <ns0:c r="C1270" t="inlineStr">
        <ns0:is>
          <ns0:t>run_012</ns0:t>
        </ns0:is>
      </ns0:c>
      <ns0:c r="D1270" t="inlineStr">
        <ns0:is>
          <ns0:t>mio</ns0:t>
        </ns0:is>
      </ns0:c>
      <ns0:c r="E1270" t="inlineStr">
        <ns0:is>
          <ns0:t>gemini-2.5-flash-nothinking</ns0:t>
        </ns0:is>
      </ns0:c>
      <ns0:c r="F1270" t="inlineStr">
        <ns0:is>
          <ns0:t>E0433,E0599</ns0:t>
        </ns0:is>
      </ns0:c>
      <ns0:c r="G1270" t="n">
        <ns0:v>0</ns0:v>
      </ns0:c>
      <ns0:c r="H1270" t="n">
        <ns0:v>3145</ns0:v>
      </ns0:c>
      <ns0:c r="I1270" t="n">
        <ns0:v>256</ns0:v>
      </ns0:c>
      <ns0:c r="J1270" t="n">
        <ns0:v>3401</ns0:v>
      </ns0:c>
      <ns0:c r="K1270" t="n">
        <ns0:v>3</ns0:v>
      </ns0:c>
      <ns0:c r="L1270" t="n">
        <ns0:v>0</ns0:v>
      </ns0:c>
      <ns0:c r="M1270" t="n">
        <ns0:v>342262</ns0:v>
      </ns0:c>
      <ns0:c r="N1270" t="n">
        <ns0:v>5109</ns0:v>
      </ns0:c>
      <ns0:c r="O1270" t="n">
        <ns0:v>347371</ns0:v>
      </ns0:c>
      <ns0:c r="P1270" t="n">
        <ns0:v>20</ns0:v>
      </ns0:c>
      <ns0:c r="Q1270">
        <ns0:f>IF(AND(L1270=1,O1270*Calculations!$B$2&lt;=Calculations!$B$10*Calculations!$B$4),1,0)</ns0:f>
        <ns0:v>0</ns0:v>
      </ns0:c>
      <ns0:c r="R1270">
        <ns0:f>IF(AND(L1270=1,O1270*Calculations!$B$2&lt;=Calculations!$B$11*Calculations!$B$4),1,0)</ns0:f>
        <ns0:v>0</ns0:v>
      </ns0:c>
    </ns0:row>
    <ns0:row r="1271">
      <ns0:c r="A1271" t="inlineStr">
        <ns0:is>
          <ns0:t>case_1270</ns0:t>
        </ns0:is>
      </ns0:c>
      <ns0:c r="B1271" t="inlineStr">
        <ns0:is>
          <ns0:t>function_0283</ns0:t>
        </ns0:is>
      </ns0:c>
      <ns0:c r="C1271" t="inlineStr">
        <ns0:is>
          <ns0:t>run_012</ns0:t>
        </ns0:is>
      </ns0:c>
      <ns0:c r="D1271" t="inlineStr">
        <ns0:is>
          <ns0:t>mio</ns0:t>
        </ns0:is>
      </ns0:c>
      <ns0:c r="E1271" t="inlineStr">
        <ns0:is>
          <ns0:t>gemini-2.5-flash-nothinking</ns0:t>
        </ns0:is>
      </ns0:c>
      <ns0:c r="F1271" t="inlineStr">
        <ns0:is>
          <ns0:t>E0599</ns0:t>
        </ns0:is>
      </ns0:c>
      <ns0:c r="G1271" t="n">
        <ns0:v>0</ns0:v>
      </ns0:c>
      <ns0:c r="H1271" t="n">
        <ns0:v>3268</ns0:v>
      </ns0:c>
      <ns0:c r="I1271" t="n">
        <ns0:v>208</ns0:v>
      </ns0:c>
      <ns0:c r="J1271" t="n">
        <ns0:v>3476</ns0:v>
      </ns0:c>
      <ns0:c r="K1271" t="n">
        <ns0:v>3</ns0:v>
      </ns0:c>
      <ns0:c r="L1271" t="n">
        <ns0:v>0</ns0:v>
      </ns0:c>
      <ns0:c r="M1271" t="n">
        <ns0:v>350075</ns0:v>
      </ns0:c>
      <ns0:c r="N1271" t="n">
        <ns0:v>3280</ns0:v>
      </ns0:c>
      <ns0:c r="O1271" t="n">
        <ns0:v>353355</ns0:v>
      </ns0:c>
      <ns0:c r="P1271" t="n">
        <ns0:v>20</ns0:v>
      </ns0:c>
      <ns0:c r="Q1271">
        <ns0:f>IF(AND(L1271=1,O1271*Calculations!$B$2&lt;=Calculations!$B$10*Calculations!$B$4),1,0)</ns0:f>
        <ns0:v>0</ns0:v>
      </ns0:c>
      <ns0:c r="R1271">
        <ns0:f>IF(AND(L1271=1,O1271*Calculations!$B$2&lt;=Calculations!$B$11*Calculations!$B$4),1,0)</ns0:f>
        <ns0:v>0</ns0:v>
      </ns0:c>
    </ns0:row>
    <ns0:row r="1272">
      <ns0:c r="A1272" t="inlineStr">
        <ns0:is>
          <ns0:t>case_1271</ns0:t>
        </ns0:is>
      </ns0:c>
      <ns0:c r="B1272" t="inlineStr">
        <ns0:is>
          <ns0:t>function_0283</ns0:t>
        </ns0:is>
      </ns0:c>
      <ns0:c r="C1272" t="inlineStr">
        <ns0:is>
          <ns0:t>run_012</ns0:t>
        </ns0:is>
      </ns0:c>
      <ns0:c r="D1272" t="inlineStr">
        <ns0:is>
          <ns0:t>mio</ns0:t>
        </ns0:is>
      </ns0:c>
      <ns0:c r="E1272" t="inlineStr">
        <ns0:is>
          <ns0:t>gemini-2.5-flash-nothinking</ns0:t>
        </ns0:is>
      </ns0:c>
      <ns0:c r="F1272" t="inlineStr">
        <ns0:is>
          <ns0:t>E0599</ns0:t>
        </ns0:is>
      </ns0:c>
      <ns0:c r="G1272" t="n">
        <ns0:v>0</ns0:v>
      </ns0:c>
      <ns0:c r="H1272" t="n">
        <ns0:v>3356</ns0:v>
      </ns0:c>
      <ns0:c r="I1272" t="n">
        <ns0:v>198</ns0:v>
      </ns0:c>
      <ns0:c r="J1272" t="n">
        <ns0:v>3554</ns0:v>
      </ns0:c>
      <ns0:c r="K1272" t="n">
        <ns0:v>3</ns0:v>
      </ns0:c>
      <ns0:c r="L1272" t="n">
        <ns0:v>0</ns0:v>
      </ns0:c>
      <ns0:c r="M1272" t="n">
        <ns0:v>21115</ns0:v>
      </ns0:c>
      <ns0:c r="N1272" t="n">
        <ns0:v>483</ns0:v>
      </ns0:c>
      <ns0:c r="O1272" t="n">
        <ns0:v>21598</ns0:v>
      </ns0:c>
      <ns0:c r="P1272" t="n">
        <ns0:v>3</ns0:v>
      </ns0:c>
      <ns0:c r="Q1272">
        <ns0:f>IF(AND(L1272=1,O1272*Calculations!$B$2&lt;=Calculations!$B$10*Calculations!$B$4),1,0)</ns0:f>
        <ns0:v>0</ns0:v>
      </ns0:c>
      <ns0:c r="R1272">
        <ns0:f>IF(AND(L1272=1,O1272*Calculations!$B$2&lt;=Calculations!$B$11*Calculations!$B$4),1,0)</ns0:f>
        <ns0:v>0</ns0:v>
      </ns0:c>
    </ns0:row>
    <ns0:row r="1273">
      <ns0:c r="A1273" t="inlineStr">
        <ns0:is>
          <ns0:t>case_1272</ns0:t>
        </ns0:is>
      </ns0:c>
      <ns0:c r="B1273" t="inlineStr">
        <ns0:is>
          <ns0:t>function_0284</ns0:t>
        </ns0:is>
      </ns0:c>
      <ns0:c r="C1273" t="inlineStr">
        <ns0:is>
          <ns0:t>run_012</ns0:t>
        </ns0:is>
      </ns0:c>
      <ns0:c r="D1273" t="inlineStr">
        <ns0:is>
          <ns0:t>mio</ns0:t>
        </ns0:is>
      </ns0:c>
      <ns0:c r="E1273" t="inlineStr">
        <ns0:is>
          <ns0:t>gemini-2.5-flash-nothinking</ns0:t>
        </ns0:is>
      </ns0:c>
      <ns0:c r="F1273" t="inlineStr">
        <ns0:is>
          <ns0:t>E0432,E0599</ns0:t>
        </ns0:is>
      </ns0:c>
      <ns0:c r="G1273" t="n">
        <ns0:v>0</ns0:v>
      </ns0:c>
      <ns0:c r="H1273" t="n">
        <ns0:v>6938</ns0:v>
      </ns0:c>
      <ns0:c r="I1273" t="n">
        <ns0:v>217</ns0:v>
      </ns0:c>
      <ns0:c r="J1273" t="n">
        <ns0:v>7155</ns0:v>
      </ns0:c>
      <ns0:c r="K1273" t="n">
        <ns0:v>3</ns0:v>
      </ns0:c>
      <ns0:c r="L1273" t="n">
        <ns0:v>0</ns0:v>
      </ns0:c>
      <ns0:c r="M1273" t="n">
        <ns0:v>238646</ns0:v>
      </ns0:c>
      <ns0:c r="N1273" t="n">
        <ns0:v>4668</ns0:v>
      </ns0:c>
      <ns0:c r="O1273" t="n">
        <ns0:v>243314</ns0:v>
      </ns0:c>
      <ns0:c r="P1273" t="n">
        <ns0:v>22</ns0:v>
      </ns0:c>
      <ns0:c r="Q1273">
        <ns0:f>IF(AND(L1273=1,O1273*Calculations!$B$2&lt;=Calculations!$B$10*Calculations!$B$4),1,0)</ns0:f>
        <ns0:v>0</ns0:v>
      </ns0:c>
      <ns0:c r="R1273">
        <ns0:f>IF(AND(L1273=1,O1273*Calculations!$B$2&lt;=Calculations!$B$11*Calculations!$B$4),1,0)</ns0:f>
        <ns0:v>0</ns0:v>
      </ns0:c>
    </ns0:row>
    <ns0:row r="1274">
      <ns0:c r="A1274" t="inlineStr">
        <ns0:is>
          <ns0:t>case_1273</ns0:t>
        </ns0:is>
      </ns0:c>
      <ns0:c r="B1274" t="inlineStr">
        <ns0:is>
          <ns0:t>function_0284</ns0:t>
        </ns0:is>
      </ns0:c>
      <ns0:c r="C1274" t="inlineStr">
        <ns0:is>
          <ns0:t>run_012</ns0:t>
        </ns0:is>
      </ns0:c>
      <ns0:c r="D1274" t="inlineStr">
        <ns0:is>
          <ns0:t>mio</ns0:t>
        </ns0:is>
      </ns0:c>
      <ns0:c r="E1274" t="inlineStr">
        <ns0:is>
          <ns0:t>gemini-2.5-flash-nothinking</ns0:t>
        </ns0:is>
      </ns0:c>
      <ns0:c r="F1274" t="inlineStr">
        <ns0:is>
          <ns0:t>E0432</ns0:t>
        </ns0:is>
      </ns0:c>
      <ns0:c r="G1274" t="n">
        <ns0:v>0</ns0:v>
      </ns0:c>
      <ns0:c r="H1274" t="n">
        <ns0:v>4876</ns0:v>
      </ns0:c>
      <ns0:c r="I1274" t="n">
        <ns0:v>285</ns0:v>
      </ns0:c>
      <ns0:c r="J1274" t="n">
        <ns0:v>5161</ns0:v>
      </ns0:c>
      <ns0:c r="K1274" t="n">
        <ns0:v>3</ns0:v>
      </ns0:c>
      <ns0:c r="L1274" t="n">
        <ns0:v>0</ns0:v>
      </ns0:c>
      <ns0:c r="M1274" t="n">
        <ns0:v>192332</ns0:v>
      </ns0:c>
      <ns0:c r="N1274" t="n">
        <ns0:v>3104</ns0:v>
      </ns0:c>
      <ns0:c r="O1274" t="n">
        <ns0:v>195436</ns0:v>
      </ns0:c>
      <ns0:c r="P1274" t="n">
        <ns0:v>20</ns0:v>
      </ns0:c>
      <ns0:c r="Q1274">
        <ns0:f>IF(AND(L1274=1,O1274*Calculations!$B$2&lt;=Calculations!$B$10*Calculations!$B$4),1,0)</ns0:f>
        <ns0:v>0</ns0:v>
      </ns0:c>
      <ns0:c r="R1274">
        <ns0:f>IF(AND(L1274=1,O1274*Calculations!$B$2&lt;=Calculations!$B$11*Calculations!$B$4),1,0)</ns0:f>
        <ns0:v>0</ns0:v>
      </ns0:c>
    </ns0:row>
    <ns0:row r="1275">
      <ns0:c r="A1275" t="inlineStr">
        <ns0:is>
          <ns0:t>case_1274</ns0:t>
        </ns0:is>
      </ns0:c>
      <ns0:c r="B1275" t="inlineStr">
        <ns0:is>
          <ns0:t>function_0284</ns0:t>
        </ns0:is>
      </ns0:c>
      <ns0:c r="C1275" t="inlineStr">
        <ns0:is>
          <ns0:t>run_012</ns0:t>
        </ns0:is>
      </ns0:c>
      <ns0:c r="D1275" t="inlineStr">
        <ns0:is>
          <ns0:t>mio</ns0:t>
        </ns0:is>
      </ns0:c>
      <ns0:c r="E1275" t="inlineStr">
        <ns0:is>
          <ns0:t>gemini-2.5-flash-nothinking</ns0:t>
        </ns0:is>
      </ns0:c>
      <ns0:c r="F1275" t="inlineStr">
        <ns0:is>
          <ns0:t>E0432,E0433</ns0:t>
        </ns0:is>
      </ns0:c>
      <ns0:c r="G1275" t="n">
        <ns0:v>0</ns0:v>
      </ns0:c>
      <ns0:c r="H1275" t="n">
        <ns0:v>6224</ns0:v>
      </ns0:c>
      <ns0:c r="I1275" t="n">
        <ns0:v>198</ns0:v>
      </ns0:c>
      <ns0:c r="J1275" t="n">
        <ns0:v>6422</ns0:v>
      </ns0:c>
      <ns0:c r="K1275" t="n">
        <ns0:v>3</ns0:v>
      </ns0:c>
      <ns0:c r="L1275" t="n">
        <ns0:v>0</ns0:v>
      </ns0:c>
      <ns0:c r="M1275" t="n">
        <ns0:v>243984</ns0:v>
      </ns0:c>
      <ns0:c r="N1275" t="n">
        <ns0:v>3191</ns0:v>
      </ns0:c>
      <ns0:c r="O1275" t="n">
        <ns0:v>247175</ns0:v>
      </ns0:c>
      <ns0:c r="P1275" t="n">
        <ns0:v>22</ns0:v>
      </ns0:c>
      <ns0:c r="Q1275">
        <ns0:f>IF(AND(L1275=1,O1275*Calculations!$B$2&lt;=Calculations!$B$10*Calculations!$B$4),1,0)</ns0:f>
        <ns0:v>0</ns0:v>
      </ns0:c>
      <ns0:c r="R1275">
        <ns0:f>IF(AND(L1275=1,O1275*Calculations!$B$2&lt;=Calculations!$B$11*Calculations!$B$4),1,0)</ns0:f>
        <ns0:v>0</ns0:v>
      </ns0:c>
    </ns0:row>
    <ns0:row r="1276">
      <ns0:c r="A1276" t="inlineStr">
        <ns0:is>
          <ns0:t>case_1275</ns0:t>
        </ns0:is>
      </ns0:c>
      <ns0:c r="B1276" t="inlineStr">
        <ns0:is>
          <ns0:t>function_0284</ns0:t>
        </ns0:is>
      </ns0:c>
      <ns0:c r="C1276" t="inlineStr">
        <ns0:is>
          <ns0:t>run_012</ns0:t>
        </ns0:is>
      </ns0:c>
      <ns0:c r="D1276" t="inlineStr">
        <ns0:is>
          <ns0:t>mio</ns0:t>
        </ns0:is>
      </ns0:c>
      <ns0:c r="E1276" t="inlineStr">
        <ns0:is>
          <ns0:t>gemini-2.5-flash-nothinking</ns0:t>
        </ns0:is>
      </ns0:c>
      <ns0:c r="F1276" t="inlineStr">
        <ns0:is>
          <ns0:t>E0432</ns0:t>
        </ns0:is>
      </ns0:c>
      <ns0:c r="G1276" t="n">
        <ns0:v>0</ns0:v>
      </ns0:c>
      <ns0:c r="H1276" t="n">
        <ns0:v>8905</ns0:v>
      </ns0:c>
      <ns0:c r="I1276" t="n">
        <ns0:v>460</ns0:v>
      </ns0:c>
      <ns0:c r="J1276" t="n">
        <ns0:v>9365</ns0:v>
      </ns0:c>
      <ns0:c r="K1276" t="n">
        <ns0:v>3</ns0:v>
      </ns0:c>
      <ns0:c r="L1276" t="n">
        <ns0:v>0</ns0:v>
      </ns0:c>
      <ns0:c r="M1276" t="n">
        <ns0:v>81603</ns0:v>
      </ns0:c>
      <ns0:c r="N1276" t="n">
        <ns0:v>2644</ns0:v>
      </ns0:c>
      <ns0:c r="O1276" t="n">
        <ns0:v>84247</ns0:v>
      </ns0:c>
      <ns0:c r="P1276" t="n">
        <ns0:v>9</ns0:v>
      </ns0:c>
      <ns0:c r="Q1276">
        <ns0:f>IF(AND(L1276=1,O1276*Calculations!$B$2&lt;=Calculations!$B$10*Calculations!$B$4),1,0)</ns0:f>
        <ns0:v>0</ns0:v>
      </ns0:c>
      <ns0:c r="R1276">
        <ns0:f>IF(AND(L1276=1,O1276*Calculations!$B$2&lt;=Calculations!$B$11*Calculations!$B$4),1,0)</ns0:f>
        <ns0:v>0</ns0:v>
      </ns0:c>
    </ns0:row>
    <ns0:row r="1277">
      <ns0:c r="A1277" t="inlineStr">
        <ns0:is>
          <ns0:t>case_1276</ns0:t>
        </ns0:is>
      </ns0:c>
      <ns0:c r="B1277" t="inlineStr">
        <ns0:is>
          <ns0:t>function_0285</ns0:t>
        </ns0:is>
      </ns0:c>
      <ns0:c r="C1277" t="inlineStr">
        <ns0:is>
          <ns0:t>run_013</ns0:t>
        </ns0:is>
      </ns0:c>
      <ns0:c r="D1277" t="inlineStr">
        <ns0:is>
          <ns0:t>rand</ns0:t>
        </ns0:is>
      </ns0:c>
      <ns0:c r="E1277" t="inlineStr">
        <ns0:is>
          <ns0:t>gemini-2.5-flash-nothinking</ns0:t>
        </ns0:is>
      </ns0:c>
      <ns0:c r="F1277" t="inlineStr">
        <ns0:is>
          <ns0:t>E0308</ns0:t>
        </ns0:is>
      </ns0:c>
      <ns0:c r="G1277" t="n">
        <ns0:v>1</ns0:v>
      </ns0:c>
      <ns0:c r="H1277" t="n">
        <ns0:v>745</ns0:v>
      </ns0:c>
      <ns0:c r="I1277" t="n">
        <ns0:v>53</ns0:v>
      </ns0:c>
      <ns0:c r="J1277" t="n">
        <ns0:v>798</ns0:v>
      </ns0:c>
      <ns0:c r="K1277" t="n">
        <ns0:v>1</ns0:v>
      </ns0:c>
      <ns0:c r="L1277" t="n">
        <ns0:v>1</ns0:v>
      </ns0:c>
      <ns0:c r="M1277" t="n">
        <ns0:v>106758</ns0:v>
      </ns0:c>
      <ns0:c r="N1277" t="n">
        <ns0:v>529</ns0:v>
      </ns0:c>
      <ns0:c r="O1277" t="n">
        <ns0:v>107287</ns0:v>
      </ns0:c>
      <ns0:c r="P1277" t="n">
        <ns0:v>4</ns0:v>
      </ns0:c>
      <ns0:c r="Q1277">
        <ns0:f>IF(AND(L1277=1,O1277*Calculations!$B$2&lt;=Calculations!$B$10*Calculations!$B$4),1,0)</ns0:f>
        <ns0:v>0</ns0:v>
      </ns0:c>
      <ns0:c r="R1277">
        <ns0:f>IF(AND(L1277=1,O1277*Calculations!$B$2&lt;=Calculations!$B$11*Calculations!$B$4),1,0)</ns0:f>
        <ns0:v>0</ns0:v>
      </ns0:c>
    </ns0:row>
    <ns0:row r="1278">
      <ns0:c r="A1278" t="inlineStr">
        <ns0:is>
          <ns0:t>case_1277</ns0:t>
        </ns0:is>
      </ns0:c>
      <ns0:c r="B1278" t="inlineStr">
        <ns0:is>
          <ns0:t>function_0286</ns0:t>
        </ns0:is>
      </ns0:c>
      <ns0:c r="C1278" t="inlineStr">
        <ns0:is>
          <ns0:t>run_013</ns0:t>
        </ns0:is>
      </ns0:c>
      <ns0:c r="D1278" t="inlineStr">
        <ns0:is>
          <ns0:t>rand</ns0:t>
        </ns0:is>
      </ns0:c>
      <ns0:c r="E1278" t="inlineStr">
        <ns0:is>
          <ns0:t>gemini-2.5-flash-nothinking</ns0:t>
        </ns0:is>
      </ns0:c>
      <ns0:c r="F1278" t="inlineStr">
        <ns0:is>
          <ns0:t>E0308</ns0:t>
        </ns0:is>
      </ns0:c>
      <ns0:c r="G1278" t="n">
        <ns0:v>1</ns0:v>
      </ns0:c>
      <ns0:c r="H1278" t="n">
        <ns0:v>4374</ns0:v>
      </ns0:c>
      <ns0:c r="I1278" t="n">
        <ns0:v>410</ns0:v>
      </ns0:c>
      <ns0:c r="J1278" t="n">
        <ns0:v>4784</ns0:v>
      </ns0:c>
      <ns0:c r="K1278" t="n">
        <ns0:v>2</ns0:v>
      </ns0:c>
      <ns0:c r="L1278" t="n">
        <ns0:v>0</ns0:v>
      </ns0:c>
      <ns0:c r="M1278" t="n">
        <ns0:v>180454</ns0:v>
      </ns0:c>
      <ns0:c r="N1278" t="n">
        <ns0:v>2079</ns0:v>
      </ns0:c>
      <ns0:c r="O1278" t="n">
        <ns0:v>182533</ns0:v>
      </ns0:c>
      <ns0:c r="P1278" t="n">
        <ns0:v>20</ns0:v>
      </ns0:c>
      <ns0:c r="Q1278">
        <ns0:f>IF(AND(L1278=1,O1278*Calculations!$B$2&lt;=Calculations!$B$10*Calculations!$B$4),1,0)</ns0:f>
        <ns0:v>0</ns0:v>
      </ns0:c>
      <ns0:c r="R1278">
        <ns0:f>IF(AND(L1278=1,O1278*Calculations!$B$2&lt;=Calculations!$B$11*Calculations!$B$4),1,0)</ns0:f>
        <ns0:v>0</ns0:v>
      </ns0:c>
    </ns0:row>
    <ns0:row r="1279">
      <ns0:c r="A1279" t="inlineStr">
        <ns0:is>
          <ns0:t>case_1278</ns0:t>
        </ns0:is>
      </ns0:c>
      <ns0:c r="B1279" t="inlineStr">
        <ns0:is>
          <ns0:t>function_0286</ns0:t>
        </ns0:is>
      </ns0:c>
      <ns0:c r="C1279" t="inlineStr">
        <ns0:is>
          <ns0:t>run_013</ns0:t>
        </ns0:is>
      </ns0:c>
      <ns0:c r="D1279" t="inlineStr">
        <ns0:is>
          <ns0:t>rand</ns0:t>
        </ns0:is>
      </ns0:c>
      <ns0:c r="E1279" t="inlineStr">
        <ns0:is>
          <ns0:t>gemini-2.5-flash-nothinking</ns0:t>
        </ns0:is>
      </ns0:c>
      <ns0:c r="F1279" t="inlineStr">
        <ns0:is>
          <ns0:t>E0282,E0283</ns0:t>
        </ns0:is>
      </ns0:c>
      <ns0:c r="G1279" t="n">
        <ns0:v>0</ns0:v>
      </ns0:c>
      <ns0:c r="H1279" t="n">
        <ns0:v>4415</ns0:v>
      </ns0:c>
      <ns0:c r="I1279" t="n">
        <ns0:v>423</ns0:v>
      </ns0:c>
      <ns0:c r="J1279" t="n">
        <ns0:v>4838</ns0:v>
      </ns0:c>
      <ns0:c r="K1279" t="n">
        <ns0:v>6</ns0:v>
      </ns0:c>
      <ns0:c r="L1279" t="n">
        <ns0:v>0</ns0:v>
      </ns0:c>
      <ns0:c r="M1279" t="n">
        <ns0:v>191243</ns0:v>
      </ns0:c>
      <ns0:c r="N1279" t="n">
        <ns0:v>2711</ns0:v>
      </ns0:c>
      <ns0:c r="O1279" t="n">
        <ns0:v>193954</ns0:v>
      </ns0:c>
      <ns0:c r="P1279" t="n">
        <ns0:v>21</ns0:v>
      </ns0:c>
      <ns0:c r="Q1279">
        <ns0:f>IF(AND(L1279=1,O1279*Calculations!$B$2&lt;=Calculations!$B$10*Calculations!$B$4),1,0)</ns0:f>
        <ns0:v>0</ns0:v>
      </ns0:c>
      <ns0:c r="R1279">
        <ns0:f>IF(AND(L1279=1,O1279*Calculations!$B$2&lt;=Calculations!$B$11*Calculations!$B$4),1,0)</ns0:f>
        <ns0:v>0</ns0:v>
      </ns0:c>
    </ns0:row>
    <ns0:row r="1280">
      <ns0:c r="A1280" t="inlineStr">
        <ns0:is>
          <ns0:t>case_1279</ns0:t>
        </ns0:is>
      </ns0:c>
      <ns0:c r="B1280" t="inlineStr">
        <ns0:is>
          <ns0:t>function_0287</ns0:t>
        </ns0:is>
      </ns0:c>
      <ns0:c r="C1280" t="inlineStr">
        <ns0:is>
          <ns0:t>run_013</ns0:t>
        </ns0:is>
      </ns0:c>
      <ns0:c r="D1280" t="inlineStr">
        <ns0:is>
          <ns0:t>rand</ns0:t>
        </ns0:is>
      </ns0:c>
      <ns0:c r="E1280" t="inlineStr">
        <ns0:is>
          <ns0:t>gemini-2.5-flash-nothinking</ns0:t>
        </ns0:is>
      </ns0:c>
      <ns0:c r="F1280" t="inlineStr">
        <ns0:is>
          <ns0:t>E0277</ns0:t>
        </ns0:is>
      </ns0:c>
      <ns0:c r="G1280" t="n">
        <ns0:v>1</ns0:v>
      </ns0:c>
      <ns0:c r="H1280" t="n">
        <ns0:v>595</ns0:v>
      </ns0:c>
      <ns0:c r="I1280" t="n">
        <ns0:v>104</ns0:v>
      </ns0:c>
      <ns0:c r="J1280" t="n">
        <ns0:v>699</ns0:v>
      </ns0:c>
      <ns0:c r="K1280" t="n">
        <ns0:v>1</ns0:v>
      </ns0:c>
      <ns0:c r="L1280" t="n">
        <ns0:v>1</ns0:v>
      </ns0:c>
      <ns0:c r="M1280" t="n">
        <ns0:v>38392</ns0:v>
      </ns0:c>
      <ns0:c r="N1280" t="n">
        <ns0:v>609</ns0:v>
      </ns0:c>
      <ns0:c r="O1280" t="n">
        <ns0:v>39001</ns0:v>
      </ns0:c>
      <ns0:c r="P1280" t="n">
        <ns0:v>5</ns0:v>
      </ns0:c>
      <ns0:c r="Q1280">
        <ns0:f>IF(AND(L1280=1,O1280*Calculations!$B$2&lt;=Calculations!$B$10*Calculations!$B$4),1,0)</ns0:f>
        <ns0:v>0</ns0:v>
      </ns0:c>
      <ns0:c r="R1280">
        <ns0:f>IF(AND(L1280=1,O1280*Calculations!$B$2&lt;=Calculations!$B$11*Calculations!$B$4),1,0)</ns0:f>
        <ns0:v>1</ns0:v>
      </ns0:c>
    </ns0:row>
    <ns0:row r="1281">
      <ns0:c r="A1281" t="inlineStr">
        <ns0:is>
          <ns0:t>case_1280</ns0:t>
        </ns0:is>
      </ns0:c>
      <ns0:c r="B1281" t="inlineStr">
        <ns0:is>
          <ns0:t>function_0287</ns0:t>
        </ns0:is>
      </ns0:c>
      <ns0:c r="C1281" t="inlineStr">
        <ns0:is>
          <ns0:t>run_013</ns0:t>
        </ns0:is>
      </ns0:c>
      <ns0:c r="D1281" t="inlineStr">
        <ns0:is>
          <ns0:t>rand</ns0:t>
        </ns0:is>
      </ns0:c>
      <ns0:c r="E1281" t="inlineStr">
        <ns0:is>
          <ns0:t>gemini-2.5-flash-nothinking</ns0:t>
        </ns0:is>
      </ns0:c>
      <ns0:c r="F1281" t="inlineStr">
        <ns0:is>
          <ns0:t>E0432,E0599</ns0:t>
        </ns0:is>
      </ns0:c>
      <ns0:c r="G1281" t="n">
        <ns0:v>0</ns0:v>
      </ns0:c>
      <ns0:c r="H1281" t="n">
        <ns0:v>2511</ns0:v>
      </ns0:c>
      <ns0:c r="I1281" t="n">
        <ns0:v>255</ns0:v>
      </ns0:c>
      <ns0:c r="J1281" t="n">
        <ns0:v>2766</ns0:v>
      </ns0:c>
      <ns0:c r="K1281" t="n">
        <ns0:v>3</ns0:v>
      </ns0:c>
      <ns0:c r="L1281" t="n">
        <ns0:v>1</ns0:v>
      </ns0:c>
      <ns0:c r="M1281" t="n">
        <ns0:v>21838</ns0:v>
      </ns0:c>
      <ns0:c r="N1281" t="n">
        <ns0:v>894</ns0:v>
      </ns0:c>
      <ns0:c r="O1281" t="n">
        <ns0:v>22732</ns0:v>
      </ns0:c>
      <ns0:c r="P1281" t="n">
        <ns0:v>3</ns0:v>
      </ns0:c>
      <ns0:c r="Q1281">
        <ns0:f>IF(AND(L1281=1,O1281*Calculations!$B$2&lt;=Calculations!$B$10*Calculations!$B$4),1,0)</ns0:f>
        <ns0:v>1</ns0:v>
      </ns0:c>
      <ns0:c r="R1281">
        <ns0:f>IF(AND(L1281=1,O1281*Calculations!$B$2&lt;=Calculations!$B$11*Calculations!$B$4),1,0)</ns0:f>
        <ns0:v>1</ns0:v>
      </ns0:c>
    </ns0:row>
    <ns0:row r="1282">
      <ns0:c r="A1282" t="inlineStr">
        <ns0:is>
          <ns0:t>case_1281</ns0:t>
        </ns0:is>
      </ns0:c>
      <ns0:c r="B1282" t="inlineStr">
        <ns0:is>
          <ns0:t>function_0288</ns0:t>
        </ns0:is>
      </ns0:c>
      <ns0:c r="C1282" t="inlineStr">
        <ns0:is>
          <ns0:t>run_013</ns0:t>
        </ns0:is>
      </ns0:c>
      <ns0:c r="D1282" t="inlineStr">
        <ns0:is>
          <ns0:t>rand</ns0:t>
        </ns0:is>
      </ns0:c>
      <ns0:c r="E1282" t="inlineStr">
        <ns0:is>
          <ns0:t>gemini-2.5-flash-nothinking</ns0:t>
        </ns0:is>
      </ns0:c>
      <ns0:c r="F1282" t="inlineStr">
        <ns0:is>
          <ns0:t>E0277,E0432</ns0:t>
        </ns0:is>
      </ns0:c>
      <ns0:c r="G1282" t="n">
        <ns0:v>0</ns0:v>
      </ns0:c>
      <ns0:c r="H1282" t="n">
        <ns0:v>3086</ns0:v>
      </ns0:c>
      <ns0:c r="I1282" t="n">
        <ns0:v>294</ns0:v>
      </ns0:c>
      <ns0:c r="J1282" t="n">
        <ns0:v>3380</ns0:v>
      </ns0:c>
      <ns0:c r="K1282" t="n">
        <ns0:v>3</ns0:v>
      </ns0:c>
      <ns0:c r="L1282" t="n">
        <ns0:v>1</ns0:v>
      </ns0:c>
      <ns0:c r="M1282" t="n">
        <ns0:v>45880</ns0:v>
      </ns0:c>
      <ns0:c r="N1282" t="n">
        <ns0:v>905</ns0:v>
      </ns0:c>
      <ns0:c r="O1282" t="n">
        <ns0:v>46785</ns0:v>
      </ns0:c>
      <ns0:c r="P1282" t="n">
        <ns0:v>6</ns0:v>
      </ns0:c>
      <ns0:c r="Q1282">
        <ns0:f>IF(AND(L1282=1,O1282*Calculations!$B$2&lt;=Calculations!$B$10*Calculations!$B$4),1,0)</ns0:f>
        <ns0:v>0</ns0:v>
      </ns0:c>
      <ns0:c r="R1282">
        <ns0:f>IF(AND(L1282=1,O1282*Calculations!$B$2&lt;=Calculations!$B$11*Calculations!$B$4),1,0)</ns0:f>
        <ns0:v>0</ns0:v>
      </ns0:c>
    </ns0:row>
    <ns0:row r="1283">
      <ns0:c r="A1283" t="inlineStr">
        <ns0:is>
          <ns0:t>case_1282</ns0:t>
        </ns0:is>
      </ns0:c>
      <ns0:c r="B1283" t="inlineStr">
        <ns0:is>
          <ns0:t>function_0288</ns0:t>
        </ns0:is>
      </ns0:c>
      <ns0:c r="C1283" t="inlineStr">
        <ns0:is>
          <ns0:t>run_013</ns0:t>
        </ns0:is>
      </ns0:c>
      <ns0:c r="D1283" t="inlineStr">
        <ns0:is>
          <ns0:t>rand</ns0:t>
        </ns0:is>
      </ns0:c>
      <ns0:c r="E1283" t="inlineStr">
        <ns0:is>
          <ns0:t>gemini-2.5-flash-nothinking</ns0:t>
        </ns0:is>
      </ns0:c>
      <ns0:c r="F1283" t="inlineStr">
        <ns0:is>
          <ns0:t>E0432,E0599</ns0:t>
        </ns0:is>
      </ns0:c>
      <ns0:c r="G1283" t="n">
        <ns0:v>0</ns0:v>
      </ns0:c>
      <ns0:c r="H1283" t="n">
        <ns0:v>2511</ns0:v>
      </ns0:c>
      <ns0:c r="I1283" t="n">
        <ns0:v>253</ns0:v>
      </ns0:c>
      <ns0:c r="J1283" t="n">
        <ns0:v>2764</ns0:v>
      </ns0:c>
      <ns0:c r="K1283" t="n">
        <ns0:v>3</ns0:v>
      </ns0:c>
      <ns0:c r="L1283" t="n">
        <ns0:v>1</ns0:v>
      </ns0:c>
      <ns0:c r="M1283" t="n">
        <ns0:v>21689</ns0:v>
      </ns0:c>
      <ns0:c r="N1283" t="n">
        <ns0:v>755</ns0:v>
      </ns0:c>
      <ns0:c r="O1283" t="n">
        <ns0:v>22444</ns0:v>
      </ns0:c>
      <ns0:c r="P1283" t="n">
        <ns0:v>3</ns0:v>
      </ns0:c>
      <ns0:c r="Q1283">
        <ns0:f>IF(AND(L1283=1,O1283*Calculations!$B$2&lt;=Calculations!$B$10*Calculations!$B$4),1,0)</ns0:f>
        <ns0:v>1</ns0:v>
      </ns0:c>
      <ns0:c r="R1283">
        <ns0:f>IF(AND(L1283=1,O1283*Calculations!$B$2&lt;=Calculations!$B$11*Calculations!$B$4),1,0)</ns0:f>
        <ns0:v>1</ns0:v>
      </ns0:c>
    </ns0:row>
    <ns0:row r="1284">
      <ns0:c r="A1284" t="inlineStr">
        <ns0:is>
          <ns0:t>case_1283</ns0:t>
        </ns0:is>
      </ns0:c>
      <ns0:c r="B1284" t="inlineStr">
        <ns0:is>
          <ns0:t>function_0289</ns0:t>
        </ns0:is>
      </ns0:c>
      <ns0:c r="C1284" t="inlineStr">
        <ns0:is>
          <ns0:t>run_013</ns0:t>
        </ns0:is>
      </ns0:c>
      <ns0:c r="D1284" t="inlineStr">
        <ns0:is>
          <ns0:t>rand</ns0:t>
        </ns0:is>
      </ns0:c>
      <ns0:c r="E1284" t="inlineStr">
        <ns0:is>
          <ns0:t>gemini-2.5-flash-nothinking</ns0:t>
        </ns0:is>
      </ns0:c>
      <ns0:c r="F1284" t="inlineStr">
        <ns0:is>
          <ns0:t>E0277,E0308</ns0:t>
        </ns0:is>
      </ns0:c>
      <ns0:c r="G1284" t="n">
        <ns0:v>0</ns0:v>
      </ns0:c>
      <ns0:c r="H1284" t="n">
        <ns0:v>2849</ns0:v>
      </ns0:c>
      <ns0:c r="I1284" t="n">
        <ns0:v>334</ns0:v>
      </ns0:c>
      <ns0:c r="J1284" t="n">
        <ns0:v>3183</ns0:v>
      </ns0:c>
      <ns0:c r="K1284" t="n">
        <ns0:v>3</ns0:v>
      </ns0:c>
      <ns0:c r="L1284" t="n">
        <ns0:v>1</ns0:v>
      </ns0:c>
      <ns0:c r="M1284" t="n">
        <ns0:v>29940</ns0:v>
      </ns0:c>
      <ns0:c r="N1284" t="n">
        <ns0:v>897</ns0:v>
      </ns0:c>
      <ns0:c r="O1284" t="n">
        <ns0:v>30837</ns0:v>
      </ns0:c>
      <ns0:c r="P1284" t="n">
        <ns0:v>4</ns0:v>
      </ns0:c>
      <ns0:c r="Q1284">
        <ns0:f>IF(AND(L1284=1,O1284*Calculations!$B$2&lt;=Calculations!$B$10*Calculations!$B$4),1,0)</ns0:f>
        <ns0:v>0</ns0:v>
      </ns0:c>
      <ns0:c r="R1284">
        <ns0:f>IF(AND(L1284=1,O1284*Calculations!$B$2&lt;=Calculations!$B$11*Calculations!$B$4),1,0)</ns0:f>
        <ns0:v>1</ns0:v>
      </ns0:c>
    </ns0:row>
    <ns0:row r="1285">
      <ns0:c r="A1285" t="inlineStr">
        <ns0:is>
          <ns0:t>case_1284</ns0:t>
        </ns0:is>
      </ns0:c>
      <ns0:c r="B1285" t="inlineStr">
        <ns0:is>
          <ns0:t>function_0289</ns0:t>
        </ns0:is>
      </ns0:c>
      <ns0:c r="C1285" t="inlineStr">
        <ns0:is>
          <ns0:t>run_013</ns0:t>
        </ns0:is>
      </ns0:c>
      <ns0:c r="D1285" t="inlineStr">
        <ns0:is>
          <ns0:t>rand</ns0:t>
        </ns0:is>
      </ns0:c>
      <ns0:c r="E1285" t="inlineStr">
        <ns0:is>
          <ns0:t>gemini-2.5-flash-nothinking</ns0:t>
        </ns0:is>
      </ns0:c>
      <ns0:c r="F1285" t="inlineStr">
        <ns0:is>
          <ns0:t>E0308,E0603</ns0:t>
        </ns0:is>
      </ns0:c>
      <ns0:c r="G1285" t="n">
        <ns0:v>1</ns0:v>
      </ns0:c>
      <ns0:c r="H1285" t="n">
        <ns0:v>718</ns0:v>
      </ns0:c>
      <ns0:c r="I1285" t="n">
        <ns0:v>108</ns0:v>
      </ns0:c>
      <ns0:c r="J1285" t="n">
        <ns0:v>826</ns0:v>
      </ns0:c>
      <ns0:c r="K1285" t="n">
        <ns0:v>1</ns0:v>
      </ns0:c>
      <ns0:c r="L1285" t="n">
        <ns0:v>1</ns0:v>
      </ns0:c>
      <ns0:c r="M1285" t="n">
        <ns0:v>28902</ns0:v>
      </ns0:c>
      <ns0:c r="N1285" t="n">
        <ns0:v>428</ns0:v>
      </ns0:c>
      <ns0:c r="O1285" t="n">
        <ns0:v>29330</ns0:v>
      </ns0:c>
      <ns0:c r="P1285" t="n">
        <ns0:v>4</ns0:v>
      </ns0:c>
      <ns0:c r="Q1285">
        <ns0:f>IF(AND(L1285=1,O1285*Calculations!$B$2&lt;=Calculations!$B$10*Calculations!$B$4),1,0)</ns0:f>
        <ns0:v>0</ns0:v>
      </ns0:c>
      <ns0:c r="R1285">
        <ns0:f>IF(AND(L1285=1,O1285*Calculations!$B$2&lt;=Calculations!$B$11*Calculations!$B$4),1,0)</ns0:f>
        <ns0:v>1</ns0:v>
      </ns0:c>
    </ns0:row>
    <ns0:row r="1286">
      <ns0:c r="A1286" t="inlineStr">
        <ns0:is>
          <ns0:t>case_1285</ns0:t>
        </ns0:is>
      </ns0:c>
      <ns0:c r="B1286" t="inlineStr">
        <ns0:is>
          <ns0:t>function_0290</ns0:t>
        </ns0:is>
      </ns0:c>
      <ns0:c r="C1286" t="inlineStr">
        <ns0:is>
          <ns0:t>run_013</ns0:t>
        </ns0:is>
      </ns0:c>
      <ns0:c r="D1286" t="inlineStr">
        <ns0:is>
          <ns0:t>rand</ns0:t>
        </ns0:is>
      </ns0:c>
      <ns0:c r="E1286" t="inlineStr">
        <ns0:is>
          <ns0:t>gemini-2.5-flash-nothinking</ns0:t>
        </ns0:is>
      </ns0:c>
      <ns0:c r="F1286" t="inlineStr">
        <ns0:is>
          <ns0:t>E0412</ns0:t>
        </ns0:is>
      </ns0:c>
      <ns0:c r="G1286" t="n">
        <ns0:v>1</ns0:v>
      </ns0:c>
      <ns0:c r="H1286" t="n">
        <ns0:v>998</ns0:v>
      </ns0:c>
      <ns0:c r="I1286" t="n">
        <ns0:v>214</ns0:v>
      </ns0:c>
      <ns0:c r="J1286" t="n">
        <ns0:v>1212</ns0:v>
      </ns0:c>
      <ns0:c r="K1286" t="n">
        <ns0:v>1</ns0:v>
      </ns0:c>
      <ns0:c r="L1286" t="n">
        <ns0:v>1</ns0:v>
      </ns0:c>
      <ns0:c r="M1286" t="n">
        <ns0:v>22537</ns0:v>
      </ns0:c>
      <ns0:c r="N1286" t="n">
        <ns0:v>316</ns0:v>
      </ns0:c>
      <ns0:c r="O1286" t="n">
        <ns0:v>22853</ns0:v>
      </ns0:c>
      <ns0:c r="P1286" t="n">
        <ns0:v>3</ns0:v>
      </ns0:c>
      <ns0:c r="Q1286">
        <ns0:f>IF(AND(L1286=1,O1286*Calculations!$B$2&lt;=Calculations!$B$10*Calculations!$B$4),1,0)</ns0:f>
        <ns0:v>1</ns0:v>
      </ns0:c>
      <ns0:c r="R1286">
        <ns0:f>IF(AND(L1286=1,O1286*Calculations!$B$2&lt;=Calculations!$B$11*Calculations!$B$4),1,0)</ns0:f>
        <ns0:v>1</ns0:v>
      </ns0:c>
    </ns0:row>
    <ns0:row r="1287">
      <ns0:c r="A1287" t="inlineStr">
        <ns0:is>
          <ns0:t>case_1286</ns0:t>
        </ns0:is>
      </ns0:c>
      <ns0:c r="B1287" t="inlineStr">
        <ns0:is>
          <ns0:t>function_0291</ns0:t>
        </ns0:is>
      </ns0:c>
      <ns0:c r="C1287" t="inlineStr">
        <ns0:is>
          <ns0:t>run_013</ns0:t>
        </ns0:is>
      </ns0:c>
      <ns0:c r="D1287" t="inlineStr">
        <ns0:is>
          <ns0:t>rand</ns0:t>
        </ns0:is>
      </ns0:c>
      <ns0:c r="E1287" t="inlineStr">
        <ns0:is>
          <ns0:t>gemini-2.5-flash-nothinking</ns0:t>
        </ns0:is>
      </ns0:c>
      <ns0:c r="F1287" t="inlineStr">
        <ns0:is>
          <ns0:t>E0603</ns0:t>
        </ns0:is>
      </ns0:c>
      <ns0:c r="G1287" t="n">
        <ns0:v>1</ns0:v>
      </ns0:c>
      <ns0:c r="H1287" t="n">
        <ns0:v>1290</ns0:v>
      </ns0:c>
      <ns0:c r="I1287" t="n">
        <ns0:v>491</ns0:v>
      </ns0:c>
      <ns0:c r="J1287" t="n">
        <ns0:v>1781</ns0:v>
      </ns0:c>
      <ns0:c r="K1287" t="n">
        <ns0:v>1</ns0:v>
      </ns0:c>
      <ns0:c r="L1287" t="n">
        <ns0:v>1</ns0:v>
      </ns0:c>
      <ns0:c r="M1287" t="n">
        <ns0:v>22017</ns0:v>
      </ns0:c>
      <ns0:c r="N1287" t="n">
        <ns0:v>218</ns0:v>
      </ns0:c>
      <ns0:c r="O1287" t="n">
        <ns0:v>22235</ns0:v>
      </ns0:c>
      <ns0:c r="P1287" t="n">
        <ns0:v>3</ns0:v>
      </ns0:c>
      <ns0:c r="Q1287">
        <ns0:f>IF(AND(L1287=1,O1287*Calculations!$B$2&lt;=Calculations!$B$10*Calculations!$B$4),1,0)</ns0:f>
        <ns0:v>1</ns0:v>
      </ns0:c>
      <ns0:c r="R1287">
        <ns0:f>IF(AND(L1287=1,O1287*Calculations!$B$2&lt;=Calculations!$B$11*Calculations!$B$4),1,0)</ns0:f>
        <ns0:v>1</ns0:v>
      </ns0:c>
    </ns0:row>
    <ns0:row r="1288">
      <ns0:c r="A1288" t="inlineStr">
        <ns0:is>
          <ns0:t>case_1287</ns0:t>
        </ns0:is>
      </ns0:c>
      <ns0:c r="B1288" t="inlineStr">
        <ns0:is>
          <ns0:t>function_0291</ns0:t>
        </ns0:is>
      </ns0:c>
      <ns0:c r="C1288" t="inlineStr">
        <ns0:is>
          <ns0:t>run_013</ns0:t>
        </ns0:is>
      </ns0:c>
      <ns0:c r="D1288" t="inlineStr">
        <ns0:is>
          <ns0:t>rand</ns0:t>
        </ns0:is>
      </ns0:c>
      <ns0:c r="E1288" t="inlineStr">
        <ns0:is>
          <ns0:t>gemini-2.5-flash-nothinking</ns0:t>
        </ns0:is>
      </ns0:c>
      <ns0:c r="F1288" t="inlineStr">
        <ns0:is>
          <ns0:t>E0432</ns0:t>
        </ns0:is>
      </ns0:c>
      <ns0:c r="G1288" t="n">
        <ns0:v>1</ns0:v>
      </ns0:c>
      <ns0:c r="H1288" t="n">
        <ns0:v>0</ns0:v>
      </ns0:c>
      <ns0:c r="I1288" t="n">
        <ns0:v>0</ns0:v>
      </ns0:c>
      <ns0:c r="J1288" t="n">
        <ns0:v>0</ns0:v>
      </ns0:c>
      <ns0:c r="K1288" t="n">
        <ns0:v>0</ns0:v>
      </ns0:c>
      <ns0:c r="L1288" t="n">
        <ns0:v>1</ns0:v>
      </ns0:c>
      <ns0:c r="M1288" t="n">
        <ns0:v>211847</ns0:v>
      </ns0:c>
      <ns0:c r="N1288" t="n">
        <ns0:v>7908</ns0:v>
      </ns0:c>
      <ns0:c r="O1288" t="n">
        <ns0:v>219755</ns0:v>
      </ns0:c>
      <ns0:c r="P1288" t="n">
        <ns0:v>22</ns0:v>
      </ns0:c>
      <ns0:c r="Q1288">
        <ns0:f>IF(AND(L1288=1,O1288*Calculations!$B$2&lt;=Calculations!$B$10*Calculations!$B$4),1,0)</ns0:f>
        <ns0:v>0</ns0:v>
      </ns0:c>
      <ns0:c r="R1288">
        <ns0:f>IF(AND(L1288=1,O1288*Calculations!$B$2&lt;=Calculations!$B$11*Calculations!$B$4),1,0)</ns0:f>
        <ns0:v>0</ns0:v>
      </ns0:c>
    </ns0:row>
    <ns0:row r="1289">
      <ns0:c r="A1289" t="inlineStr">
        <ns0:is>
          <ns0:t>case_1288</ns0:t>
        </ns0:is>
      </ns0:c>
      <ns0:c r="B1289" t="inlineStr">
        <ns0:is>
          <ns0:t>function_0292</ns0:t>
        </ns0:is>
      </ns0:c>
      <ns0:c r="C1289" t="inlineStr">
        <ns0:is>
          <ns0:t>run_013</ns0:t>
        </ns0:is>
      </ns0:c>
      <ns0:c r="D1289" t="inlineStr">
        <ns0:is>
          <ns0:t>rand</ns0:t>
        </ns0:is>
      </ns0:c>
      <ns0:c r="E1289" t="inlineStr">
        <ns0:is>
          <ns0:t>gemini-2.5-flash-nothinking</ns0:t>
        </ns0:is>
      </ns0:c>
      <ns0:c r="F1289" t="inlineStr">
        <ns0:is>
          <ns0:t>E0433</ns0:t>
        </ns0:is>
      </ns0:c>
      <ns0:c r="G1289" t="n">
        <ns0:v>1</ns0:v>
      </ns0:c>
      <ns0:c r="H1289" t="n">
        <ns0:v>0</ns0:v>
      </ns0:c>
      <ns0:c r="I1289" t="n">
        <ns0:v>0</ns0:v>
      </ns0:c>
      <ns0:c r="J1289" t="n">
        <ns0:v>0</ns0:v>
      </ns0:c>
      <ns0:c r="K1289" t="n">
        <ns0:v>0</ns0:v>
      </ns0:c>
      <ns0:c r="L1289" t="n">
        <ns0:v>1</ns0:v>
      </ns0:c>
      <ns0:c r="M1289" t="n">
        <ns0:v>21791</ns0:v>
      </ns0:c>
      <ns0:c r="N1289" t="n">
        <ns0:v>486</ns0:v>
      </ns0:c>
      <ns0:c r="O1289" t="n">
        <ns0:v>22277</ns0:v>
      </ns0:c>
      <ns0:c r="P1289" t="n">
        <ns0:v>3</ns0:v>
      </ns0:c>
      <ns0:c r="Q1289">
        <ns0:f>IF(AND(L1289=1,O1289*Calculations!$B$2&lt;=Calculations!$B$10*Calculations!$B$4),1,0)</ns0:f>
        <ns0:v>1</ns0:v>
      </ns0:c>
      <ns0:c r="R1289">
        <ns0:f>IF(AND(L1289=1,O1289*Calculations!$B$2&lt;=Calculations!$B$11*Calculations!$B$4),1,0)</ns0:f>
        <ns0:v>1</ns0:v>
      </ns0:c>
    </ns0:row>
    <ns0:row r="1290">
      <ns0:c r="A1290" t="inlineStr">
        <ns0:is>
          <ns0:t>case_1289</ns0:t>
        </ns0:is>
      </ns0:c>
      <ns0:c r="B1290" t="inlineStr">
        <ns0:is>
          <ns0:t>function_0292</ns0:t>
        </ns0:is>
      </ns0:c>
      <ns0:c r="C1290" t="inlineStr">
        <ns0:is>
          <ns0:t>run_013</ns0:t>
        </ns0:is>
      </ns0:c>
      <ns0:c r="D1290" t="inlineStr">
        <ns0:is>
          <ns0:t>rand</ns0:t>
        </ns0:is>
      </ns0:c>
      <ns0:c r="E1290" t="inlineStr">
        <ns0:is>
          <ns0:t>gemini-2.5-flash-nothinking</ns0:t>
        </ns0:is>
      </ns0:c>
      <ns0:c r="F1290" t="inlineStr">
        <ns0:is>
          <ns0:t>E0308</ns0:t>
        </ns0:is>
      </ns0:c>
      <ns0:c r="G1290" t="n">
        <ns0:v>1</ns0:v>
      </ns0:c>
      <ns0:c r="H1290" t="n">
        <ns0:v>1574</ns0:v>
      </ns0:c>
      <ns0:c r="I1290" t="n">
        <ns0:v>64</ns0:v>
      </ns0:c>
      <ns0:c r="J1290" t="n">
        <ns0:v>1638</ns0:v>
      </ns0:c>
      <ns0:c r="K1290" t="n">
        <ns0:v>1</ns0:v>
      </ns0:c>
      <ns0:c r="L1290" t="n">
        <ns0:v>1</ns0:v>
      </ns0:c>
      <ns0:c r="M1290" t="n">
        <ns0:v>21034</ns0:v>
      </ns0:c>
      <ns0:c r="N1290" t="n">
        <ns0:v>278</ns0:v>
      </ns0:c>
      <ns0:c r="O1290" t="n">
        <ns0:v>21312</ns0:v>
      </ns0:c>
      <ns0:c r="P1290" t="n">
        <ns0:v>3</ns0:v>
      </ns0:c>
      <ns0:c r="Q1290">
        <ns0:f>IF(AND(L1290=1,O1290*Calculations!$B$2&lt;=Calculations!$B$10*Calculations!$B$4),1,0)</ns0:f>
        <ns0:v>1</ns0:v>
      </ns0:c>
      <ns0:c r="R1290">
        <ns0:f>IF(AND(L1290=1,O1290*Calculations!$B$2&lt;=Calculations!$B$11*Calculations!$B$4),1,0)</ns0:f>
        <ns0:v>1</ns0:v>
      </ns0:c>
    </ns0:row>
    <ns0:row r="1291">
      <ns0:c r="A1291" t="inlineStr">
        <ns0:is>
          <ns0:t>case_1290</ns0:t>
        </ns0:is>
      </ns0:c>
      <ns0:c r="B1291" t="inlineStr">
        <ns0:is>
          <ns0:t>function_0293</ns0:t>
        </ns0:is>
      </ns0:c>
      <ns0:c r="C1291" t="inlineStr">
        <ns0:is>
          <ns0:t>run_013</ns0:t>
        </ns0:is>
      </ns0:c>
      <ns0:c r="D1291" t="inlineStr">
        <ns0:is>
          <ns0:t>rand</ns0:t>
        </ns0:is>
      </ns0:c>
      <ns0:c r="E1291" t="inlineStr">
        <ns0:is>
          <ns0:t>gemini-2.5-flash-nothinking</ns0:t>
        </ns0:is>
      </ns0:c>
      <ns0:c r="F1291" t="inlineStr">
        <ns0:is>
          <ns0:t>E0277,E0407,E0433</ns0:t>
        </ns0:is>
      </ns0:c>
      <ns0:c r="G1291" t="n">
        <ns0:v>1</ns0:v>
      </ns0:c>
      <ns0:c r="H1291" t="n">
        <ns0:v>0</ns0:v>
      </ns0:c>
      <ns0:c r="I1291" t="n">
        <ns0:v>0</ns0:v>
      </ns0:c>
      <ns0:c r="J1291" t="n">
        <ns0:v>0</ns0:v>
      </ns0:c>
      <ns0:c r="K1291" t="n">
        <ns0:v>0</ns0:v>
      </ns0:c>
      <ns0:c r="L1291" t="n">
        <ns0:v>0</ns0:v>
      </ns0:c>
      <ns0:c r="M1291" t="n">
        <ns0:v>375529</ns0:v>
      </ns0:c>
      <ns0:c r="N1291" t="n">
        <ns0:v>2803</ns0:v>
      </ns0:c>
      <ns0:c r="O1291" t="n">
        <ns0:v>378332</ns0:v>
      </ns0:c>
      <ns0:c r="P1291" t="n">
        <ns0:v>20</ns0:v>
      </ns0:c>
      <ns0:c r="Q1291">
        <ns0:f>IF(AND(L1291=1,O1291*Calculations!$B$2&lt;=Calculations!$B$10*Calculations!$B$4),1,0)</ns0:f>
        <ns0:v>0</ns0:v>
      </ns0:c>
      <ns0:c r="R1291">
        <ns0:f>IF(AND(L1291=1,O1291*Calculations!$B$2&lt;=Calculations!$B$11*Calculations!$B$4),1,0)</ns0:f>
        <ns0:v>0</ns0:v>
      </ns0:c>
    </ns0:row>
    <ns0:row r="1292">
      <ns0:c r="A1292" t="inlineStr">
        <ns0:is>
          <ns0:t>case_1291</ns0:t>
        </ns0:is>
      </ns0:c>
      <ns0:c r="B1292" t="inlineStr">
        <ns0:is>
          <ns0:t>function_0293</ns0:t>
        </ns0:is>
      </ns0:c>
      <ns0:c r="C1292" t="inlineStr">
        <ns0:is>
          <ns0:t>run_013</ns0:t>
        </ns0:is>
      </ns0:c>
      <ns0:c r="D1292" t="inlineStr">
        <ns0:is>
          <ns0:t>rand</ns0:t>
        </ns0:is>
      </ns0:c>
      <ns0:c r="E1292" t="inlineStr">
        <ns0:is>
          <ns0:t>gemini-2.5-flash-nothinking</ns0:t>
        </ns0:is>
      </ns0:c>
      <ns0:c r="F1292" t="inlineStr">
        <ns0:is>
          <ns0:t>E0277,E0407,E0433</ns0:t>
        </ns0:is>
      </ns0:c>
      <ns0:c r="G1292" t="n">
        <ns0:v>0</ns0:v>
      </ns0:c>
      <ns0:c r="H1292" t="n">
        <ns0:v>4364</ns0:v>
      </ns0:c>
      <ns0:c r="I1292" t="n">
        <ns0:v>849</ns0:v>
      </ns0:c>
      <ns0:c r="J1292" t="n">
        <ns0:v>5213</ns0:v>
      </ns0:c>
      <ns0:c r="K1292" t="n">
        <ns0:v>3</ns0:v>
      </ns0:c>
      <ns0:c r="L1292" t="n">
        <ns0:v>1</ns0:v>
      </ns0:c>
      <ns0:c r="M1292" t="n">
        <ns0:v>104339</ns0:v>
      </ns0:c>
      <ns0:c r="N1292" t="n">
        <ns0:v>1521</ns0:v>
      </ns0:c>
      <ns0:c r="O1292" t="n">
        <ns0:v>105860</ns0:v>
      </ns0:c>
      <ns0:c r="P1292" t="n">
        <ns0:v>11</ns0:v>
      </ns0:c>
      <ns0:c r="Q1292">
        <ns0:f>IF(AND(L1292=1,O1292*Calculations!$B$2&lt;=Calculations!$B$10*Calculations!$B$4),1,0)</ns0:f>
        <ns0:v>0</ns0:v>
      </ns0:c>
      <ns0:c r="R1292">
        <ns0:f>IF(AND(L1292=1,O1292*Calculations!$B$2&lt;=Calculations!$B$11*Calculations!$B$4),1,0)</ns0:f>
        <ns0:v>0</ns0:v>
      </ns0:c>
    </ns0:row>
    <ns0:row r="1293">
      <ns0:c r="A1293" t="inlineStr">
        <ns0:is>
          <ns0:t>case_1292</ns0:t>
        </ns0:is>
      </ns0:c>
      <ns0:c r="B1293" t="inlineStr">
        <ns0:is>
          <ns0:t>function_0294</ns0:t>
        </ns0:is>
      </ns0:c>
      <ns0:c r="C1293" t="inlineStr">
        <ns0:is>
          <ns0:t>run_013</ns0:t>
        </ns0:is>
      </ns0:c>
      <ns0:c r="D1293" t="inlineStr">
        <ns0:is>
          <ns0:t>rand</ns0:t>
        </ns0:is>
      </ns0:c>
      <ns0:c r="E1293" t="inlineStr">
        <ns0:is>
          <ns0:t>gemini-2.5-flash-nothinking</ns0:t>
        </ns0:is>
      </ns0:c>
      <ns0:c r="F1293" t="inlineStr">
        <ns0:is>
          <ns0:t>E0433</ns0:t>
        </ns0:is>
      </ns0:c>
      <ns0:c r="G1293" t="n">
        <ns0:v>1</ns0:v>
      </ns0:c>
      <ns0:c r="H1293" t="n">
        <ns0:v>0</ns0:v>
      </ns0:c>
      <ns0:c r="I1293" t="n">
        <ns0:v>0</ns0:v>
      </ns0:c>
      <ns0:c r="J1293" t="n">
        <ns0:v>0</ns0:v>
      </ns0:c>
      <ns0:c r="K1293" t="n">
        <ns0:v>0</ns0:v>
      </ns0:c>
      <ns0:c r="L1293" t="n">
        <ns0:v>0</ns0:v>
      </ns0:c>
      <ns0:c r="M1293" t="n">
        <ns0:v>174711</ns0:v>
      </ns0:c>
      <ns0:c r="N1293" t="n">
        <ns0:v>3201</ns0:v>
      </ns0:c>
      <ns0:c r="O1293" t="n">
        <ns0:v>177912</ns0:v>
      </ns0:c>
      <ns0:c r="P1293" t="n">
        <ns0:v>20</ns0:v>
      </ns0:c>
      <ns0:c r="Q1293">
        <ns0:f>IF(AND(L1293=1,O1293*Calculations!$B$2&lt;=Calculations!$B$10*Calculations!$B$4),1,0)</ns0:f>
        <ns0:v>0</ns0:v>
      </ns0:c>
      <ns0:c r="R1293">
        <ns0:f>IF(AND(L1293=1,O1293*Calculations!$B$2&lt;=Calculations!$B$11*Calculations!$B$4),1,0)</ns0:f>
        <ns0:v>0</ns0:v>
      </ns0:c>
    </ns0:row>
    <ns0:row r="1294">
      <ns0:c r="A1294" t="inlineStr">
        <ns0:is>
          <ns0:t>case_1293</ns0:t>
        </ns0:is>
      </ns0:c>
      <ns0:c r="B1294" t="inlineStr">
        <ns0:is>
          <ns0:t>function_0294</ns0:t>
        </ns0:is>
      </ns0:c>
      <ns0:c r="C1294" t="inlineStr">
        <ns0:is>
          <ns0:t>run_013</ns0:t>
        </ns0:is>
      </ns0:c>
      <ns0:c r="D1294" t="inlineStr">
        <ns0:is>
          <ns0:t>rand</ns0:t>
        </ns0:is>
      </ns0:c>
      <ns0:c r="E1294" t="inlineStr">
        <ns0:is>
          <ns0:t>gemini-2.5-flash-nothinking</ns0:t>
        </ns0:is>
      </ns0:c>
      <ns0:c r="F1294" t="inlineStr">
        <ns0:is>
          <ns0:t>E0277,E0407,E0412,E0425,E0433</ns0:t>
        </ns0:is>
      </ns0:c>
      <ns0:c r="G1294" t="n">
        <ns0:v>0</ns0:v>
      </ns0:c>
      <ns0:c r="H1294" t="n">
        <ns0:v>5152</ns0:v>
      </ns0:c>
      <ns0:c r="I1294" t="n">
        <ns0:v>576</ns0:v>
      </ns0:c>
      <ns0:c r="J1294" t="n">
        <ns0:v>5728</ns0:v>
      </ns0:c>
      <ns0:c r="K1294" t="n">
        <ns0:v>3</ns0:v>
      </ns0:c>
      <ns0:c r="L1294" t="n">
        <ns0:v>1</ns0:v>
      </ns0:c>
      <ns0:c r="M1294" t="n">
        <ns0:v>116929</ns0:v>
      </ns0:c>
      <ns0:c r="N1294" t="n">
        <ns0:v>2387</ns0:v>
      </ns0:c>
      <ns0:c r="O1294" t="n">
        <ns0:v>119316</ns0:v>
      </ns0:c>
      <ns0:c r="P1294" t="n">
        <ns0:v>12</ns0:v>
      </ns0:c>
      <ns0:c r="Q1294">
        <ns0:f>IF(AND(L1294=1,O1294*Calculations!$B$2&lt;=Calculations!$B$10*Calculations!$B$4),1,0)</ns0:f>
        <ns0:v>0</ns0:v>
      </ns0:c>
      <ns0:c r="R1294">
        <ns0:f>IF(AND(L1294=1,O1294*Calculations!$B$2&lt;=Calculations!$B$11*Calculations!$B$4),1,0)</ns0:f>
        <ns0:v>0</ns0:v>
      </ns0:c>
    </ns0:row>
    <ns0:row r="1295">
      <ns0:c r="A1295" t="inlineStr">
        <ns0:is>
          <ns0:t>case_1294</ns0:t>
        </ns0:is>
      </ns0:c>
      <ns0:c r="B1295" t="inlineStr">
        <ns0:is>
          <ns0:t>function_0295</ns0:t>
        </ns0:is>
      </ns0:c>
      <ns0:c r="C1295" t="inlineStr">
        <ns0:is>
          <ns0:t>run_013</ns0:t>
        </ns0:is>
      </ns0:c>
      <ns0:c r="D1295" t="inlineStr">
        <ns0:is>
          <ns0:t>rand</ns0:t>
        </ns0:is>
      </ns0:c>
      <ns0:c r="E1295" t="inlineStr">
        <ns0:is>
          <ns0:t>gemini-2.5-flash-nothinking</ns0:t>
        </ns0:is>
      </ns0:c>
      <ns0:c r="F1295" t="inlineStr">
        <ns0:is>
          <ns0:t>E0432,E0433,E0599</ns0:t>
        </ns0:is>
      </ns0:c>
      <ns0:c r="G1295" t="n">
        <ns0:v>0</ns0:v>
      </ns0:c>
      <ns0:c r="H1295" t="n">
        <ns0:v>3402</ns0:v>
      </ns0:c>
      <ns0:c r="I1295" t="n">
        <ns0:v>787</ns0:v>
      </ns0:c>
      <ns0:c r="J1295" t="n">
        <ns0:v>4189</ns0:v>
      </ns0:c>
      <ns0:c r="K1295" t="n">
        <ns0:v>3</ns0:v>
      </ns0:c>
      <ns0:c r="L1295" t="n">
        <ns0:v>1</ns0:v>
      </ns0:c>
      <ns0:c r="M1295" t="n">
        <ns0:v>53665</ns0:v>
      </ns0:c>
      <ns0:c r="N1295" t="n">
        <ns0:v>923</ns0:v>
      </ns0:c>
      <ns0:c r="O1295" t="n">
        <ns0:v>54588</ns0:v>
      </ns0:c>
      <ns0:c r="P1295" t="n">
        <ns0:v>5</ns0:v>
      </ns0:c>
      <ns0:c r="Q1295">
        <ns0:f>IF(AND(L1295=1,O1295*Calculations!$B$2&lt;=Calculations!$B$10*Calculations!$B$4),1,0)</ns0:f>
        <ns0:v>0</ns0:v>
      </ns0:c>
      <ns0:c r="R1295">
        <ns0:f>IF(AND(L1295=1,O1295*Calculations!$B$2&lt;=Calculations!$B$11*Calculations!$B$4),1,0)</ns0:f>
        <ns0:v>0</ns0:v>
      </ns0:c>
    </ns0:row>
    <ns0:row r="1296">
      <ns0:c r="A1296" t="inlineStr">
        <ns0:is>
          <ns0:t>case_1295</ns0:t>
        </ns0:is>
      </ns0:c>
      <ns0:c r="B1296" t="inlineStr">
        <ns0:is>
          <ns0:t>function_0295</ns0:t>
        </ns0:is>
      </ns0:c>
      <ns0:c r="C1296" t="inlineStr">
        <ns0:is>
          <ns0:t>run_013</ns0:t>
        </ns0:is>
      </ns0:c>
      <ns0:c r="D1296" t="inlineStr">
        <ns0:is>
          <ns0:t>rand</ns0:t>
        </ns0:is>
      </ns0:c>
      <ns0:c r="E1296" t="inlineStr">
        <ns0:is>
          <ns0:t>gemini-2.5-flash-nothinking</ns0:t>
        </ns0:is>
      </ns0:c>
      <ns0:c r="F1296" t="inlineStr">
        <ns0:is>
          <ns0:t>E0063,E0433,E0603</ns0:t>
        </ns0:is>
      </ns0:c>
      <ns0:c r="G1296" t="n">
        <ns0:v>1</ns0:v>
      </ns0:c>
      <ns0:c r="H1296" t="n">
        <ns0:v>1643</ns0:v>
      </ns0:c>
      <ns0:c r="I1296" t="n">
        <ns0:v>149</ns0:v>
      </ns0:c>
      <ns0:c r="J1296" t="n">
        <ns0:v>1792</ns0:v>
      </ns0:c>
      <ns0:c r="K1296" t="n">
        <ns0:v>1</ns0:v>
      </ns0:c>
      <ns0:c r="L1296" t="n">
        <ns0:v>1</ns0:v>
      </ns0:c>
      <ns0:c r="M1296" t="n">
        <ns0:v>93725</ns0:v>
      </ns0:c>
      <ns0:c r="N1296" t="n">
        <ns0:v>1274</ns0:v>
      </ns0:c>
      <ns0:c r="O1296" t="n">
        <ns0:v>94999</ns0:v>
      </ns0:c>
      <ns0:c r="P1296" t="n">
        <ns0:v>8</ns0:v>
      </ns0:c>
      <ns0:c r="Q1296">
        <ns0:f>IF(AND(L1296=1,O1296*Calculations!$B$2&lt;=Calculations!$B$10*Calculations!$B$4),1,0)</ns0:f>
        <ns0:v>0</ns0:v>
      </ns0:c>
      <ns0:c r="R1296">
        <ns0:f>IF(AND(L1296=1,O1296*Calculations!$B$2&lt;=Calculations!$B$11*Calculations!$B$4),1,0)</ns0:f>
        <ns0:v>0</ns0:v>
      </ns0:c>
    </ns0:row>
    <ns0:row r="1297">
      <ns0:c r="A1297" t="inlineStr">
        <ns0:is>
          <ns0:t>case_1296</ns0:t>
        </ns0:is>
      </ns0:c>
      <ns0:c r="B1297" t="inlineStr">
        <ns0:is>
          <ns0:t>function_0296</ns0:t>
        </ns0:is>
      </ns0:c>
      <ns0:c r="C1297" t="inlineStr">
        <ns0:is>
          <ns0:t>run_013</ns0:t>
        </ns0:is>
      </ns0:c>
      <ns0:c r="D1297" t="inlineStr">
        <ns0:is>
          <ns0:t>rand</ns0:t>
        </ns0:is>
      </ns0:c>
      <ns0:c r="E1297" t="inlineStr">
        <ns0:is>
          <ns0:t>gemini-2.5-flash-nothinking</ns0:t>
        </ns0:is>
      </ns0:c>
      <ns0:c r="F1297" t="inlineStr">
        <ns0:is>
          <ns0:t>E0433</ns0:t>
        </ns0:is>
      </ns0:c>
      <ns0:c r="G1297" t="n">
        <ns0:v>1</ns0:v>
      </ns0:c>
      <ns0:c r="H1297" t="n">
        <ns0:v>1579</ns0:v>
      </ns0:c>
      <ns0:c r="I1297" t="n">
        <ns0:v>87</ns0:v>
      </ns0:c>
      <ns0:c r="J1297" t="n">
        <ns0:v>1666</ns0:v>
      </ns0:c>
      <ns0:c r="K1297" t="n">
        <ns0:v>1</ns0:v>
      </ns0:c>
      <ns0:c r="L1297" t="n">
        <ns0:v>1</ns0:v>
      </ns0:c>
      <ns0:c r="M1297" t="n">
        <ns0:v>66055</ns0:v>
      </ns0:c>
      <ns0:c r="N1297" t="n">
        <ns0:v>648</ns0:v>
      </ns0:c>
      <ns0:c r="O1297" t="n">
        <ns0:v>66703</ns0:v>
      </ns0:c>
      <ns0:c r="P1297" t="n">
        <ns0:v>8</ns0:v>
      </ns0:c>
      <ns0:c r="Q1297">
        <ns0:f>IF(AND(L1297=1,O1297*Calculations!$B$2&lt;=Calculations!$B$10*Calculations!$B$4),1,0)</ns0:f>
        <ns0:v>0</ns0:v>
      </ns0:c>
      <ns0:c r="R1297">
        <ns0:f>IF(AND(L1297=1,O1297*Calculations!$B$2&lt;=Calculations!$B$11*Calculations!$B$4),1,0)</ns0:f>
        <ns0:v>0</ns0:v>
      </ns0:c>
    </ns0:row>
    <ns0:row r="1298">
      <ns0:c r="A1298" t="inlineStr">
        <ns0:is>
          <ns0:t>case_1297</ns0:t>
        </ns0:is>
      </ns0:c>
      <ns0:c r="B1298" t="inlineStr">
        <ns0:is>
          <ns0:t>function_0296</ns0:t>
        </ns0:is>
      </ns0:c>
      <ns0:c r="C1298" t="inlineStr">
        <ns0:is>
          <ns0:t>run_013</ns0:t>
        </ns0:is>
      </ns0:c>
      <ns0:c r="D1298" t="inlineStr">
        <ns0:is>
          <ns0:t>rand</ns0:t>
        </ns0:is>
      </ns0:c>
      <ns0:c r="E1298" t="inlineStr">
        <ns0:is>
          <ns0:t>gemini-2.5-flash-nothinking</ns0:t>
        </ns0:is>
      </ns0:c>
      <ns0:c r="F1298" t="inlineStr">
        <ns0:is>
          <ns0:t>E0282,E0283</ns0:t>
        </ns0:is>
      </ns0:c>
      <ns0:c r="G1298" t="n">
        <ns0:v>0</ns0:v>
      </ns0:c>
      <ns0:c r="H1298" t="n">
        <ns0:v>2098</ns0:v>
      </ns0:c>
      <ns0:c r="I1298" t="n">
        <ns0:v>183</ns0:v>
      </ns0:c>
      <ns0:c r="J1298" t="n">
        <ns0:v>2281</ns0:v>
      </ns0:c>
      <ns0:c r="K1298" t="n">
        <ns0:v>3</ns0:v>
      </ns0:c>
      <ns0:c r="L1298" t="n">
        <ns0:v>1</ns0:v>
      </ns0:c>
      <ns0:c r="M1298" t="n">
        <ns0:v>20960</ns0:v>
      </ns0:c>
      <ns0:c r="N1298" t="n">
        <ns0:v>521</ns0:v>
      </ns0:c>
      <ns0:c r="O1298" t="n">
        <ns0:v>21481</ns0:v>
      </ns0:c>
      <ns0:c r="P1298" t="n">
        <ns0:v>3</ns0:v>
      </ns0:c>
      <ns0:c r="Q1298">
        <ns0:f>IF(AND(L1298=1,O1298*Calculations!$B$2&lt;=Calculations!$B$10*Calculations!$B$4),1,0)</ns0:f>
        <ns0:v>1</ns0:v>
      </ns0:c>
      <ns0:c r="R1298">
        <ns0:f>IF(AND(L1298=1,O1298*Calculations!$B$2&lt;=Calculations!$B$11*Calculations!$B$4),1,0)</ns0:f>
        <ns0:v>1</ns0:v>
      </ns0:c>
    </ns0:row>
    <ns0:row r="1299">
      <ns0:c r="A1299" t="inlineStr">
        <ns0:is>
          <ns0:t>case_1298</ns0:t>
        </ns0:is>
      </ns0:c>
      <ns0:c r="B1299" t="inlineStr">
        <ns0:is>
          <ns0:t>function_0297</ns0:t>
        </ns0:is>
      </ns0:c>
      <ns0:c r="C1299" t="inlineStr">
        <ns0:is>
          <ns0:t>run_013</ns0:t>
        </ns0:is>
      </ns0:c>
      <ns0:c r="D1299" t="inlineStr">
        <ns0:is>
          <ns0:t>rand</ns0:t>
        </ns0:is>
      </ns0:c>
      <ns0:c r="E1299" t="inlineStr">
        <ns0:is>
          <ns0:t>gemini-2.5-flash-nothinking</ns0:t>
        </ns0:is>
      </ns0:c>
      <ns0:c r="F1299" t="inlineStr">
        <ns0:is>
          <ns0:t>E0433</ns0:t>
        </ns0:is>
      </ns0:c>
      <ns0:c r="G1299" t="n">
        <ns0:v>0</ns0:v>
      </ns0:c>
      <ns0:c r="H1299" t="n">
        <ns0:v>3582</ns0:v>
      </ns0:c>
      <ns0:c r="I1299" t="n">
        <ns0:v>210</ns0:v>
      </ns0:c>
      <ns0:c r="J1299" t="n">
        <ns0:v>3792</ns0:v>
      </ns0:c>
      <ns0:c r="K1299" t="n">
        <ns0:v>3</ns0:v>
      </ns0:c>
      <ns0:c r="L1299" t="n">
        <ns0:v>1</ns0:v>
      </ns0:c>
      <ns0:c r="M1299" t="n">
        <ns0:v>45856</ns0:v>
      </ns0:c>
      <ns0:c r="N1299" t="n">
        <ns0:v>512</ns0:v>
      </ns0:c>
      <ns0:c r="O1299" t="n">
        <ns0:v>46368</ns0:v>
      </ns0:c>
      <ns0:c r="P1299" t="n">
        <ns0:v>6</ns0:v>
      </ns0:c>
      <ns0:c r="Q1299">
        <ns0:f>IF(AND(L1299=1,O1299*Calculations!$B$2&lt;=Calculations!$B$10*Calculations!$B$4),1,0)</ns0:f>
        <ns0:v>0</ns0:v>
      </ns0:c>
      <ns0:c r="R1299">
        <ns0:f>IF(AND(L1299=1,O1299*Calculations!$B$2&lt;=Calculations!$B$11*Calculations!$B$4),1,0)</ns0:f>
        <ns0:v>1</ns0:v>
      </ns0:c>
    </ns0:row>
    <ns0:row r="1300">
      <ns0:c r="A1300" t="inlineStr">
        <ns0:is>
          <ns0:t>case_1299</ns0:t>
        </ns0:is>
      </ns0:c>
      <ns0:c r="B1300" t="inlineStr">
        <ns0:is>
          <ns0:t>function_0297</ns0:t>
        </ns0:is>
      </ns0:c>
      <ns0:c r="C1300" t="inlineStr">
        <ns0:is>
          <ns0:t>run_013</ns0:t>
        </ns0:is>
      </ns0:c>
      <ns0:c r="D1300" t="inlineStr">
        <ns0:is>
          <ns0:t>rand</ns0:t>
        </ns0:is>
      </ns0:c>
      <ns0:c r="E1300" t="inlineStr">
        <ns0:is>
          <ns0:t>gemini-2.5-flash-nothinking</ns0:t>
        </ns0:is>
      </ns0:c>
      <ns0:c r="F1300" t="inlineStr">
        <ns0:is>
          <ns0:t>E0282,E0283</ns0:t>
        </ns0:is>
      </ns0:c>
      <ns0:c r="G1300" t="n">
        <ns0:v>1</ns0:v>
      </ns0:c>
      <ns0:c r="H1300" t="n">
        <ns0:v>2085</ns0:v>
      </ns0:c>
      <ns0:c r="I1300" t="n">
        <ns0:v>192</ns0:v>
      </ns0:c>
      <ns0:c r="J1300" t="n">
        <ns0:v>2277</ns0:v>
      </ns0:c>
      <ns0:c r="K1300" t="n">
        <ns0:v>3</ns0:v>
      </ns0:c>
      <ns0:c r="L1300" t="n">
        <ns0:v>1</ns0:v>
      </ns0:c>
      <ns0:c r="M1300" t="n">
        <ns0:v>20938</ns0:v>
      </ns0:c>
      <ns0:c r="N1300" t="n">
        <ns0:v>350</ns0:v>
      </ns0:c>
      <ns0:c r="O1300" t="n">
        <ns0:v>21288</ns0:v>
      </ns0:c>
      <ns0:c r="P1300" t="n">
        <ns0:v>3</ns0:v>
      </ns0:c>
      <ns0:c r="Q1300">
        <ns0:f>IF(AND(L1300=1,O1300*Calculations!$B$2&lt;=Calculations!$B$10*Calculations!$B$4),1,0)</ns0:f>
        <ns0:v>1</ns0:v>
      </ns0:c>
      <ns0:c r="R1300">
        <ns0:f>IF(AND(L1300=1,O1300*Calculations!$B$2&lt;=Calculations!$B$11*Calculations!$B$4),1,0)</ns0:f>
        <ns0:v>1</ns0:v>
      </ns0:c>
    </ns0:row>
    <ns0:row r="1301">
      <ns0:c r="A1301" t="inlineStr">
        <ns0:is>
          <ns0:t>case_1300</ns0:t>
        </ns0:is>
      </ns0:c>
      <ns0:c r="B1301" t="inlineStr">
        <ns0:is>
          <ns0:t>function_0298</ns0:t>
        </ns0:is>
      </ns0:c>
      <ns0:c r="C1301" t="inlineStr">
        <ns0:is>
          <ns0:t>run_013</ns0:t>
        </ns0:is>
      </ns0:c>
      <ns0:c r="D1301" t="inlineStr">
        <ns0:is>
          <ns0:t>rand</ns0:t>
        </ns0:is>
      </ns0:c>
      <ns0:c r="E1301" t="inlineStr">
        <ns0:is>
          <ns0:t>gemini-2.5-flash-nothinking</ns0:t>
        </ns0:is>
      </ns0:c>
      <ns0:c r="F1301" t="inlineStr">
        <ns0:is>
          <ns0:t>E0433</ns0:t>
        </ns0:is>
      </ns0:c>
      <ns0:c r="G1301" t="n">
        <ns0:v>1</ns0:v>
      </ns0:c>
      <ns0:c r="H1301" t="n">
        <ns0:v>0</ns0:v>
      </ns0:c>
      <ns0:c r="I1301" t="n">
        <ns0:v>0</ns0:v>
      </ns0:c>
      <ns0:c r="J1301" t="n">
        <ns0:v>0</ns0:v>
      </ns0:c>
      <ns0:c r="K1301" t="n">
        <ns0:v>0</ns0:v>
      </ns0:c>
      <ns0:c r="L1301" t="n">
        <ns0:v>1</ns0:v>
      </ns0:c>
      <ns0:c r="M1301" t="n">
        <ns0:v>46488</ns0:v>
      </ns0:c>
      <ns0:c r="N1301" t="n">
        <ns0:v>486</ns0:v>
      </ns0:c>
      <ns0:c r="O1301" t="n">
        <ns0:v>46974</ns0:v>
      </ns0:c>
      <ns0:c r="P1301" t="n">
        <ns0:v>4</ns0:v>
      </ns0:c>
      <ns0:c r="Q1301">
        <ns0:f>IF(AND(L1301=1,O1301*Calculations!$B$2&lt;=Calculations!$B$10*Calculations!$B$4),1,0)</ns0:f>
        <ns0:v>0</ns0:v>
      </ns0:c>
      <ns0:c r="R1301">
        <ns0:f>IF(AND(L1301=1,O1301*Calculations!$B$2&lt;=Calculations!$B$11*Calculations!$B$4),1,0)</ns0:f>
        <ns0:v>0</ns0:v>
      </ns0:c>
    </ns0:row>
    <ns0:row r="1302">
      <ns0:c r="A1302" t="inlineStr">
        <ns0:is>
          <ns0:t>case_1301</ns0:t>
        </ns0:is>
      </ns0:c>
      <ns0:c r="B1302" t="inlineStr">
        <ns0:is>
          <ns0:t>function_0298</ns0:t>
        </ns0:is>
      </ns0:c>
      <ns0:c r="C1302" t="inlineStr">
        <ns0:is>
          <ns0:t>run_013</ns0:t>
        </ns0:is>
      </ns0:c>
      <ns0:c r="D1302" t="inlineStr">
        <ns0:is>
          <ns0:t>rand</ns0:t>
        </ns0:is>
      </ns0:c>
      <ns0:c r="E1302" t="inlineStr">
        <ns0:is>
          <ns0:t>gemini-2.5-flash-nothinking</ns0:t>
        </ns0:is>
      </ns0:c>
      <ns0:c r="F1302" t="inlineStr">
        <ns0:is>
          <ns0:t>E0433</ns0:t>
        </ns0:is>
      </ns0:c>
      <ns0:c r="G1302" t="n">
        <ns0:v>0</ns0:v>
      </ns0:c>
      <ns0:c r="H1302" t="n">
        <ns0:v>3813</ns0:v>
      </ns0:c>
      <ns0:c r="I1302" t="n">
        <ns0:v>195</ns0:v>
      </ns0:c>
      <ns0:c r="J1302" t="n">
        <ns0:v>4008</ns0:v>
      </ns0:c>
      <ns0:c r="K1302" t="n">
        <ns0:v>3</ns0:v>
      </ns0:c>
      <ns0:c r="L1302" t="n">
        <ns0:v>1</ns0:v>
      </ns0:c>
      <ns0:c r="M1302" t="n">
        <ns0:v>139962</ns0:v>
      </ns0:c>
      <ns0:c r="N1302" t="n">
        <ns0:v>1098</ns0:v>
      </ns0:c>
      <ns0:c r="O1302" t="n">
        <ns0:v>141060</ns0:v>
      </ns0:c>
      <ns0:c r="P1302" t="n">
        <ns0:v>16</ns0:v>
      </ns0:c>
      <ns0:c r="Q1302">
        <ns0:f>IF(AND(L1302=1,O1302*Calculations!$B$2&lt;=Calculations!$B$10*Calculations!$B$4),1,0)</ns0:f>
        <ns0:v>0</ns0:v>
      </ns0:c>
      <ns0:c r="R1302">
        <ns0:f>IF(AND(L1302=1,O1302*Calculations!$B$2&lt;=Calculations!$B$11*Calculations!$B$4),1,0)</ns0:f>
        <ns0:v>0</ns0:v>
      </ns0:c>
    </ns0:row>
    <ns0:row r="1303">
      <ns0:c r="A1303" t="inlineStr">
        <ns0:is>
          <ns0:t>case_1302</ns0:t>
        </ns0:is>
      </ns0:c>
      <ns0:c r="B1303" t="inlineStr">
        <ns0:is>
          <ns0:t>function_0299</ns0:t>
        </ns0:is>
      </ns0:c>
      <ns0:c r="C1303" t="inlineStr">
        <ns0:is>
          <ns0:t>run_013</ns0:t>
        </ns0:is>
      </ns0:c>
      <ns0:c r="D1303" t="inlineStr">
        <ns0:is>
          <ns0:t>rand</ns0:t>
        </ns0:is>
      </ns0:c>
      <ns0:c r="E1303" t="inlineStr">
        <ns0:is>
          <ns0:t>gemini-2.5-flash-nothinking</ns0:t>
        </ns0:is>
      </ns0:c>
      <ns0:c r="F1303" t="inlineStr">
        <ns0:is>
          <ns0:t>E0433</ns0:t>
        </ns0:is>
      </ns0:c>
      <ns0:c r="G1303" t="n">
        <ns0:v>1</ns0:v>
      </ns0:c>
      <ns0:c r="H1303" t="n">
        <ns0:v>0</ns0:v>
      </ns0:c>
      <ns0:c r="I1303" t="n">
        <ns0:v>0</ns0:v>
      </ns0:c>
      <ns0:c r="J1303" t="n">
        <ns0:v>0</ns0:v>
      </ns0:c>
      <ns0:c r="K1303" t="n">
        <ns0:v>0</ns0:v>
      </ns0:c>
      <ns0:c r="L1303" t="n">
        <ns0:v>1</ns0:v>
      </ns0:c>
      <ns0:c r="M1303" t="n">
        <ns0:v>40348</ns0:v>
      </ns0:c>
      <ns0:c r="N1303" t="n">
        <ns0:v>432</ns0:v>
      </ns0:c>
      <ns0:c r="O1303" t="n">
        <ns0:v>40780</ns0:v>
      </ns0:c>
      <ns0:c r="P1303" t="n">
        <ns0:v>5</ns0:v>
      </ns0:c>
      <ns0:c r="Q1303">
        <ns0:f>IF(AND(L1303=1,O1303*Calculations!$B$2&lt;=Calculations!$B$10*Calculations!$B$4),1,0)</ns0:f>
        <ns0:v>0</ns0:v>
      </ns0:c>
      <ns0:c r="R1303">
        <ns0:f>IF(AND(L1303=1,O1303*Calculations!$B$2&lt;=Calculations!$B$11*Calculations!$B$4),1,0)</ns0:f>
        <ns0:v>1</ns0:v>
      </ns0:c>
    </ns0:row>
    <ns0:row r="1304">
      <ns0:c r="A1304" t="inlineStr">
        <ns0:is>
          <ns0:t>case_1303</ns0:t>
        </ns0:is>
      </ns0:c>
      <ns0:c r="B1304" t="inlineStr">
        <ns0:is>
          <ns0:t>function_0299</ns0:t>
        </ns0:is>
      </ns0:c>
      <ns0:c r="C1304" t="inlineStr">
        <ns0:is>
          <ns0:t>run_013</ns0:t>
        </ns0:is>
      </ns0:c>
      <ns0:c r="D1304" t="inlineStr">
        <ns0:is>
          <ns0:t>rand</ns0:t>
        </ns0:is>
      </ns0:c>
      <ns0:c r="E1304" t="inlineStr">
        <ns0:is>
          <ns0:t>gemini-2.5-flash-nothinking</ns0:t>
        </ns0:is>
      </ns0:c>
      <ns0:c r="F1304" t="inlineStr">
        <ns0:is>
          <ns0:t>E0282,E0283</ns0:t>
        </ns0:is>
      </ns0:c>
      <ns0:c r="G1304" t="n">
        <ns0:v>0</ns0:v>
      </ns0:c>
      <ns0:c r="H1304" t="n">
        <ns0:v>2082</ns0:v>
      </ns0:c>
      <ns0:c r="I1304" t="n">
        <ns0:v>210</ns0:v>
      </ns0:c>
      <ns0:c r="J1304" t="n">
        <ns0:v>2292</ns0:v>
      </ns0:c>
      <ns0:c r="K1304" t="n">
        <ns0:v>3</ns0:v>
      </ns0:c>
      <ns0:c r="L1304" t="n">
        <ns0:v>1</ns0:v>
      </ns0:c>
      <ns0:c r="M1304" t="n">
        <ns0:v>35678</ns0:v>
      </ns0:c>
      <ns0:c r="N1304" t="n">
        <ns0:v>351</ns0:v>
      </ns0:c>
      <ns0:c r="O1304" t="n">
        <ns0:v>36029</ns0:v>
      </ns0:c>
      <ns0:c r="P1304" t="n">
        <ns0:v>5</ns0:v>
      </ns0:c>
      <ns0:c r="Q1304">
        <ns0:f>IF(AND(L1304=1,O1304*Calculations!$B$2&lt;=Calculations!$B$10*Calculations!$B$4),1,0)</ns0:f>
        <ns0:v>0</ns0:v>
      </ns0:c>
      <ns0:c r="R1304">
        <ns0:f>IF(AND(L1304=1,O1304*Calculations!$B$2&lt;=Calculations!$B$11*Calculations!$B$4),1,0)</ns0:f>
        <ns0:v>1</ns0:v>
      </ns0:c>
    </ns0:row>
    <ns0:row r="1305">
      <ns0:c r="A1305" t="inlineStr">
        <ns0:is>
          <ns0:t>case_1304</ns0:t>
        </ns0:is>
      </ns0:c>
      <ns0:c r="B1305" t="inlineStr">
        <ns0:is>
          <ns0:t>function_0300</ns0:t>
        </ns0:is>
      </ns0:c>
      <ns0:c r="C1305" t="inlineStr">
        <ns0:is>
          <ns0:t>run_013</ns0:t>
        </ns0:is>
      </ns0:c>
      <ns0:c r="D1305" t="inlineStr">
        <ns0:is>
          <ns0:t>rand</ns0:t>
        </ns0:is>
      </ns0:c>
      <ns0:c r="E1305" t="inlineStr">
        <ns0:is>
          <ns0:t>gemini-2.5-flash-nothinking</ns0:t>
        </ns0:is>
      </ns0:c>
      <ns0:c r="F1305" t="inlineStr">
        <ns0:is>
          <ns0:t>E0433</ns0:t>
        </ns0:is>
      </ns0:c>
      <ns0:c r="G1305" t="n">
        <ns0:v>1</ns0:v>
      </ns0:c>
      <ns0:c r="H1305" t="n">
        <ns0:v>0</ns0:v>
      </ns0:c>
      <ns0:c r="I1305" t="n">
        <ns0:v>0</ns0:v>
      </ns0:c>
      <ns0:c r="J1305" t="n">
        <ns0:v>0</ns0:v>
      </ns0:c>
      <ns0:c r="K1305" t="n">
        <ns0:v>0</ns0:v>
      </ns0:c>
      <ns0:c r="L1305" t="n">
        <ns0:v>0</ns0:v>
      </ns0:c>
      <ns0:c r="M1305" t="n">
        <ns0:v>270136</ns0:v>
      </ns0:c>
      <ns0:c r="N1305" t="n">
        <ns0:v>1963</ns0:v>
      </ns0:c>
      <ns0:c r="O1305" t="n">
        <ns0:v>272099</ns0:v>
      </ns0:c>
      <ns0:c r="P1305" t="n">
        <ns0:v>20</ns0:v>
      </ns0:c>
      <ns0:c r="Q1305">
        <ns0:f>IF(AND(L1305=1,O1305*Calculations!$B$2&lt;=Calculations!$B$10*Calculations!$B$4),1,0)</ns0:f>
        <ns0:v>0</ns0:v>
      </ns0:c>
      <ns0:c r="R1305">
        <ns0:f>IF(AND(L1305=1,O1305*Calculations!$B$2&lt;=Calculations!$B$11*Calculations!$B$4),1,0)</ns0:f>
        <ns0:v>0</ns0:v>
      </ns0:c>
    </ns0:row>
    <ns0:row r="1306">
      <ns0:c r="A1306" t="inlineStr">
        <ns0:is>
          <ns0:t>case_1305</ns0:t>
        </ns0:is>
      </ns0:c>
      <ns0:c r="B1306" t="inlineStr">
        <ns0:is>
          <ns0:t>function_0301</ns0:t>
        </ns0:is>
      </ns0:c>
      <ns0:c r="C1306" t="inlineStr">
        <ns0:is>
          <ns0:t>run_013</ns0:t>
        </ns0:is>
      </ns0:c>
      <ns0:c r="D1306" t="inlineStr">
        <ns0:is>
          <ns0:t>rand</ns0:t>
        </ns0:is>
      </ns0:c>
      <ns0:c r="E1306" t="inlineStr">
        <ns0:is>
          <ns0:t>gemini-2.5-flash-nothinking</ns0:t>
        </ns0:is>
      </ns0:c>
      <ns0:c r="F1306" t="inlineStr">
        <ns0:is>
          <ns0:t>E0433</ns0:t>
        </ns0:is>
      </ns0:c>
      <ns0:c r="G1306" t="n">
        <ns0:v>1</ns0:v>
      </ns0:c>
      <ns0:c r="H1306" t="n">
        <ns0:v>0</ns0:v>
      </ns0:c>
      <ns0:c r="I1306" t="n">
        <ns0:v>0</ns0:v>
      </ns0:c>
      <ns0:c r="J1306" t="n">
        <ns0:v>0</ns0:v>
      </ns0:c>
      <ns0:c r="K1306" t="n">
        <ns0:v>0</ns0:v>
      </ns0:c>
      <ns0:c r="L1306" t="n">
        <ns0:v>1</ns0:v>
      </ns0:c>
      <ns0:c r="M1306" t="n">
        <ns0:v>21513</ns0:v>
      </ns0:c>
      <ns0:c r="N1306" t="n">
        <ns0:v>417</ns0:v>
      </ns0:c>
      <ns0:c r="O1306" t="n">
        <ns0:v>21930</ns0:v>
      </ns0:c>
      <ns0:c r="P1306" t="n">
        <ns0:v>3</ns0:v>
      </ns0:c>
      <ns0:c r="Q1306">
        <ns0:f>IF(AND(L1306=1,O1306*Calculations!$B$2&lt;=Calculations!$B$10*Calculations!$B$4),1,0)</ns0:f>
        <ns0:v>1</ns0:v>
      </ns0:c>
      <ns0:c r="R1306">
        <ns0:f>IF(AND(L1306=1,O1306*Calculations!$B$2&lt;=Calculations!$B$11*Calculations!$B$4),1,0)</ns0:f>
        <ns0:v>1</ns0:v>
      </ns0:c>
    </ns0:row>
    <ns0:row r="1307">
      <ns0:c r="A1307" t="inlineStr">
        <ns0:is>
          <ns0:t>case_1306</ns0:t>
        </ns0:is>
      </ns0:c>
      <ns0:c r="B1307" t="inlineStr">
        <ns0:is>
          <ns0:t>function_0302</ns0:t>
        </ns0:is>
      </ns0:c>
      <ns0:c r="C1307" t="inlineStr">
        <ns0:is>
          <ns0:t>run_013</ns0:t>
        </ns0:is>
      </ns0:c>
      <ns0:c r="D1307" t="inlineStr">
        <ns0:is>
          <ns0:t>rand</ns0:t>
        </ns0:is>
      </ns0:c>
      <ns0:c r="E1307" t="inlineStr">
        <ns0:is>
          <ns0:t>gemini-2.5-flash-nothinking</ns0:t>
        </ns0:is>
      </ns0:c>
      <ns0:c r="F1307" t="inlineStr">
        <ns0:is>
          <ns0:t>E0308</ns0:t>
        </ns0:is>
      </ns0:c>
      <ns0:c r="G1307" t="n">
        <ns0:v>1</ns0:v>
      </ns0:c>
      <ns0:c r="H1307" t="n">
        <ns0:v>750</ns0:v>
      </ns0:c>
      <ns0:c r="I1307" t="n">
        <ns0:v>117</ns0:v>
      </ns0:c>
      <ns0:c r="J1307" t="n">
        <ns0:v>867</ns0:v>
      </ns0:c>
      <ns0:c r="K1307" t="n">
        <ns0:v>1</ns0:v>
      </ns0:c>
      <ns0:c r="L1307" t="n">
        <ns0:v>1</ns0:v>
      </ns0:c>
      <ns0:c r="M1307" t="n">
        <ns0:v>29887</ns0:v>
      </ns0:c>
      <ns0:c r="N1307" t="n">
        <ns0:v>340</ns0:v>
      </ns0:c>
      <ns0:c r="O1307" t="n">
        <ns0:v>30227</ns0:v>
      </ns0:c>
      <ns0:c r="P1307" t="n">
        <ns0:v>4</ns0:v>
      </ns0:c>
      <ns0:c r="Q1307">
        <ns0:f>IF(AND(L1307=1,O1307*Calculations!$B$2&lt;=Calculations!$B$10*Calculations!$B$4),1,0)</ns0:f>
        <ns0:v>0</ns0:v>
      </ns0:c>
      <ns0:c r="R1307">
        <ns0:f>IF(AND(L1307=1,O1307*Calculations!$B$2&lt;=Calculations!$B$11*Calculations!$B$4),1,0)</ns0:f>
        <ns0:v>1</ns0:v>
      </ns0:c>
    </ns0:row>
    <ns0:row r="1308">
      <ns0:c r="A1308" t="inlineStr">
        <ns0:is>
          <ns0:t>case_1307</ns0:t>
        </ns0:is>
      </ns0:c>
      <ns0:c r="B1308" t="inlineStr">
        <ns0:is>
          <ns0:t>function_0302</ns0:t>
        </ns0:is>
      </ns0:c>
      <ns0:c r="C1308" t="inlineStr">
        <ns0:is>
          <ns0:t>run_013</ns0:t>
        </ns0:is>
      </ns0:c>
      <ns0:c r="D1308" t="inlineStr">
        <ns0:is>
          <ns0:t>rand</ns0:t>
        </ns0:is>
      </ns0:c>
      <ns0:c r="E1308" t="inlineStr">
        <ns0:is>
          <ns0:t>gemini-2.5-flash-nothinking</ns0:t>
        </ns0:is>
      </ns0:c>
      <ns0:c r="F1308" t="inlineStr">
        <ns0:is>
          <ns0:t>E0308</ns0:t>
        </ns0:is>
      </ns0:c>
      <ns0:c r="G1308" t="n">
        <ns0:v>1</ns0:v>
      </ns0:c>
      <ns0:c r="H1308" t="n">
        <ns0:v>749</ns0:v>
      </ns0:c>
      <ns0:c r="I1308" t="n">
        <ns0:v>123</ns0:v>
      </ns0:c>
      <ns0:c r="J1308" t="n">
        <ns0:v>872</ns0:v>
      </ns0:c>
      <ns0:c r="K1308" t="n">
        <ns0:v>1</ns0:v>
      </ns0:c>
      <ns0:c r="L1308" t="n">
        <ns0:v>1</ns0:v>
      </ns0:c>
      <ns0:c r="M1308" t="n">
        <ns0:v>41259</ns0:v>
      </ns0:c>
      <ns0:c r="N1308" t="n">
        <ns0:v>340</ns0:v>
      </ns0:c>
      <ns0:c r="O1308" t="n">
        <ns0:v>41599</ns0:v>
      </ns0:c>
      <ns0:c r="P1308" t="n">
        <ns0:v>4</ns0:v>
      </ns0:c>
      <ns0:c r="Q1308">
        <ns0:f>IF(AND(L1308=1,O1308*Calculations!$B$2&lt;=Calculations!$B$10*Calculations!$B$4),1,0)</ns0:f>
        <ns0:v>0</ns0:v>
      </ns0:c>
      <ns0:c r="R1308">
        <ns0:f>IF(AND(L1308=1,O1308*Calculations!$B$2&lt;=Calculations!$B$11*Calculations!$B$4),1,0)</ns0:f>
        <ns0:v>1</ns0:v>
      </ns0:c>
    </ns0:row>
    <ns0:row r="1309">
      <ns0:c r="A1309" t="inlineStr">
        <ns0:is>
          <ns0:t>case_1308</ns0:t>
        </ns0:is>
      </ns0:c>
      <ns0:c r="B1309" t="inlineStr">
        <ns0:is>
          <ns0:t>function_0303</ns0:t>
        </ns0:is>
      </ns0:c>
      <ns0:c r="C1309" t="inlineStr">
        <ns0:is>
          <ns0:t>run_013</ns0:t>
        </ns0:is>
      </ns0:c>
      <ns0:c r="D1309" t="inlineStr">
        <ns0:is>
          <ns0:t>rand</ns0:t>
        </ns0:is>
      </ns0:c>
      <ns0:c r="E1309" t="inlineStr">
        <ns0:is>
          <ns0:t>gemini-2.5-flash-nothinking</ns0:t>
        </ns0:is>
      </ns0:c>
      <ns0:c r="F1309" t="inlineStr">
        <ns0:is>
          <ns0:t>E0433</ns0:t>
        </ns0:is>
      </ns0:c>
      <ns0:c r="G1309" t="n">
        <ns0:v>1</ns0:v>
      </ns0:c>
      <ns0:c r="H1309" t="n">
        <ns0:v>0</ns0:v>
      </ns0:c>
      <ns0:c r="I1309" t="n">
        <ns0:v>0</ns0:v>
      </ns0:c>
      <ns0:c r="J1309" t="n">
        <ns0:v>0</ns0:v>
      </ns0:c>
      <ns0:c r="K1309" t="n">
        <ns0:v>0</ns0:v>
      </ns0:c>
      <ns0:c r="L1309" t="n">
        <ns0:v>1</ns0:v>
      </ns0:c>
      <ns0:c r="M1309" t="n">
        <ns0:v>143108</ns0:v>
      </ns0:c>
      <ns0:c r="N1309" t="n">
        <ns0:v>867</ns0:v>
      </ns0:c>
      <ns0:c r="O1309" t="n">
        <ns0:v>143975</ns0:v>
      </ns0:c>
      <ns0:c r="P1309" t="n">
        <ns0:v>5</ns0:v>
      </ns0:c>
      <ns0:c r="Q1309">
        <ns0:f>IF(AND(L1309=1,O1309*Calculations!$B$2&lt;=Calculations!$B$10*Calculations!$B$4),1,0)</ns0:f>
        <ns0:v>0</ns0:v>
      </ns0:c>
      <ns0:c r="R1309">
        <ns0:f>IF(AND(L1309=1,O1309*Calculations!$B$2&lt;=Calculations!$B$11*Calculations!$B$4),1,0)</ns0:f>
        <ns0:v>0</ns0:v>
      </ns0:c>
    </ns0:row>
    <ns0:row r="1310">
      <ns0:c r="A1310" t="inlineStr">
        <ns0:is>
          <ns0:t>case_1309</ns0:t>
        </ns0:is>
      </ns0:c>
      <ns0:c r="B1310" t="inlineStr">
        <ns0:is>
          <ns0:t>function_0303</ns0:t>
        </ns0:is>
      </ns0:c>
      <ns0:c r="C1310" t="inlineStr">
        <ns0:is>
          <ns0:t>run_013</ns0:t>
        </ns0:is>
      </ns0:c>
      <ns0:c r="D1310" t="inlineStr">
        <ns0:is>
          <ns0:t>rand</ns0:t>
        </ns0:is>
      </ns0:c>
      <ns0:c r="E1310" t="inlineStr">
        <ns0:is>
          <ns0:t>gemini-2.5-flash-nothinking</ns0:t>
        </ns0:is>
      </ns0:c>
      <ns0:c r="F1310" t="inlineStr">
        <ns0:is>
          <ns0:t>E0308</ns0:t>
        </ns0:is>
      </ns0:c>
      <ns0:c r="G1310" t="n">
        <ns0:v>1</ns0:v>
      </ns0:c>
      <ns0:c r="H1310" t="n">
        <ns0:v>1887</ns0:v>
      </ns0:c>
      <ns0:c r="I1310" t="n">
        <ns0:v>89</ns0:v>
      </ns0:c>
      <ns0:c r="J1310" t="n">
        <ns0:v>1976</ns0:v>
      </ns0:c>
      <ns0:c r="K1310" t="n">
        <ns0:v>1</ns0:v>
      </ns0:c>
      <ns0:c r="L1310" t="n">
        <ns0:v>1</ns0:v>
      </ns0:c>
      <ns0:c r="M1310" t="n">
        <ns0:v>107416</ns0:v>
      </ns0:c>
      <ns0:c r="N1310" t="n">
        <ns0:v>409</ns0:v>
      </ns0:c>
      <ns0:c r="O1310" t="n">
        <ns0:v>107825</ns0:v>
      </ns0:c>
      <ns0:c r="P1310" t="n">
        <ns0:v>4</ns0:v>
      </ns0:c>
      <ns0:c r="Q1310">
        <ns0:f>IF(AND(L1310=1,O1310*Calculations!$B$2&lt;=Calculations!$B$10*Calculations!$B$4),1,0)</ns0:f>
        <ns0:v>0</ns0:v>
      </ns0:c>
      <ns0:c r="R1310">
        <ns0:f>IF(AND(L1310=1,O1310*Calculations!$B$2&lt;=Calculations!$B$11*Calculations!$B$4),1,0)</ns0:f>
        <ns0:v>0</ns0:v>
      </ns0:c>
    </ns0:row>
    <ns0:row r="1311">
      <ns0:c r="A1311" t="inlineStr">
        <ns0:is>
          <ns0:t>case_1310</ns0:t>
        </ns0:is>
      </ns0:c>
      <ns0:c r="B1311" t="inlineStr">
        <ns0:is>
          <ns0:t>function_0304</ns0:t>
        </ns0:is>
      </ns0:c>
      <ns0:c r="C1311" t="inlineStr">
        <ns0:is>
          <ns0:t>run_013</ns0:t>
        </ns0:is>
      </ns0:c>
      <ns0:c r="D1311" t="inlineStr">
        <ns0:is>
          <ns0:t>rand</ns0:t>
        </ns0:is>
      </ns0:c>
      <ns0:c r="E1311" t="inlineStr">
        <ns0:is>
          <ns0:t>gemini-2.5-flash-nothinking</ns0:t>
        </ns0:is>
      </ns0:c>
      <ns0:c r="F1311" t="inlineStr">
        <ns0:is>
          <ns0:t>E0433</ns0:t>
        </ns0:is>
      </ns0:c>
      <ns0:c r="G1311" t="n">
        <ns0:v>1</ns0:v>
      </ns0:c>
      <ns0:c r="H1311" t="n">
        <ns0:v>0</ns0:v>
      </ns0:c>
      <ns0:c r="I1311" t="n">
        <ns0:v>0</ns0:v>
      </ns0:c>
      <ns0:c r="J1311" t="n">
        <ns0:v>0</ns0:v>
      </ns0:c>
      <ns0:c r="K1311" t="n">
        <ns0:v>0</ns0:v>
      </ns0:c>
      <ns0:c r="L1311" t="n">
        <ns0:v>1</ns0:v>
      </ns0:c>
      <ns0:c r="M1311" t="n">
        <ns0:v>21361</ns0:v>
      </ns0:c>
      <ns0:c r="N1311" t="n">
        <ns0:v>300</ns0:v>
      </ns0:c>
      <ns0:c r="O1311" t="n">
        <ns0:v>21661</ns0:v>
      </ns0:c>
      <ns0:c r="P1311" t="n">
        <ns0:v>3</ns0:v>
      </ns0:c>
      <ns0:c r="Q1311">
        <ns0:f>IF(AND(L1311=1,O1311*Calculations!$B$2&lt;=Calculations!$B$10*Calculations!$B$4),1,0)</ns0:f>
        <ns0:v>1</ns0:v>
      </ns0:c>
      <ns0:c r="R1311">
        <ns0:f>IF(AND(L1311=1,O1311*Calculations!$B$2&lt;=Calculations!$B$11*Calculations!$B$4),1,0)</ns0:f>
        <ns0:v>1</ns0:v>
      </ns0:c>
    </ns0:row>
    <ns0:row r="1312">
      <ns0:c r="A1312" t="inlineStr">
        <ns0:is>
          <ns0:t>case_1311</ns0:t>
        </ns0:is>
      </ns0:c>
      <ns0:c r="B1312" t="inlineStr">
        <ns0:is>
          <ns0:t>function_0305</ns0:t>
        </ns0:is>
      </ns0:c>
      <ns0:c r="C1312" t="inlineStr">
        <ns0:is>
          <ns0:t>run_013</ns0:t>
        </ns0:is>
      </ns0:c>
      <ns0:c r="D1312" t="inlineStr">
        <ns0:is>
          <ns0:t>rand</ns0:t>
        </ns0:is>
      </ns0:c>
      <ns0:c r="E1312" t="inlineStr">
        <ns0:is>
          <ns0:t>gemini-2.5-flash-nothinking</ns0:t>
        </ns0:is>
      </ns0:c>
      <ns0:c r="F1312" t="inlineStr">
        <ns0:is>
          <ns0:t>E0433</ns0:t>
        </ns0:is>
      </ns0:c>
      <ns0:c r="G1312" t="n">
        <ns0:v>1</ns0:v>
      </ns0:c>
      <ns0:c r="H1312" t="n">
        <ns0:v>0</ns0:v>
      </ns0:c>
      <ns0:c r="I1312" t="n">
        <ns0:v>0</ns0:v>
      </ns0:c>
      <ns0:c r="J1312" t="n">
        <ns0:v>0</ns0:v>
      </ns0:c>
      <ns0:c r="K1312" t="n">
        <ns0:v>0</ns0:v>
      </ns0:c>
      <ns0:c r="L1312" t="n">
        <ns0:v>1</ns0:v>
      </ns0:c>
      <ns0:c r="M1312" t="n">
        <ns0:v>21428</ns0:v>
      </ns0:c>
      <ns0:c r="N1312" t="n">
        <ns0:v>375</ns0:v>
      </ns0:c>
      <ns0:c r="O1312" t="n">
        <ns0:v>21803</ns0:v>
      </ns0:c>
      <ns0:c r="P1312" t="n">
        <ns0:v>3</ns0:v>
      </ns0:c>
      <ns0:c r="Q1312">
        <ns0:f>IF(AND(L1312=1,O1312*Calculations!$B$2&lt;=Calculations!$B$10*Calculations!$B$4),1,0)</ns0:f>
        <ns0:v>1</ns0:v>
      </ns0:c>
      <ns0:c r="R1312">
        <ns0:f>IF(AND(L1312=1,O1312*Calculations!$B$2&lt;=Calculations!$B$11*Calculations!$B$4),1,0)</ns0:f>
        <ns0:v>1</ns0:v>
      </ns0:c>
    </ns0:row>
    <ns0:row r="1313">
      <ns0:c r="A1313" t="inlineStr">
        <ns0:is>
          <ns0:t>case_1312</ns0:t>
        </ns0:is>
      </ns0:c>
      <ns0:c r="B1313" t="inlineStr">
        <ns0:is>
          <ns0:t>function_0306</ns0:t>
        </ns0:is>
      </ns0:c>
      <ns0:c r="C1313" t="inlineStr">
        <ns0:is>
          <ns0:t>run_013</ns0:t>
        </ns0:is>
      </ns0:c>
      <ns0:c r="D1313" t="inlineStr">
        <ns0:is>
          <ns0:t>rand</ns0:t>
        </ns0:is>
      </ns0:c>
      <ns0:c r="E1313" t="inlineStr">
        <ns0:is>
          <ns0:t>gemini-2.5-flash-nothinking</ns0:t>
        </ns0:is>
      </ns0:c>
      <ns0:c r="F1313" t="inlineStr">
        <ns0:is>
          <ns0:t>E0433,E0603</ns0:t>
        </ns0:is>
      </ns0:c>
      <ns0:c r="G1313" t="n">
        <ns0:v>1</ns0:v>
      </ns0:c>
      <ns0:c r="H1313" t="n">
        <ns0:v>1241</ns0:v>
      </ns0:c>
      <ns0:c r="I1313" t="n">
        <ns0:v>90</ns0:v>
      </ns0:c>
      <ns0:c r="J1313" t="n">
        <ns0:v>1331</ns0:v>
      </ns0:c>
      <ns0:c r="K1313" t="n">
        <ns0:v>1</ns0:v>
      </ns0:c>
      <ns0:c r="L1313" t="n">
        <ns0:v>1</ns0:v>
      </ns0:c>
      <ns0:c r="M1313" t="n">
        <ns0:v>44914</ns0:v>
      </ns0:c>
      <ns0:c r="N1313" t="n">
        <ns0:v>555</ns0:v>
      </ns0:c>
      <ns0:c r="O1313" t="n">
        <ns0:v>45469</ns0:v>
      </ns0:c>
      <ns0:c r="P1313" t="n">
        <ns0:v>6</ns0:v>
      </ns0:c>
      <ns0:c r="Q1313">
        <ns0:f>IF(AND(L1313=1,O1313*Calculations!$B$2&lt;=Calculations!$B$10*Calculations!$B$4),1,0)</ns0:f>
        <ns0:v>0</ns0:v>
      </ns0:c>
      <ns0:c r="R1313">
        <ns0:f>IF(AND(L1313=1,O1313*Calculations!$B$2&lt;=Calculations!$B$11*Calculations!$B$4),1,0)</ns0:f>
        <ns0:v>1</ns0:v>
      </ns0:c>
    </ns0:row>
    <ns0:row r="1314">
      <ns0:c r="A1314" t="inlineStr">
        <ns0:is>
          <ns0:t>case_1313</ns0:t>
        </ns0:is>
      </ns0:c>
      <ns0:c r="B1314" t="inlineStr">
        <ns0:is>
          <ns0:t>function_0306</ns0:t>
        </ns0:is>
      </ns0:c>
      <ns0:c r="C1314" t="inlineStr">
        <ns0:is>
          <ns0:t>run_013</ns0:t>
        </ns0:is>
      </ns0:c>
      <ns0:c r="D1314" t="inlineStr">
        <ns0:is>
          <ns0:t>rand</ns0:t>
        </ns0:is>
      </ns0:c>
      <ns0:c r="E1314" t="inlineStr">
        <ns0:is>
          <ns0:t>gemini-2.5-flash-nothinking</ns0:t>
        </ns0:is>
      </ns0:c>
      <ns0:c r="F1314" t="inlineStr">
        <ns0:is>
          <ns0:t>E0308</ns0:t>
        </ns0:is>
      </ns0:c>
      <ns0:c r="G1314" t="n">
        <ns0:v>1</ns0:v>
      </ns0:c>
      <ns0:c r="H1314" t="n">
        <ns0:v>1194</ns0:v>
      </ns0:c>
      <ns0:c r="I1314" t="n">
        <ns0:v>82</ns0:v>
      </ns0:c>
      <ns0:c r="J1314" t="n">
        <ns0:v>1276</ns0:v>
      </ns0:c>
      <ns0:c r="K1314" t="n">
        <ns0:v>1</ns0:v>
      </ns0:c>
      <ns0:c r="L1314" t="n">
        <ns0:v>1</ns0:v>
      </ns0:c>
      <ns0:c r="M1314" t="n">
        <ns0:v>20603</ns0:v>
      </ns0:c>
      <ns0:c r="N1314" t="n">
        <ns0:v>296</ns0:v>
      </ns0:c>
      <ns0:c r="O1314" t="n">
        <ns0:v>20899</ns0:v>
      </ns0:c>
      <ns0:c r="P1314" t="n">
        <ns0:v>3</ns0:v>
      </ns0:c>
      <ns0:c r="Q1314">
        <ns0:f>IF(AND(L1314=1,O1314*Calculations!$B$2&lt;=Calculations!$B$10*Calculations!$B$4),1,0)</ns0:f>
        <ns0:v>1</ns0:v>
      </ns0:c>
      <ns0:c r="R1314">
        <ns0:f>IF(AND(L1314=1,O1314*Calculations!$B$2&lt;=Calculations!$B$11*Calculations!$B$4),1,0)</ns0:f>
        <ns0:v>1</ns0:v>
      </ns0:c>
    </ns0:row>
    <ns0:row r="1315">
      <ns0:c r="A1315" t="inlineStr">
        <ns0:is>
          <ns0:t>case_1314</ns0:t>
        </ns0:is>
      </ns0:c>
      <ns0:c r="B1315" t="inlineStr">
        <ns0:is>
          <ns0:t>function_0307</ns0:t>
        </ns0:is>
      </ns0:c>
      <ns0:c r="C1315" t="inlineStr">
        <ns0:is>
          <ns0:t>run_013</ns0:t>
        </ns0:is>
      </ns0:c>
      <ns0:c r="D1315" t="inlineStr">
        <ns0:is>
          <ns0:t>rand</ns0:t>
        </ns0:is>
      </ns0:c>
      <ns0:c r="E1315" t="inlineStr">
        <ns0:is>
          <ns0:t>gemini-2.5-flash-nothinking</ns0:t>
        </ns0:is>
      </ns0:c>
      <ns0:c r="F1315" t="inlineStr">
        <ns0:is>
          <ns0:t>E0433</ns0:t>
        </ns0:is>
      </ns0:c>
      <ns0:c r="G1315" t="n">
        <ns0:v>1</ns0:v>
      </ns0:c>
      <ns0:c r="H1315" t="n">
        <ns0:v>0</ns0:v>
      </ns0:c>
      <ns0:c r="I1315" t="n">
        <ns0:v>0</ns0:v>
      </ns0:c>
      <ns0:c r="J1315" t="n">
        <ns0:v>0</ns0:v>
      </ns0:c>
      <ns0:c r="K1315" t="n">
        <ns0:v>0</ns0:v>
      </ns0:c>
      <ns0:c r="L1315" t="n">
        <ns0:v>1</ns0:v>
      </ns0:c>
      <ns0:c r="M1315" t="n">
        <ns0:v>34839</ns0:v>
      </ns0:c>
      <ns0:c r="N1315" t="n">
        <ns0:v>497</ns0:v>
      </ns0:c>
      <ns0:c r="O1315" t="n">
        <ns0:v>35336</ns0:v>
      </ns0:c>
      <ns0:c r="P1315" t="n">
        <ns0:v>4</ns0:v>
      </ns0:c>
      <ns0:c r="Q1315">
        <ns0:f>IF(AND(L1315=1,O1315*Calculations!$B$2&lt;=Calculations!$B$10*Calculations!$B$4),1,0)</ns0:f>
        <ns0:v>0</ns0:v>
      </ns0:c>
      <ns0:c r="R1315">
        <ns0:f>IF(AND(L1315=1,O1315*Calculations!$B$2&lt;=Calculations!$B$11*Calculations!$B$4),1,0)</ns0:f>
        <ns0:v>1</ns0:v>
      </ns0:c>
    </ns0:row>
    <ns0:row r="1316">
      <ns0:c r="A1316" t="inlineStr">
        <ns0:is>
          <ns0:t>case_1315</ns0:t>
        </ns0:is>
      </ns0:c>
      <ns0:c r="B1316" t="inlineStr">
        <ns0:is>
          <ns0:t>function_0308</ns0:t>
        </ns0:is>
      </ns0:c>
      <ns0:c r="C1316" t="inlineStr">
        <ns0:is>
          <ns0:t>run_013</ns0:t>
        </ns0:is>
      </ns0:c>
      <ns0:c r="D1316" t="inlineStr">
        <ns0:is>
          <ns0:t>rand</ns0:t>
        </ns0:is>
      </ns0:c>
      <ns0:c r="E1316" t="inlineStr">
        <ns0:is>
          <ns0:t>gemini-2.5-flash-nothinking</ns0:t>
        </ns0:is>
      </ns0:c>
      <ns0:c r="F1316" t="inlineStr">
        <ns0:is>
          <ns0:t>E0433</ns0:t>
        </ns0:is>
      </ns0:c>
      <ns0:c r="G1316" t="n">
        <ns0:v>1</ns0:v>
      </ns0:c>
      <ns0:c r="H1316" t="n">
        <ns0:v>0</ns0:v>
      </ns0:c>
      <ns0:c r="I1316" t="n">
        <ns0:v>0</ns0:v>
      </ns0:c>
      <ns0:c r="J1316" t="n">
        <ns0:v>0</ns0:v>
      </ns0:c>
      <ns0:c r="K1316" t="n">
        <ns0:v>0</ns0:v>
      </ns0:c>
      <ns0:c r="L1316" t="n">
        <ns0:v>1</ns0:v>
      </ns0:c>
      <ns0:c r="M1316" t="n">
        <ns0:v>38310</ns0:v>
      </ns0:c>
      <ns0:c r="N1316" t="n">
        <ns0:v>287</ns0:v>
      </ns0:c>
      <ns0:c r="O1316" t="n">
        <ns0:v>38597</ns0:v>
      </ns0:c>
      <ns0:c r="P1316" t="n">
        <ns0:v>5</ns0:v>
      </ns0:c>
      <ns0:c r="Q1316">
        <ns0:f>IF(AND(L1316=1,O1316*Calculations!$B$2&lt;=Calculations!$B$10*Calculations!$B$4),1,0)</ns0:f>
        <ns0:v>0</ns0:v>
      </ns0:c>
      <ns0:c r="R1316">
        <ns0:f>IF(AND(L1316=1,O1316*Calculations!$B$2&lt;=Calculations!$B$11*Calculations!$B$4),1,0)</ns0:f>
        <ns0:v>1</ns0:v>
      </ns0:c>
    </ns0:row>
    <ns0:row r="1317">
      <ns0:c r="A1317" t="inlineStr">
        <ns0:is>
          <ns0:t>case_1316</ns0:t>
        </ns0:is>
      </ns0:c>
      <ns0:c r="B1317" t="inlineStr">
        <ns0:is>
          <ns0:t>function_0309</ns0:t>
        </ns0:is>
      </ns0:c>
      <ns0:c r="C1317" t="inlineStr">
        <ns0:is>
          <ns0:t>run_013</ns0:t>
        </ns0:is>
      </ns0:c>
      <ns0:c r="D1317" t="inlineStr">
        <ns0:is>
          <ns0:t>rand</ns0:t>
        </ns0:is>
      </ns0:c>
      <ns0:c r="E1317" t="inlineStr">
        <ns0:is>
          <ns0:t>gemini-2.5-flash-nothinking</ns0:t>
        </ns0:is>
      </ns0:c>
      <ns0:c r="F1317" t="inlineStr">
        <ns0:is>
          <ns0:t>E0432</ns0:t>
        </ns0:is>
      </ns0:c>
      <ns0:c r="G1317" t="n">
        <ns0:v>1</ns0:v>
      </ns0:c>
      <ns0:c r="H1317" t="n">
        <ns0:v>0</ns0:v>
      </ns0:c>
      <ns0:c r="I1317" t="n">
        <ns0:v>0</ns0:v>
      </ns0:c>
      <ns0:c r="J1317" t="n">
        <ns0:v>0</ns0:v>
      </ns0:c>
      <ns0:c r="K1317" t="n">
        <ns0:v>0</ns0:v>
      </ns0:c>
      <ns0:c r="L1317" t="n">
        <ns0:v>1</ns0:v>
      </ns0:c>
      <ns0:c r="M1317" t="n">
        <ns0:v>20431</ns0:v>
      </ns0:c>
      <ns0:c r="N1317" t="n">
        <ns0:v>615</ns0:v>
      </ns0:c>
      <ns0:c r="O1317" t="n">
        <ns0:v>21046</ns0:v>
      </ns0:c>
      <ns0:c r="P1317" t="n">
        <ns0:v>3</ns0:v>
      </ns0:c>
      <ns0:c r="Q1317">
        <ns0:f>IF(AND(L1317=1,O1317*Calculations!$B$2&lt;=Calculations!$B$10*Calculations!$B$4),1,0)</ns0:f>
        <ns0:v>1</ns0:v>
      </ns0:c>
      <ns0:c r="R1317">
        <ns0:f>IF(AND(L1317=1,O1317*Calculations!$B$2&lt;=Calculations!$B$11*Calculations!$B$4),1,0)</ns0:f>
        <ns0:v>1</ns0:v>
      </ns0:c>
    </ns0:row>
    <ns0:row r="1318">
      <ns0:c r="A1318" t="inlineStr">
        <ns0:is>
          <ns0:t>case_1317</ns0:t>
        </ns0:is>
      </ns0:c>
      <ns0:c r="B1318" t="inlineStr">
        <ns0:is>
          <ns0:t>function_0309</ns0:t>
        </ns0:is>
      </ns0:c>
      <ns0:c r="C1318" t="inlineStr">
        <ns0:is>
          <ns0:t>run_013</ns0:t>
        </ns0:is>
      </ns0:c>
      <ns0:c r="D1318" t="inlineStr">
        <ns0:is>
          <ns0:t>rand</ns0:t>
        </ns0:is>
      </ns0:c>
      <ns0:c r="E1318" t="inlineStr">
        <ns0:is>
          <ns0:t>gemini-2.5-flash-nothinking</ns0:t>
        </ns0:is>
      </ns0:c>
      <ns0:c r="F1318" t="inlineStr">
        <ns0:is>
          <ns0:t>E0308</ns0:t>
        </ns0:is>
      </ns0:c>
      <ns0:c r="G1318" t="n">
        <ns0:v>1</ns0:v>
      </ns0:c>
      <ns0:c r="H1318" t="n">
        <ns0:v>1606</ns0:v>
      </ns0:c>
      <ns0:c r="I1318" t="n">
        <ns0:v>87</ns0:v>
      </ns0:c>
      <ns0:c r="J1318" t="n">
        <ns0:v>1693</ns0:v>
      </ns0:c>
      <ns0:c r="K1318" t="n">
        <ns0:v>1</ns0:v>
      </ns0:c>
      <ns0:c r="L1318" t="n">
        <ns0:v>1</ns0:v>
      </ns0:c>
      <ns0:c r="M1318" t="n">
        <ns0:v>13611</ns0:v>
      </ns0:c>
      <ns0:c r="N1318" t="n">
        <ns0:v>203</ns0:v>
      </ns0:c>
      <ns0:c r="O1318" t="n">
        <ns0:v>13814</ns0:v>
      </ns0:c>
      <ns0:c r="P1318" t="n">
        <ns0:v>2</ns0:v>
      </ns0:c>
      <ns0:c r="Q1318">
        <ns0:f>IF(AND(L1318=1,O1318*Calculations!$B$2&lt;=Calculations!$B$10*Calculations!$B$4),1,0)</ns0:f>
        <ns0:v>1</ns0:v>
      </ns0:c>
      <ns0:c r="R1318">
        <ns0:f>IF(AND(L1318=1,O1318*Calculations!$B$2&lt;=Calculations!$B$11*Calculations!$B$4),1,0)</ns0:f>
        <ns0:v>1</ns0:v>
      </ns0:c>
    </ns0:row>
    <ns0:row r="1319">
      <ns0:c r="A1319" t="inlineStr">
        <ns0:is>
          <ns0:t>case_1318</ns0:t>
        </ns0:is>
      </ns0:c>
      <ns0:c r="B1319" t="inlineStr">
        <ns0:is>
          <ns0:t>function_0310</ns0:t>
        </ns0:is>
      </ns0:c>
      <ns0:c r="C1319" t="inlineStr">
        <ns0:is>
          <ns0:t>run_013</ns0:t>
        </ns0:is>
      </ns0:c>
      <ns0:c r="D1319" t="inlineStr">
        <ns0:is>
          <ns0:t>rand</ns0:t>
        </ns0:is>
      </ns0:c>
      <ns0:c r="E1319" t="inlineStr">
        <ns0:is>
          <ns0:t>gemini-2.5-flash-nothinking</ns0:t>
        </ns0:is>
      </ns0:c>
      <ns0:c r="F1319" t="inlineStr">
        <ns0:is>
          <ns0:t>E0433</ns0:t>
        </ns0:is>
      </ns0:c>
      <ns0:c r="G1319" t="n">
        <ns0:v>1</ns0:v>
      </ns0:c>
      <ns0:c r="H1319" t="n">
        <ns0:v>0</ns0:v>
      </ns0:c>
      <ns0:c r="I1319" t="n">
        <ns0:v>0</ns0:v>
      </ns0:c>
      <ns0:c r="J1319" t="n">
        <ns0:v>0</ns0:v>
      </ns0:c>
      <ns0:c r="K1319" t="n">
        <ns0:v>0</ns0:v>
      </ns0:c>
      <ns0:c r="L1319" t="n">
        <ns0:v>1</ns0:v>
      </ns0:c>
      <ns0:c r="M1319" t="n">
        <ns0:v>35855</ns0:v>
      </ns0:c>
      <ns0:c r="N1319" t="n">
        <ns0:v>405</ns0:v>
      </ns0:c>
      <ns0:c r="O1319" t="n">
        <ns0:v>36260</ns0:v>
      </ns0:c>
      <ns0:c r="P1319" t="n">
        <ns0:v>5</ns0:v>
      </ns0:c>
      <ns0:c r="Q1319">
        <ns0:f>IF(AND(L1319=1,O1319*Calculations!$B$2&lt;=Calculations!$B$10*Calculations!$B$4),1,0)</ns0:f>
        <ns0:v>0</ns0:v>
      </ns0:c>
      <ns0:c r="R1319">
        <ns0:f>IF(AND(L1319=1,O1319*Calculations!$B$2&lt;=Calculations!$B$11*Calculations!$B$4),1,0)</ns0:f>
        <ns0:v>1</ns0:v>
      </ns0:c>
    </ns0:row>
    <ns0:row r="1320">
      <ns0:c r="A1320" t="inlineStr">
        <ns0:is>
          <ns0:t>case_1319</ns0:t>
        </ns0:is>
      </ns0:c>
      <ns0:c r="B1320" t="inlineStr">
        <ns0:is>
          <ns0:t>function_0311</ns0:t>
        </ns0:is>
      </ns0:c>
      <ns0:c r="C1320" t="inlineStr">
        <ns0:is>
          <ns0:t>run_013</ns0:t>
        </ns0:is>
      </ns0:c>
      <ns0:c r="D1320" t="inlineStr">
        <ns0:is>
          <ns0:t>rand</ns0:t>
        </ns0:is>
      </ns0:c>
      <ns0:c r="E1320" t="inlineStr">
        <ns0:is>
          <ns0:t>gemini-2.5-flash-nothinking</ns0:t>
        </ns0:is>
      </ns0:c>
      <ns0:c r="F1320" t="inlineStr">
        <ns0:is>
          <ns0:t>E0433</ns0:t>
        </ns0:is>
      </ns0:c>
      <ns0:c r="G1320" t="n">
        <ns0:v>1</ns0:v>
      </ns0:c>
      <ns0:c r="H1320" t="n">
        <ns0:v>0</ns0:v>
      </ns0:c>
      <ns0:c r="I1320" t="n">
        <ns0:v>0</ns0:v>
      </ns0:c>
      <ns0:c r="J1320" t="n">
        <ns0:v>0</ns0:v>
      </ns0:c>
      <ns0:c r="K1320" t="n">
        <ns0:v>0</ns0:v>
      </ns0:c>
      <ns0:c r="L1320" t="n">
        <ns0:v>1</ns0:v>
      </ns0:c>
      <ns0:c r="M1320" t="n">
        <ns0:v>21691</ns0:v>
      </ns0:c>
      <ns0:c r="N1320" t="n">
        <ns0:v>452</ns0:v>
      </ns0:c>
      <ns0:c r="O1320" t="n">
        <ns0:v>22143</ns0:v>
      </ns0:c>
      <ns0:c r="P1320" t="n">
        <ns0:v>3</ns0:v>
      </ns0:c>
      <ns0:c r="Q1320">
        <ns0:f>IF(AND(L1320=1,O1320*Calculations!$B$2&lt;=Calculations!$B$10*Calculations!$B$4),1,0)</ns0:f>
        <ns0:v>1</ns0:v>
      </ns0:c>
      <ns0:c r="R1320">
        <ns0:f>IF(AND(L1320=1,O1320*Calculations!$B$2&lt;=Calculations!$B$11*Calculations!$B$4),1,0)</ns0:f>
        <ns0:v>1</ns0:v>
      </ns0:c>
    </ns0:row>
    <ns0:row r="1321">
      <ns0:c r="A1321" t="inlineStr">
        <ns0:is>
          <ns0:t>case_1320</ns0:t>
        </ns0:is>
      </ns0:c>
      <ns0:c r="B1321" t="inlineStr">
        <ns0:is>
          <ns0:t>function_0312</ns0:t>
        </ns0:is>
      </ns0:c>
      <ns0:c r="C1321" t="inlineStr">
        <ns0:is>
          <ns0:t>run_013</ns0:t>
        </ns0:is>
      </ns0:c>
      <ns0:c r="D1321" t="inlineStr">
        <ns0:is>
          <ns0:t>rand</ns0:t>
        </ns0:is>
      </ns0:c>
      <ns0:c r="E1321" t="inlineStr">
        <ns0:is>
          <ns0:t>gemini-2.5-flash-nothinking</ns0:t>
        </ns0:is>
      </ns0:c>
      <ns0:c r="F1321" t="inlineStr">
        <ns0:is>
          <ns0:t>E0433</ns0:t>
        </ns0:is>
      </ns0:c>
      <ns0:c r="G1321" t="n">
        <ns0:v>1</ns0:v>
      </ns0:c>
      <ns0:c r="H1321" t="n">
        <ns0:v>0</ns0:v>
      </ns0:c>
      <ns0:c r="I1321" t="n">
        <ns0:v>0</ns0:v>
      </ns0:c>
      <ns0:c r="J1321" t="n">
        <ns0:v>0</ns0:v>
      </ns0:c>
      <ns0:c r="K1321" t="n">
        <ns0:v>0</ns0:v>
      </ns0:c>
      <ns0:c r="L1321" t="n">
        <ns0:v>1</ns0:v>
      </ns0:c>
      <ns0:c r="M1321" t="n">
        <ns0:v>31328</ns0:v>
      </ns0:c>
      <ns0:c r="N1321" t="n">
        <ns0:v>441</ns0:v>
      </ns0:c>
      <ns0:c r="O1321" t="n">
        <ns0:v>31769</ns0:v>
      </ns0:c>
      <ns0:c r="P1321" t="n">
        <ns0:v>4</ns0:v>
      </ns0:c>
      <ns0:c r="Q1321">
        <ns0:f>IF(AND(L1321=1,O1321*Calculations!$B$2&lt;=Calculations!$B$10*Calculations!$B$4),1,0)</ns0:f>
        <ns0:v>0</ns0:v>
      </ns0:c>
      <ns0:c r="R1321">
        <ns0:f>IF(AND(L1321=1,O1321*Calculations!$B$2&lt;=Calculations!$B$11*Calculations!$B$4),1,0)</ns0:f>
        <ns0:v>1</ns0:v>
      </ns0:c>
    </ns0:row>
    <ns0:row r="1322">
      <ns0:c r="A1322" t="inlineStr">
        <ns0:is>
          <ns0:t>case_1321</ns0:t>
        </ns0:is>
      </ns0:c>
      <ns0:c r="B1322" t="inlineStr">
        <ns0:is>
          <ns0:t>function_0313</ns0:t>
        </ns0:is>
      </ns0:c>
      <ns0:c r="C1322" t="inlineStr">
        <ns0:is>
          <ns0:t>run_013</ns0:t>
        </ns0:is>
      </ns0:c>
      <ns0:c r="D1322" t="inlineStr">
        <ns0:is>
          <ns0:t>rand</ns0:t>
        </ns0:is>
      </ns0:c>
      <ns0:c r="E1322" t="inlineStr">
        <ns0:is>
          <ns0:t>gemini-2.5-flash-nothinking</ns0:t>
        </ns0:is>
      </ns0:c>
      <ns0:c r="F1322" t="inlineStr">
        <ns0:is>
          <ns0:t>E0433</ns0:t>
        </ns0:is>
      </ns0:c>
      <ns0:c r="G1322" t="n">
        <ns0:v>1</ns0:v>
      </ns0:c>
      <ns0:c r="H1322" t="n">
        <ns0:v>0</ns0:v>
      </ns0:c>
      <ns0:c r="I1322" t="n">
        <ns0:v>0</ns0:v>
      </ns0:c>
      <ns0:c r="J1322" t="n">
        <ns0:v>0</ns0:v>
      </ns0:c>
      <ns0:c r="K1322" t="n">
        <ns0:v>0</ns0:v>
      </ns0:c>
      <ns0:c r="L1322" t="n">
        <ns0:v>1</ns0:v>
      </ns0:c>
      <ns0:c r="M1322" t="n">
        <ns0:v>27855</ns0:v>
      </ns0:c>
      <ns0:c r="N1322" t="n">
        <ns0:v>641</ns0:v>
      </ns0:c>
      <ns0:c r="O1322" t="n">
        <ns0:v>28496</ns0:v>
      </ns0:c>
      <ns0:c r="P1322" t="n">
        <ns0:v>4</ns0:v>
      </ns0:c>
      <ns0:c r="Q1322">
        <ns0:f>IF(AND(L1322=1,O1322*Calculations!$B$2&lt;=Calculations!$B$10*Calculations!$B$4),1,0)</ns0:f>
        <ns0:v>0</ns0:v>
      </ns0:c>
      <ns0:c r="R1322">
        <ns0:f>IF(AND(L1322=1,O1322*Calculations!$B$2&lt;=Calculations!$B$11*Calculations!$B$4),1,0)</ns0:f>
        <ns0:v>1</ns0:v>
      </ns0:c>
    </ns0:row>
    <ns0:row r="1323">
      <ns0:c r="A1323" t="inlineStr">
        <ns0:is>
          <ns0:t>case_1322</ns0:t>
        </ns0:is>
      </ns0:c>
      <ns0:c r="B1323" t="inlineStr">
        <ns0:is>
          <ns0:t>function_0314</ns0:t>
        </ns0:is>
      </ns0:c>
      <ns0:c r="C1323" t="inlineStr">
        <ns0:is>
          <ns0:t>run_013</ns0:t>
        </ns0:is>
      </ns0:c>
      <ns0:c r="D1323" t="inlineStr">
        <ns0:is>
          <ns0:t>rand</ns0:t>
        </ns0:is>
      </ns0:c>
      <ns0:c r="E1323" t="inlineStr">
        <ns0:is>
          <ns0:t>gemini-2.5-flash-nothinking</ns0:t>
        </ns0:is>
      </ns0:c>
      <ns0:c r="F1323" t="inlineStr">
        <ns0:is>
          <ns0:t>E0433</ns0:t>
        </ns0:is>
      </ns0:c>
      <ns0:c r="G1323" t="n">
        <ns0:v>1</ns0:v>
      </ns0:c>
      <ns0:c r="H1323" t="n">
        <ns0:v>0</ns0:v>
      </ns0:c>
      <ns0:c r="I1323" t="n">
        <ns0:v>0</ns0:v>
      </ns0:c>
      <ns0:c r="J1323" t="n">
        <ns0:v>0</ns0:v>
      </ns0:c>
      <ns0:c r="K1323" t="n">
        <ns0:v>0</ns0:v>
      </ns0:c>
      <ns0:c r="L1323" t="n">
        <ns0:v>1</ns0:v>
      </ns0:c>
      <ns0:c r="M1323" t="n">
        <ns0:v>270862</ns0:v>
      </ns0:c>
      <ns0:c r="N1323" t="n">
        <ns0:v>872</ns0:v>
      </ns0:c>
      <ns0:c r="O1323" t="n">
        <ns0:v>271734</ns0:v>
      </ns0:c>
      <ns0:c r="P1323" t="n">
        <ns0:v>8</ns0:v>
      </ns0:c>
      <ns0:c r="Q1323">
        <ns0:f>IF(AND(L1323=1,O1323*Calculations!$B$2&lt;=Calculations!$B$10*Calculations!$B$4),1,0)</ns0:f>
        <ns0:v>0</ns0:v>
      </ns0:c>
      <ns0:c r="R1323">
        <ns0:f>IF(AND(L1323=1,O1323*Calculations!$B$2&lt;=Calculations!$B$11*Calculations!$B$4),1,0)</ns0:f>
        <ns0:v>0</ns0:v>
      </ns0:c>
    </ns0:row>
    <ns0:row r="1324">
      <ns0:c r="A1324" t="inlineStr">
        <ns0:is>
          <ns0:t>case_1323</ns0:t>
        </ns0:is>
      </ns0:c>
      <ns0:c r="B1324" t="inlineStr">
        <ns0:is>
          <ns0:t>function_0315</ns0:t>
        </ns0:is>
      </ns0:c>
      <ns0:c r="C1324" t="inlineStr">
        <ns0:is>
          <ns0:t>run_013</ns0:t>
        </ns0:is>
      </ns0:c>
      <ns0:c r="D1324" t="inlineStr">
        <ns0:is>
          <ns0:t>rand</ns0:t>
        </ns0:is>
      </ns0:c>
      <ns0:c r="E1324" t="inlineStr">
        <ns0:is>
          <ns0:t>gemini-2.5-flash-nothinking</ns0:t>
        </ns0:is>
      </ns0:c>
      <ns0:c r="F1324" t="inlineStr">
        <ns0:is>
          <ns0:t>E0433</ns0:t>
        </ns0:is>
      </ns0:c>
      <ns0:c r="G1324" t="n">
        <ns0:v>1</ns0:v>
      </ns0:c>
      <ns0:c r="H1324" t="n">
        <ns0:v>0</ns0:v>
      </ns0:c>
      <ns0:c r="I1324" t="n">
        <ns0:v>0</ns0:v>
      </ns0:c>
      <ns0:c r="J1324" t="n">
        <ns0:v>0</ns0:v>
      </ns0:c>
      <ns0:c r="K1324" t="n">
        <ns0:v>0</ns0:v>
      </ns0:c>
      <ns0:c r="L1324" t="n">
        <ns0:v>1</ns0:v>
      </ns0:c>
      <ns0:c r="M1324" t="n">
        <ns0:v>108743</ns0:v>
      </ns0:c>
      <ns0:c r="N1324" t="n">
        <ns0:v>442</ns0:v>
      </ns0:c>
      <ns0:c r="O1324" t="n">
        <ns0:v>109185</ns0:v>
      </ns0:c>
      <ns0:c r="P1324" t="n">
        <ns0:v>4</ns0:v>
      </ns0:c>
      <ns0:c r="Q1324">
        <ns0:f>IF(AND(L1324=1,O1324*Calculations!$B$2&lt;=Calculations!$B$10*Calculations!$B$4),1,0)</ns0:f>
        <ns0:v>0</ns0:v>
      </ns0:c>
      <ns0:c r="R1324">
        <ns0:f>IF(AND(L1324=1,O1324*Calculations!$B$2&lt;=Calculations!$B$11*Calculations!$B$4),1,0)</ns0:f>
        <ns0:v>0</ns0:v>
      </ns0:c>
    </ns0:row>
    <ns0:row r="1325">
      <ns0:c r="A1325" t="inlineStr">
        <ns0:is>
          <ns0:t>case_1324</ns0:t>
        </ns0:is>
      </ns0:c>
      <ns0:c r="B1325" t="inlineStr">
        <ns0:is>
          <ns0:t>function_0315</ns0:t>
        </ns0:is>
      </ns0:c>
      <ns0:c r="C1325" t="inlineStr">
        <ns0:is>
          <ns0:t>run_013</ns0:t>
        </ns0:is>
      </ns0:c>
      <ns0:c r="D1325" t="inlineStr">
        <ns0:is>
          <ns0:t>rand</ns0:t>
        </ns0:is>
      </ns0:c>
      <ns0:c r="E1325" t="inlineStr">
        <ns0:is>
          <ns0:t>gemini-2.5-flash-nothinking</ns0:t>
        </ns0:is>
      </ns0:c>
      <ns0:c r="F1325" t="inlineStr">
        <ns0:is>
          <ns0:t>E0308</ns0:t>
        </ns0:is>
      </ns0:c>
      <ns0:c r="G1325" t="n">
        <ns0:v>1</ns0:v>
      </ns0:c>
      <ns0:c r="H1325" t="n">
        <ns0:v>752</ns0:v>
      </ns0:c>
      <ns0:c r="I1325" t="n">
        <ns0:v>95</ns0:v>
      </ns0:c>
      <ns0:c r="J1325" t="n">
        <ns0:v>847</ns0:v>
      </ns0:c>
      <ns0:c r="K1325" t="n">
        <ns0:v>1</ns0:v>
      </ns0:c>
      <ns0:c r="L1325" t="n">
        <ns0:v>1</ns0:v>
      </ns0:c>
      <ns0:c r="M1325" t="n">
        <ns0:v>20599</ns0:v>
      </ns0:c>
      <ns0:c r="N1325" t="n">
        <ns0:v>125</ns0:v>
      </ns0:c>
      <ns0:c r="O1325" t="n">
        <ns0:v>20724</ns0:v>
      </ns0:c>
      <ns0:c r="P1325" t="n">
        <ns0:v>3</ns0:v>
      </ns0:c>
      <ns0:c r="Q1325">
        <ns0:f>IF(AND(L1325=1,O1325*Calculations!$B$2&lt;=Calculations!$B$10*Calculations!$B$4),1,0)</ns0:f>
        <ns0:v>1</ns0:v>
      </ns0:c>
      <ns0:c r="R1325">
        <ns0:f>IF(AND(L1325=1,O1325*Calculations!$B$2&lt;=Calculations!$B$11*Calculations!$B$4),1,0)</ns0:f>
        <ns0:v>1</ns0:v>
      </ns0:c>
    </ns0:row>
    <ns0:row r="1326">
      <ns0:c r="A1326" t="inlineStr">
        <ns0:is>
          <ns0:t>case_1325</ns0:t>
        </ns0:is>
      </ns0:c>
      <ns0:c r="B1326" t="inlineStr">
        <ns0:is>
          <ns0:t>function_0316</ns0:t>
        </ns0:is>
      </ns0:c>
      <ns0:c r="C1326" t="inlineStr">
        <ns0:is>
          <ns0:t>run_013</ns0:t>
        </ns0:is>
      </ns0:c>
      <ns0:c r="D1326" t="inlineStr">
        <ns0:is>
          <ns0:t>rand</ns0:t>
        </ns0:is>
      </ns0:c>
      <ns0:c r="E1326" t="inlineStr">
        <ns0:is>
          <ns0:t>gemini-2.5-flash-nothinking</ns0:t>
        </ns0:is>
      </ns0:c>
      <ns0:c r="F1326" t="inlineStr">
        <ns0:is>
          <ns0:t>E0433</ns0:t>
        </ns0:is>
      </ns0:c>
      <ns0:c r="G1326" t="n">
        <ns0:v>1</ns0:v>
      </ns0:c>
      <ns0:c r="H1326" t="n">
        <ns0:v>0</ns0:v>
      </ns0:c>
      <ns0:c r="I1326" t="n">
        <ns0:v>0</ns0:v>
      </ns0:c>
      <ns0:c r="J1326" t="n">
        <ns0:v>0</ns0:v>
      </ns0:c>
      <ns0:c r="K1326" t="n">
        <ns0:v>0</ns0:v>
      </ns0:c>
      <ns0:c r="L1326" t="n">
        <ns0:v>1</ns0:v>
      </ns0:c>
      <ns0:c r="M1326" t="n">
        <ns0:v>22027</ns0:v>
      </ns0:c>
      <ns0:c r="N1326" t="n">
        <ns0:v>203</ns0:v>
      </ns0:c>
      <ns0:c r="O1326" t="n">
        <ns0:v>22230</ns0:v>
      </ns0:c>
      <ns0:c r="P1326" t="n">
        <ns0:v>3</ns0:v>
      </ns0:c>
      <ns0:c r="Q1326">
        <ns0:f>IF(AND(L1326=1,O1326*Calculations!$B$2&lt;=Calculations!$B$10*Calculations!$B$4),1,0)</ns0:f>
        <ns0:v>1</ns0:v>
      </ns0:c>
      <ns0:c r="R1326">
        <ns0:f>IF(AND(L1326=1,O1326*Calculations!$B$2&lt;=Calculations!$B$11*Calculations!$B$4),1,0)</ns0:f>
        <ns0:v>1</ns0:v>
      </ns0:c>
    </ns0:row>
    <ns0:row r="1327">
      <ns0:c r="A1327" t="inlineStr">
        <ns0:is>
          <ns0:t>case_1326</ns0:t>
        </ns0:is>
      </ns0:c>
      <ns0:c r="B1327" t="inlineStr">
        <ns0:is>
          <ns0:t>function_0317</ns0:t>
        </ns0:is>
      </ns0:c>
      <ns0:c r="C1327" t="inlineStr">
        <ns0:is>
          <ns0:t>run_013</ns0:t>
        </ns0:is>
      </ns0:c>
      <ns0:c r="D1327" t="inlineStr">
        <ns0:is>
          <ns0:t>rand</ns0:t>
        </ns0:is>
      </ns0:c>
      <ns0:c r="E1327" t="inlineStr">
        <ns0:is>
          <ns0:t>gemini-2.5-flash-nothinking</ns0:t>
        </ns0:is>
      </ns0:c>
      <ns0:c r="F1327" t="inlineStr">
        <ns0:is>
          <ns0:t>E0119,E0433</ns0:t>
        </ns0:is>
      </ns0:c>
      <ns0:c r="G1327" t="n">
        <ns0:v>0</ns0:v>
      </ns0:c>
      <ns0:c r="H1327" t="n">
        <ns0:v>3871</ns0:v>
      </ns0:c>
      <ns0:c r="I1327" t="n">
        <ns0:v>1600</ns0:v>
      </ns0:c>
      <ns0:c r="J1327" t="n">
        <ns0:v>5471</ns0:v>
      </ns0:c>
      <ns0:c r="K1327" t="n">
        <ns0:v>4</ns0:v>
      </ns0:c>
      <ns0:c r="L1327" t="n">
        <ns0:v>0</ns0:v>
      </ns0:c>
      <ns0:c r="M1327" t="n">
        <ns0:v>135357</ns0:v>
      </ns0:c>
      <ns0:c r="N1327" t="n">
        <ns0:v>3057</ns0:v>
      </ns0:c>
      <ns0:c r="O1327" t="n">
        <ns0:v>138414</ns0:v>
      </ns0:c>
      <ns0:c r="P1327" t="n">
        <ns0:v>10</ns0:v>
      </ns0:c>
      <ns0:c r="Q1327">
        <ns0:f>IF(AND(L1327=1,O1327*Calculations!$B$2&lt;=Calculations!$B$10*Calculations!$B$4),1,0)</ns0:f>
        <ns0:v>0</ns0:v>
      </ns0:c>
      <ns0:c r="R1327">
        <ns0:f>IF(AND(L1327=1,O1327*Calculations!$B$2&lt;=Calculations!$B$11*Calculations!$B$4),1,0)</ns0:f>
        <ns0:v>0</ns0:v>
      </ns0:c>
    </ns0:row>
    <ns0:row r="1328">
      <ns0:c r="A1328" t="inlineStr">
        <ns0:is>
          <ns0:t>case_1327</ns0:t>
        </ns0:is>
      </ns0:c>
      <ns0:c r="B1328" t="inlineStr">
        <ns0:is>
          <ns0:t>function_0318</ns0:t>
        </ns0:is>
      </ns0:c>
      <ns0:c r="C1328" t="inlineStr">
        <ns0:is>
          <ns0:t>run_013</ns0:t>
        </ns0:is>
      </ns0:c>
      <ns0:c r="D1328" t="inlineStr">
        <ns0:is>
          <ns0:t>rand</ns0:t>
        </ns0:is>
      </ns0:c>
      <ns0:c r="E1328" t="inlineStr">
        <ns0:is>
          <ns0:t>gemini-2.5-flash-nothinking</ns0:t>
        </ns0:is>
      </ns0:c>
      <ns0:c r="F1328" t="inlineStr">
        <ns0:is>
          <ns0:t>E0433</ns0:t>
        </ns0:is>
      </ns0:c>
      <ns0:c r="G1328" t="n">
        <ns0:v>1</ns0:v>
      </ns0:c>
      <ns0:c r="H1328" t="n">
        <ns0:v>0</ns0:v>
      </ns0:c>
      <ns0:c r="I1328" t="n">
        <ns0:v>0</ns0:v>
      </ns0:c>
      <ns0:c r="J1328" t="n">
        <ns0:v>0</ns0:v>
      </ns0:c>
      <ns0:c r="K1328" t="n">
        <ns0:v>0</ns0:v>
      </ns0:c>
      <ns0:c r="L1328" t="n">
        <ns0:v>1</ns0:v>
      </ns0:c>
      <ns0:c r="M1328" t="n">
        <ns0:v>38958</ns0:v>
      </ns0:c>
      <ns0:c r="N1328" t="n">
        <ns0:v>487</ns0:v>
      </ns0:c>
      <ns0:c r="O1328" t="n">
        <ns0:v>39445</ns0:v>
      </ns0:c>
      <ns0:c r="P1328" t="n">
        <ns0:v>5</ns0:v>
      </ns0:c>
      <ns0:c r="Q1328">
        <ns0:f>IF(AND(L1328=1,O1328*Calculations!$B$2&lt;=Calculations!$B$10*Calculations!$B$4),1,0)</ns0:f>
        <ns0:v>0</ns0:v>
      </ns0:c>
      <ns0:c r="R1328">
        <ns0:f>IF(AND(L1328=1,O1328*Calculations!$B$2&lt;=Calculations!$B$11*Calculations!$B$4),1,0)</ns0:f>
        <ns0:v>1</ns0:v>
      </ns0:c>
    </ns0:row>
    <ns0:row r="1329">
      <ns0:c r="A1329" t="inlineStr">
        <ns0:is>
          <ns0:t>case_1328</ns0:t>
        </ns0:is>
      </ns0:c>
      <ns0:c r="B1329" t="inlineStr">
        <ns0:is>
          <ns0:t>function_0319</ns0:t>
        </ns0:is>
      </ns0:c>
      <ns0:c r="C1329" t="inlineStr">
        <ns0:is>
          <ns0:t>run_013</ns0:t>
        </ns0:is>
      </ns0:c>
      <ns0:c r="D1329" t="inlineStr">
        <ns0:is>
          <ns0:t>rand</ns0:t>
        </ns0:is>
      </ns0:c>
      <ns0:c r="E1329" t="inlineStr">
        <ns0:is>
          <ns0:t>gemini-2.5-flash-nothinking</ns0:t>
        </ns0:is>
      </ns0:c>
      <ns0:c r="F1329" t="inlineStr">
        <ns0:is>
          <ns0:t>E0433</ns0:t>
        </ns0:is>
      </ns0:c>
      <ns0:c r="G1329" t="n">
        <ns0:v>1</ns0:v>
      </ns0:c>
      <ns0:c r="H1329" t="n">
        <ns0:v>0</ns0:v>
      </ns0:c>
      <ns0:c r="I1329" t="n">
        <ns0:v>0</ns0:v>
      </ns0:c>
      <ns0:c r="J1329" t="n">
        <ns0:v>0</ns0:v>
      </ns0:c>
      <ns0:c r="K1329" t="n">
        <ns0:v>0</ns0:v>
      </ns0:c>
      <ns0:c r="L1329" t="n">
        <ns0:v>1</ns0:v>
      </ns0:c>
      <ns0:c r="M1329" t="n">
        <ns0:v>192495</ns0:v>
      </ns0:c>
      <ns0:c r="N1329" t="n">
        <ns0:v>571</ns0:v>
      </ns0:c>
      <ns0:c r="O1329" t="n">
        <ns0:v>193066</ns0:v>
      </ns0:c>
      <ns0:c r="P1329" t="n">
        <ns0:v>6</ns0:v>
      </ns0:c>
      <ns0:c r="Q1329">
        <ns0:f>IF(AND(L1329=1,O1329*Calculations!$B$2&lt;=Calculations!$B$10*Calculations!$B$4),1,0)</ns0:f>
        <ns0:v>0</ns0:v>
      </ns0:c>
      <ns0:c r="R1329">
        <ns0:f>IF(AND(L1329=1,O1329*Calculations!$B$2&lt;=Calculations!$B$11*Calculations!$B$4),1,0)</ns0:f>
        <ns0:v>0</ns0:v>
      </ns0:c>
    </ns0:row>
    <ns0:row r="1330">
      <ns0:c r="A1330" t="inlineStr">
        <ns0:is>
          <ns0:t>case_1329</ns0:t>
        </ns0:is>
      </ns0:c>
      <ns0:c r="B1330" t="inlineStr">
        <ns0:is>
          <ns0:t>function_0320</ns0:t>
        </ns0:is>
      </ns0:c>
      <ns0:c r="C1330" t="inlineStr">
        <ns0:is>
          <ns0:t>run_013</ns0:t>
        </ns0:is>
      </ns0:c>
      <ns0:c r="D1330" t="inlineStr">
        <ns0:is>
          <ns0:t>rand</ns0:t>
        </ns0:is>
      </ns0:c>
      <ns0:c r="E1330" t="inlineStr">
        <ns0:is>
          <ns0:t>gemini-2.5-flash-nothinking</ns0:t>
        </ns0:is>
      </ns0:c>
      <ns0:c r="F1330" t="inlineStr">
        <ns0:is>
          <ns0:t>E0433</ns0:t>
        </ns0:is>
      </ns0:c>
      <ns0:c r="G1330" t="n">
        <ns0:v>1</ns0:v>
      </ns0:c>
      <ns0:c r="H1330" t="n">
        <ns0:v>0</ns0:v>
      </ns0:c>
      <ns0:c r="I1330" t="n">
        <ns0:v>0</ns0:v>
      </ns0:c>
      <ns0:c r="J1330" t="n">
        <ns0:v>0</ns0:v>
      </ns0:c>
      <ns0:c r="K1330" t="n">
        <ns0:v>0</ns0:v>
      </ns0:c>
      <ns0:c r="L1330" t="n">
        <ns0:v>1</ns0:v>
      </ns0:c>
      <ns0:c r="M1330" t="n">
        <ns0:v>25112</ns0:v>
      </ns0:c>
      <ns0:c r="N1330" t="n">
        <ns0:v>168</ns0:v>
      </ns0:c>
      <ns0:c r="O1330" t="n">
        <ns0:v>25280</ns0:v>
      </ns0:c>
      <ns0:c r="P1330" t="n">
        <ns0:v>3</ns0:v>
      </ns0:c>
      <ns0:c r="Q1330">
        <ns0:f>IF(AND(L1330=1,O1330*Calculations!$B$2&lt;=Calculations!$B$10*Calculations!$B$4),1,0)</ns0:f>
        <ns0:v>0</ns0:v>
      </ns0:c>
      <ns0:c r="R1330">
        <ns0:f>IF(AND(L1330=1,O1330*Calculations!$B$2&lt;=Calculations!$B$11*Calculations!$B$4),1,0)</ns0:f>
        <ns0:v>1</ns0:v>
      </ns0:c>
    </ns0:row>
    <ns0:row r="1331">
      <ns0:c r="A1331" t="inlineStr">
        <ns0:is>
          <ns0:t>case_1330</ns0:t>
        </ns0:is>
      </ns0:c>
      <ns0:c r="B1331" t="inlineStr">
        <ns0:is>
          <ns0:t>function_0321</ns0:t>
        </ns0:is>
      </ns0:c>
      <ns0:c r="C1331" t="inlineStr">
        <ns0:is>
          <ns0:t>run_013</ns0:t>
        </ns0:is>
      </ns0:c>
      <ns0:c r="D1331" t="inlineStr">
        <ns0:is>
          <ns0:t>rand</ns0:t>
        </ns0:is>
      </ns0:c>
      <ns0:c r="E1331" t="inlineStr">
        <ns0:is>
          <ns0:t>gemini-2.5-flash-nothinking</ns0:t>
        </ns0:is>
      </ns0:c>
      <ns0:c r="F1331" t="inlineStr">
        <ns0:is>
          <ns0:t>E0433</ns0:t>
        </ns0:is>
      </ns0:c>
      <ns0:c r="G1331" t="n">
        <ns0:v>1</ns0:v>
      </ns0:c>
      <ns0:c r="H1331" t="n">
        <ns0:v>0</ns0:v>
      </ns0:c>
      <ns0:c r="I1331" t="n">
        <ns0:v>0</ns0:v>
      </ns0:c>
      <ns0:c r="J1331" t="n">
        <ns0:v>0</ns0:v>
      </ns0:c>
      <ns0:c r="K1331" t="n">
        <ns0:v>0</ns0:v>
      </ns0:c>
      <ns0:c r="L1331" t="n">
        <ns0:v>1</ns0:v>
      </ns0:c>
      <ns0:c r="M1331" t="n">
        <ns0:v>38380</ns0:v>
      </ns0:c>
      <ns0:c r="N1331" t="n">
        <ns0:v>416</ns0:v>
      </ns0:c>
      <ns0:c r="O1331" t="n">
        <ns0:v>38796</ns0:v>
      </ns0:c>
      <ns0:c r="P1331" t="n">
        <ns0:v>5</ns0:v>
      </ns0:c>
      <ns0:c r="Q1331">
        <ns0:f>IF(AND(L1331=1,O1331*Calculations!$B$2&lt;=Calculations!$B$10*Calculations!$B$4),1,0)</ns0:f>
        <ns0:v>0</ns0:v>
      </ns0:c>
      <ns0:c r="R1331">
        <ns0:f>IF(AND(L1331=1,O1331*Calculations!$B$2&lt;=Calculations!$B$11*Calculations!$B$4),1,0)</ns0:f>
        <ns0:v>1</ns0:v>
      </ns0:c>
    </ns0:row>
    <ns0:row r="1332">
      <ns0:c r="A1332" t="inlineStr">
        <ns0:is>
          <ns0:t>case_1331</ns0:t>
        </ns0:is>
      </ns0:c>
      <ns0:c r="B1332" t="inlineStr">
        <ns0:is>
          <ns0:t>function_0322</ns0:t>
        </ns0:is>
      </ns0:c>
      <ns0:c r="C1332" t="inlineStr">
        <ns0:is>
          <ns0:t>run_013</ns0:t>
        </ns0:is>
      </ns0:c>
      <ns0:c r="D1332" t="inlineStr">
        <ns0:is>
          <ns0:t>rand</ns0:t>
        </ns0:is>
      </ns0:c>
      <ns0:c r="E1332" t="inlineStr">
        <ns0:is>
          <ns0:t>gemini-2.5-flash-nothinking</ns0:t>
        </ns0:is>
      </ns0:c>
      <ns0:c r="F1332" t="inlineStr">
        <ns0:is>
          <ns0:t>E0433</ns0:t>
        </ns0:is>
      </ns0:c>
      <ns0:c r="G1332" t="n">
        <ns0:v>1</ns0:v>
      </ns0:c>
      <ns0:c r="H1332" t="n">
        <ns0:v>0</ns0:v>
      </ns0:c>
      <ns0:c r="I1332" t="n">
        <ns0:v>0</ns0:v>
      </ns0:c>
      <ns0:c r="J1332" t="n">
        <ns0:v>0</ns0:v>
      </ns0:c>
      <ns0:c r="K1332" t="n">
        <ns0:v>0</ns0:v>
      </ns0:c>
      <ns0:c r="L1332" t="n">
        <ns0:v>1</ns0:v>
      </ns0:c>
      <ns0:c r="M1332" t="n">
        <ns0:v>56638</ns0:v>
      </ns0:c>
      <ns0:c r="N1332" t="n">
        <ns0:v>631</ns0:v>
      </ns0:c>
      <ns0:c r="O1332" t="n">
        <ns0:v>57269</ns0:v>
      </ns0:c>
      <ns0:c r="P1332" t="n">
        <ns0:v>7</ns0:v>
      </ns0:c>
      <ns0:c r="Q1332">
        <ns0:f>IF(AND(L1332=1,O1332*Calculations!$B$2&lt;=Calculations!$B$10*Calculations!$B$4),1,0)</ns0:f>
        <ns0:v>0</ns0:v>
      </ns0:c>
      <ns0:c r="R1332">
        <ns0:f>IF(AND(L1332=1,O1332*Calculations!$B$2&lt;=Calculations!$B$11*Calculations!$B$4),1,0)</ns0:f>
        <ns0:v>0</ns0:v>
      </ns0:c>
    </ns0:row>
    <ns0:row r="1333">
      <ns0:c r="A1333" t="inlineStr">
        <ns0:is>
          <ns0:t>case_1332</ns0:t>
        </ns0:is>
      </ns0:c>
      <ns0:c r="B1333" t="inlineStr">
        <ns0:is>
          <ns0:t>function_0323</ns0:t>
        </ns0:is>
      </ns0:c>
      <ns0:c r="C1333" t="inlineStr">
        <ns0:is>
          <ns0:t>run_013</ns0:t>
        </ns0:is>
      </ns0:c>
      <ns0:c r="D1333" t="inlineStr">
        <ns0:is>
          <ns0:t>rand</ns0:t>
        </ns0:is>
      </ns0:c>
      <ns0:c r="E1333" t="inlineStr">
        <ns0:is>
          <ns0:t>gemini-2.5-flash-nothinking</ns0:t>
        </ns0:is>
      </ns0:c>
      <ns0:c r="F1333" t="inlineStr">
        <ns0:is>
          <ns0:t>E0433</ns0:t>
        </ns0:is>
      </ns0:c>
      <ns0:c r="G1333" t="n">
        <ns0:v>1</ns0:v>
      </ns0:c>
      <ns0:c r="H1333" t="n">
        <ns0:v>0</ns0:v>
      </ns0:c>
      <ns0:c r="I1333" t="n">
        <ns0:v>0</ns0:v>
      </ns0:c>
      <ns0:c r="J1333" t="n">
        <ns0:v>0</ns0:v>
      </ns0:c>
      <ns0:c r="K1333" t="n">
        <ns0:v>0</ns0:v>
      </ns0:c>
      <ns0:c r="L1333" t="n">
        <ns0:v>1</ns0:v>
      </ns0:c>
      <ns0:c r="M1333" t="n">
        <ns0:v>70246</ns0:v>
      </ns0:c>
      <ns0:c r="N1333" t="n">
        <ns0:v>574</ns0:v>
      </ns0:c>
      <ns0:c r="O1333" t="n">
        <ns0:v>70820</ns0:v>
      </ns0:c>
      <ns0:c r="P1333" t="n">
        <ns0:v>9</ns0:v>
      </ns0:c>
      <ns0:c r="Q1333">
        <ns0:f>IF(AND(L1333=1,O1333*Calculations!$B$2&lt;=Calculations!$B$10*Calculations!$B$4),1,0)</ns0:f>
        <ns0:v>0</ns0:v>
      </ns0:c>
      <ns0:c r="R1333">
        <ns0:f>IF(AND(L1333=1,O1333*Calculations!$B$2&lt;=Calculations!$B$11*Calculations!$B$4),1,0)</ns0:f>
        <ns0:v>0</ns0:v>
      </ns0:c>
    </ns0:row>
    <ns0:row r="1334">
      <ns0:c r="A1334" t="inlineStr">
        <ns0:is>
          <ns0:t>case_1333</ns0:t>
        </ns0:is>
      </ns0:c>
      <ns0:c r="B1334" t="inlineStr">
        <ns0:is>
          <ns0:t>function_0324</ns0:t>
        </ns0:is>
      </ns0:c>
      <ns0:c r="C1334" t="inlineStr">
        <ns0:is>
          <ns0:t>run_013</ns0:t>
        </ns0:is>
      </ns0:c>
      <ns0:c r="D1334" t="inlineStr">
        <ns0:is>
          <ns0:t>rand</ns0:t>
        </ns0:is>
      </ns0:c>
      <ns0:c r="E1334" t="inlineStr">
        <ns0:is>
          <ns0:t>gemini-2.5-flash-nothinking</ns0:t>
        </ns0:is>
      </ns0:c>
      <ns0:c r="F1334" t="inlineStr">
        <ns0:is>
          <ns0:t>E0433</ns0:t>
        </ns0:is>
      </ns0:c>
      <ns0:c r="G1334" t="n">
        <ns0:v>1</ns0:v>
      </ns0:c>
      <ns0:c r="H1334" t="n">
        <ns0:v>0</ns0:v>
      </ns0:c>
      <ns0:c r="I1334" t="n">
        <ns0:v>0</ns0:v>
      </ns0:c>
      <ns0:c r="J1334" t="n">
        <ns0:v>0</ns0:v>
      </ns0:c>
      <ns0:c r="K1334" t="n">
        <ns0:v>0</ns0:v>
      </ns0:c>
      <ns0:c r="L1334" t="n">
        <ns0:v>1</ns0:v>
      </ns0:c>
      <ns0:c r="M1334" t="n">
        <ns0:v>114652</ns0:v>
      </ns0:c>
      <ns0:c r="N1334" t="n">
        <ns0:v>514</ns0:v>
      </ns0:c>
      <ns0:c r="O1334" t="n">
        <ns0:v>115166</ns0:v>
      </ns0:c>
      <ns0:c r="P1334" t="n">
        <ns0:v>4</ns0:v>
      </ns0:c>
      <ns0:c r="Q1334">
        <ns0:f>IF(AND(L1334=1,O1334*Calculations!$B$2&lt;=Calculations!$B$10*Calculations!$B$4),1,0)</ns0:f>
        <ns0:v>0</ns0:v>
      </ns0:c>
      <ns0:c r="R1334">
        <ns0:f>IF(AND(L1334=1,O1334*Calculations!$B$2&lt;=Calculations!$B$11*Calculations!$B$4),1,0)</ns0:f>
        <ns0:v>0</ns0:v>
      </ns0:c>
    </ns0:row>
    <ns0:row r="1335">
      <ns0:c r="A1335" t="inlineStr">
        <ns0:is>
          <ns0:t>case_1334</ns0:t>
        </ns0:is>
      </ns0:c>
      <ns0:c r="B1335" t="inlineStr">
        <ns0:is>
          <ns0:t>function_0325</ns0:t>
        </ns0:is>
      </ns0:c>
      <ns0:c r="C1335" t="inlineStr">
        <ns0:is>
          <ns0:t>run_013</ns0:t>
        </ns0:is>
      </ns0:c>
      <ns0:c r="D1335" t="inlineStr">
        <ns0:is>
          <ns0:t>rand</ns0:t>
        </ns0:is>
      </ns0:c>
      <ns0:c r="E1335" t="inlineStr">
        <ns0:is>
          <ns0:t>gemini-2.5-flash-nothinking</ns0:t>
        </ns0:is>
      </ns0:c>
      <ns0:c r="F1335" t="inlineStr">
        <ns0:is>
          <ns0:t>E0433</ns0:t>
        </ns0:is>
      </ns0:c>
      <ns0:c r="G1335" t="n">
        <ns0:v>1</ns0:v>
      </ns0:c>
      <ns0:c r="H1335" t="n">
        <ns0:v>0</ns0:v>
      </ns0:c>
      <ns0:c r="I1335" t="n">
        <ns0:v>0</ns0:v>
      </ns0:c>
      <ns0:c r="J1335" t="n">
        <ns0:v>0</ns0:v>
      </ns0:c>
      <ns0:c r="K1335" t="n">
        <ns0:v>0</ns0:v>
      </ns0:c>
      <ns0:c r="L1335" t="n">
        <ns0:v>1</ns0:v>
      </ns0:c>
      <ns0:c r="M1335" t="n">
        <ns0:v>132321</ns0:v>
      </ns0:c>
      <ns0:c r="N1335" t="n">
        <ns0:v>2131</ns0:v>
      </ns0:c>
      <ns0:c r="O1335" t="n">
        <ns0:v>134452</ns0:v>
      </ns0:c>
      <ns0:c r="P1335" t="n">
        <ns0:v>16</ns0:v>
      </ns0:c>
      <ns0:c r="Q1335">
        <ns0:f>IF(AND(L1335=1,O1335*Calculations!$B$2&lt;=Calculations!$B$10*Calculations!$B$4),1,0)</ns0:f>
        <ns0:v>0</ns0:v>
      </ns0:c>
      <ns0:c r="R1335">
        <ns0:f>IF(AND(L1335=1,O1335*Calculations!$B$2&lt;=Calculations!$B$11*Calculations!$B$4),1,0)</ns0:f>
        <ns0:v>0</ns0:v>
      </ns0:c>
    </ns0:row>
    <ns0:row r="1336">
      <ns0:c r="A1336" t="inlineStr">
        <ns0:is>
          <ns0:t>case_1335</ns0:t>
        </ns0:is>
      </ns0:c>
      <ns0:c r="B1336" t="inlineStr">
        <ns0:is>
          <ns0:t>function_0326</ns0:t>
        </ns0:is>
      </ns0:c>
      <ns0:c r="C1336" t="inlineStr">
        <ns0:is>
          <ns0:t>run_013</ns0:t>
        </ns0:is>
      </ns0:c>
      <ns0:c r="D1336" t="inlineStr">
        <ns0:is>
          <ns0:t>rand</ns0:t>
        </ns0:is>
      </ns0:c>
      <ns0:c r="E1336" t="inlineStr">
        <ns0:is>
          <ns0:t>gemini-2.5-flash-nothinking</ns0:t>
        </ns0:is>
      </ns0:c>
      <ns0:c r="F1336" t="inlineStr">
        <ns0:is>
          <ns0:t>E0433</ns0:t>
        </ns0:is>
      </ns0:c>
      <ns0:c r="G1336" t="n">
        <ns0:v>1</ns0:v>
      </ns0:c>
      <ns0:c r="H1336" t="n">
        <ns0:v>3485</ns0:v>
      </ns0:c>
      <ns0:c r="I1336" t="n">
        <ns0:v>128</ns0:v>
      </ns0:c>
      <ns0:c r="J1336" t="n">
        <ns0:v>3613</ns0:v>
      </ns0:c>
      <ns0:c r="K1336" t="n">
        <ns0:v>1</ns0:v>
      </ns0:c>
      <ns0:c r="L1336" t="n">
        <ns0:v>1</ns0:v>
      </ns0:c>
      <ns0:c r="M1336" t="n">
        <ns0:v>178420</ns0:v>
      </ns0:c>
      <ns0:c r="N1336" t="n">
        <ns0:v>1386</ns0:v>
      </ns0:c>
      <ns0:c r="O1336" t="n">
        <ns0:v>179806</ns0:v>
      </ns0:c>
      <ns0:c r="P1336" t="n">
        <ns0:v>11</ns0:v>
      </ns0:c>
      <ns0:c r="Q1336">
        <ns0:f>IF(AND(L1336=1,O1336*Calculations!$B$2&lt;=Calculations!$B$10*Calculations!$B$4),1,0)</ns0:f>
        <ns0:v>0</ns0:v>
      </ns0:c>
      <ns0:c r="R1336">
        <ns0:f>IF(AND(L1336=1,O1336*Calculations!$B$2&lt;=Calculations!$B$11*Calculations!$B$4),1,0)</ns0:f>
        <ns0:v>0</ns0:v>
      </ns0:c>
    </ns0:row>
    <ns0:row r="1337">
      <ns0:c r="A1337" t="inlineStr">
        <ns0:is>
          <ns0:t>case_1336</ns0:t>
        </ns0:is>
      </ns0:c>
      <ns0:c r="B1337" t="inlineStr">
        <ns0:is>
          <ns0:t>function_0327</ns0:t>
        </ns0:is>
      </ns0:c>
      <ns0:c r="C1337" t="inlineStr">
        <ns0:is>
          <ns0:t>run_013</ns0:t>
        </ns0:is>
      </ns0:c>
      <ns0:c r="D1337" t="inlineStr">
        <ns0:is>
          <ns0:t>rand</ns0:t>
        </ns0:is>
      </ns0:c>
      <ns0:c r="E1337" t="inlineStr">
        <ns0:is>
          <ns0:t>gemini-2.5-flash-nothinking</ns0:t>
        </ns0:is>
      </ns0:c>
      <ns0:c r="F1337" t="inlineStr">
        <ns0:is>
          <ns0:t>E0433</ns0:t>
        </ns0:is>
      </ns0:c>
      <ns0:c r="G1337" t="n">
        <ns0:v>1</ns0:v>
      </ns0:c>
      <ns0:c r="H1337" t="n">
        <ns0:v>0</ns0:v>
      </ns0:c>
      <ns0:c r="I1337" t="n">
        <ns0:v>0</ns0:v>
      </ns0:c>
      <ns0:c r="J1337" t="n">
        <ns0:v>0</ns0:v>
      </ns0:c>
      <ns0:c r="K1337" t="n">
        <ns0:v>0</ns0:v>
      </ns0:c>
      <ns0:c r="L1337" t="n">
        <ns0:v>1</ns0:v>
      </ns0:c>
      <ns0:c r="M1337" t="n">
        <ns0:v>50318</ns0:v>
      </ns0:c>
      <ns0:c r="N1337" t="n">
        <ns0:v>555</ns0:v>
      </ns0:c>
      <ns0:c r="O1337" t="n">
        <ns0:v>50873</ns0:v>
      </ns0:c>
      <ns0:c r="P1337" t="n">
        <ns0:v>5</ns0:v>
      </ns0:c>
      <ns0:c r="Q1337">
        <ns0:f>IF(AND(L1337=1,O1337*Calculations!$B$2&lt;=Calculations!$B$10*Calculations!$B$4),1,0)</ns0:f>
        <ns0:v>0</ns0:v>
      </ns0:c>
      <ns0:c r="R1337">
        <ns0:f>IF(AND(L1337=1,O1337*Calculations!$B$2&lt;=Calculations!$B$11*Calculations!$B$4),1,0)</ns0:f>
        <ns0:v>0</ns0:v>
      </ns0:c>
    </ns0:row>
    <ns0:row r="1338">
      <ns0:c r="A1338" t="inlineStr">
        <ns0:is>
          <ns0:t>case_1337</ns0:t>
        </ns0:is>
      </ns0:c>
      <ns0:c r="B1338" t="inlineStr">
        <ns0:is>
          <ns0:t>function_0328</ns0:t>
        </ns0:is>
      </ns0:c>
      <ns0:c r="C1338" t="inlineStr">
        <ns0:is>
          <ns0:t>run_013</ns0:t>
        </ns0:is>
      </ns0:c>
      <ns0:c r="D1338" t="inlineStr">
        <ns0:is>
          <ns0:t>rand</ns0:t>
        </ns0:is>
      </ns0:c>
      <ns0:c r="E1338" t="inlineStr">
        <ns0:is>
          <ns0:t>gemini-2.5-flash-nothinking</ns0:t>
        </ns0:is>
      </ns0:c>
      <ns0:c r="F1338" t="inlineStr">
        <ns0:is>
          <ns0:t>E0432</ns0:t>
        </ns0:is>
      </ns0:c>
      <ns0:c r="G1338" t="n">
        <ns0:v>1</ns0:v>
      </ns0:c>
      <ns0:c r="H1338" t="n">
        <ns0:v>0</ns0:v>
      </ns0:c>
      <ns0:c r="I1338" t="n">
        <ns0:v>0</ns0:v>
      </ns0:c>
      <ns0:c r="J1338" t="n">
        <ns0:v>0</ns0:v>
      </ns0:c>
      <ns0:c r="K1338" t="n">
        <ns0:v>0</ns0:v>
      </ns0:c>
      <ns0:c r="L1338" t="n">
        <ns0:v>1</ns0:v>
      </ns0:c>
      <ns0:c r="M1338" t="n">
        <ns0:v>22456</ns0:v>
      </ns0:c>
      <ns0:c r="N1338" t="n">
        <ns0:v>358</ns0:v>
      </ns0:c>
      <ns0:c r="O1338" t="n">
        <ns0:v>22814</ns0:v>
      </ns0:c>
      <ns0:c r="P1338" t="n">
        <ns0:v>3</ns0:v>
      </ns0:c>
      <ns0:c r="Q1338">
        <ns0:f>IF(AND(L1338=1,O1338*Calculations!$B$2&lt;=Calculations!$B$10*Calculations!$B$4),1,0)</ns0:f>
        <ns0:v>1</ns0:v>
      </ns0:c>
      <ns0:c r="R1338">
        <ns0:f>IF(AND(L1338=1,O1338*Calculations!$B$2&lt;=Calculations!$B$11*Calculations!$B$4),1,0)</ns0:f>
        <ns0:v>1</ns0:v>
      </ns0:c>
    </ns0:row>
    <ns0:row r="1339">
      <ns0:c r="A1339" t="inlineStr">
        <ns0:is>
          <ns0:t>case_1338</ns0:t>
        </ns0:is>
      </ns0:c>
      <ns0:c r="B1339" t="inlineStr">
        <ns0:is>
          <ns0:t>function_0329</ns0:t>
        </ns0:is>
      </ns0:c>
      <ns0:c r="C1339" t="inlineStr">
        <ns0:is>
          <ns0:t>run_013</ns0:t>
        </ns0:is>
      </ns0:c>
      <ns0:c r="D1339" t="inlineStr">
        <ns0:is>
          <ns0:t>rand</ns0:t>
        </ns0:is>
      </ns0:c>
      <ns0:c r="E1339" t="inlineStr">
        <ns0:is>
          <ns0:t>gemini-2.5-flash-nothinking</ns0:t>
        </ns0:is>
      </ns0:c>
      <ns0:c r="F1339" t="inlineStr">
        <ns0:is>
          <ns0:t>E0433,E0560</ns0:t>
        </ns0:is>
      </ns0:c>
      <ns0:c r="G1339" t="n">
        <ns0:v>1</ns0:v>
      </ns0:c>
      <ns0:c r="H1339" t="n">
        <ns0:v>1490</ns0:v>
      </ns0:c>
      <ns0:c r="I1339" t="n">
        <ns0:v>114</ns0:v>
      </ns0:c>
      <ns0:c r="J1339" t="n">
        <ns0:v>1604</ns0:v>
      </ns0:c>
      <ns0:c r="K1339" t="n">
        <ns0:v>1</ns0:v>
      </ns0:c>
      <ns0:c r="L1339" t="n">
        <ns0:v>1</ns0:v>
      </ns0:c>
      <ns0:c r="M1339" t="n">
        <ns0:v>29703</ns0:v>
      </ns0:c>
      <ns0:c r="N1339" t="n">
        <ns0:v>628</ns0:v>
      </ns0:c>
      <ns0:c r="O1339" t="n">
        <ns0:v>30331</ns0:v>
      </ns0:c>
      <ns0:c r="P1339" t="n">
        <ns0:v>4</ns0:v>
      </ns0:c>
      <ns0:c r="Q1339">
        <ns0:f>IF(AND(L1339=1,O1339*Calculations!$B$2&lt;=Calculations!$B$10*Calculations!$B$4),1,0)</ns0:f>
        <ns0:v>0</ns0:v>
      </ns0:c>
      <ns0:c r="R1339">
        <ns0:f>IF(AND(L1339=1,O1339*Calculations!$B$2&lt;=Calculations!$B$11*Calculations!$B$4),1,0)</ns0:f>
        <ns0:v>1</ns0:v>
      </ns0:c>
    </ns0:row>
    <ns0:row r="1340">
      <ns0:c r="A1340" t="inlineStr">
        <ns0:is>
          <ns0:t>case_1339</ns0:t>
        </ns0:is>
      </ns0:c>
      <ns0:c r="B1340" t="inlineStr">
        <ns0:is>
          <ns0:t>function_0330</ns0:t>
        </ns0:is>
      </ns0:c>
      <ns0:c r="C1340" t="inlineStr">
        <ns0:is>
          <ns0:t>run_013</ns0:t>
        </ns0:is>
      </ns0:c>
      <ns0:c r="D1340" t="inlineStr">
        <ns0:is>
          <ns0:t>rand</ns0:t>
        </ns0:is>
      </ns0:c>
      <ns0:c r="E1340" t="inlineStr">
        <ns0:is>
          <ns0:t>gemini-2.5-flash-nothinking</ns0:t>
        </ns0:is>
      </ns0:c>
      <ns0:c r="F1340" t="inlineStr">
        <ns0:is>
          <ns0:t>E0119,E0433</ns0:t>
        </ns0:is>
      </ns0:c>
      <ns0:c r="G1340" t="n">
        <ns0:v>0</ns0:v>
      </ns0:c>
      <ns0:c r="H1340" t="n">
        <ns0:v>2837</ns0:v>
      </ns0:c>
      <ns0:c r="I1340" t="n">
        <ns0:v>353</ns0:v>
      </ns0:c>
      <ns0:c r="J1340" t="n">
        <ns0:v>3190</ns0:v>
      </ns0:c>
      <ns0:c r="K1340" t="n">
        <ns0:v>3</ns0:v>
      </ns0:c>
      <ns0:c r="L1340" t="n">
        <ns0:v>0</ns0:v>
      </ns0:c>
      <ns0:c r="M1340" t="n">
        <ns0:v>45415</ns0:v>
      </ns0:c>
      <ns0:c r="N1340" t="n">
        <ns0:v>481</ns0:v>
      </ns0:c>
      <ns0:c r="O1340" t="n">
        <ns0:v>45896</ns0:v>
      </ns0:c>
      <ns0:c r="P1340" t="n">
        <ns0:v>5</ns0:v>
      </ns0:c>
      <ns0:c r="Q1340">
        <ns0:f>IF(AND(L1340=1,O1340*Calculations!$B$2&lt;=Calculations!$B$10*Calculations!$B$4),1,0)</ns0:f>
        <ns0:v>0</ns0:v>
      </ns0:c>
      <ns0:c r="R1340">
        <ns0:f>IF(AND(L1340=1,O1340*Calculations!$B$2&lt;=Calculations!$B$11*Calculations!$B$4),1,0)</ns0:f>
        <ns0:v>0</ns0:v>
      </ns0:c>
    </ns0:row>
    <ns0:row r="1341">
      <ns0:c r="A1341" t="inlineStr">
        <ns0:is>
          <ns0:t>case_1340</ns0:t>
        </ns0:is>
      </ns0:c>
      <ns0:c r="B1341" t="inlineStr">
        <ns0:is>
          <ns0:t>function_0331</ns0:t>
        </ns0:is>
      </ns0:c>
      <ns0:c r="C1341" t="inlineStr">
        <ns0:is>
          <ns0:t>run_013</ns0:t>
        </ns0:is>
      </ns0:c>
      <ns0:c r="D1341" t="inlineStr">
        <ns0:is>
          <ns0:t>rand</ns0:t>
        </ns0:is>
      </ns0:c>
      <ns0:c r="E1341" t="inlineStr">
        <ns0:is>
          <ns0:t>gemini-2.5-flash-nothinking</ns0:t>
        </ns0:is>
      </ns0:c>
      <ns0:c r="F1341" t="inlineStr">
        <ns0:is>
          <ns0:t>E0433</ns0:t>
        </ns0:is>
      </ns0:c>
      <ns0:c r="G1341" t="n">
        <ns0:v>1</ns0:v>
      </ns0:c>
      <ns0:c r="H1341" t="n">
        <ns0:v>0</ns0:v>
      </ns0:c>
      <ns0:c r="I1341" t="n">
        <ns0:v>0</ns0:v>
      </ns0:c>
      <ns0:c r="J1341" t="n">
        <ns0:v>0</ns0:v>
      </ns0:c>
      <ns0:c r="K1341" t="n">
        <ns0:v>0</ns0:v>
      </ns0:c>
      <ns0:c r="L1341" t="n">
        <ns0:v>1</ns0:v>
      </ns0:c>
      <ns0:c r="M1341" t="n">
        <ns0:v>33055</ns0:v>
      </ns0:c>
      <ns0:c r="N1341" t="n">
        <ns0:v>767</ns0:v>
      </ns0:c>
      <ns0:c r="O1341" t="n">
        <ns0:v>33822</ns0:v>
      </ns0:c>
      <ns0:c r="P1341" t="n">
        <ns0:v>4</ns0:v>
      </ns0:c>
      <ns0:c r="Q1341">
        <ns0:f>IF(AND(L1341=1,O1341*Calculations!$B$2&lt;=Calculations!$B$10*Calculations!$B$4),1,0)</ns0:f>
        <ns0:v>0</ns0:v>
      </ns0:c>
      <ns0:c r="R1341">
        <ns0:f>IF(AND(L1341=1,O1341*Calculations!$B$2&lt;=Calculations!$B$11*Calculations!$B$4),1,0)</ns0:f>
        <ns0:v>1</ns0:v>
      </ns0:c>
    </ns0:row>
    <ns0:row r="1342">
      <ns0:c r="A1342" t="inlineStr">
        <ns0:is>
          <ns0:t>case_1341</ns0:t>
        </ns0:is>
      </ns0:c>
      <ns0:c r="B1342" t="inlineStr">
        <ns0:is>
          <ns0:t>function_0332</ns0:t>
        </ns0:is>
      </ns0:c>
      <ns0:c r="C1342" t="inlineStr">
        <ns0:is>
          <ns0:t>run_013</ns0:t>
        </ns0:is>
      </ns0:c>
      <ns0:c r="D1342" t="inlineStr">
        <ns0:is>
          <ns0:t>rand</ns0:t>
        </ns0:is>
      </ns0:c>
      <ns0:c r="E1342" t="inlineStr">
        <ns0:is>
          <ns0:t>gemini-2.5-flash-nothinking</ns0:t>
        </ns0:is>
      </ns0:c>
      <ns0:c r="F1342" t="inlineStr">
        <ns0:is>
          <ns0:t>E0433</ns0:t>
        </ns0:is>
      </ns0:c>
      <ns0:c r="G1342" t="n">
        <ns0:v>1</ns0:v>
      </ns0:c>
      <ns0:c r="H1342" t="n">
        <ns0:v>0</ns0:v>
      </ns0:c>
      <ns0:c r="I1342" t="n">
        <ns0:v>0</ns0:v>
      </ns0:c>
      <ns0:c r="J1342" t="n">
        <ns0:v>0</ns0:v>
      </ns0:c>
      <ns0:c r="K1342" t="n">
        <ns0:v>0</ns0:v>
      </ns0:c>
      <ns0:c r="L1342" t="n">
        <ns0:v>1</ns0:v>
      </ns0:c>
      <ns0:c r="M1342" t="n">
        <ns0:v>114280</ns0:v>
      </ns0:c>
      <ns0:c r="N1342" t="n">
        <ns0:v>431</ns0:v>
      </ns0:c>
      <ns0:c r="O1342" t="n">
        <ns0:v>114711</ns0:v>
      </ns0:c>
      <ns0:c r="P1342" t="n">
        <ns0:v>4</ns0:v>
      </ns0:c>
      <ns0:c r="Q1342">
        <ns0:f>IF(AND(L1342=1,O1342*Calculations!$B$2&lt;=Calculations!$B$10*Calculations!$B$4),1,0)</ns0:f>
        <ns0:v>0</ns0:v>
      </ns0:c>
      <ns0:c r="R1342">
        <ns0:f>IF(AND(L1342=1,O1342*Calculations!$B$2&lt;=Calculations!$B$11*Calculations!$B$4),1,0)</ns0:f>
        <ns0:v>0</ns0:v>
      </ns0:c>
    </ns0:row>
    <ns0:row r="1343">
      <ns0:c r="A1343" t="inlineStr">
        <ns0:is>
          <ns0:t>case_1342</ns0:t>
        </ns0:is>
      </ns0:c>
      <ns0:c r="B1343" t="inlineStr">
        <ns0:is>
          <ns0:t>function_0333</ns0:t>
        </ns0:is>
      </ns0:c>
      <ns0:c r="C1343" t="inlineStr">
        <ns0:is>
          <ns0:t>run_013</ns0:t>
        </ns0:is>
      </ns0:c>
      <ns0:c r="D1343" t="inlineStr">
        <ns0:is>
          <ns0:t>rand</ns0:t>
        </ns0:is>
      </ns0:c>
      <ns0:c r="E1343" t="inlineStr">
        <ns0:is>
          <ns0:t>gemini-2.5-flash-nothinking</ns0:t>
        </ns0:is>
      </ns0:c>
      <ns0:c r="F1343" t="inlineStr">
        <ns0:is>
          <ns0:t>E0433</ns0:t>
        </ns0:is>
      </ns0:c>
      <ns0:c r="G1343" t="n">
        <ns0:v>1</ns0:v>
      </ns0:c>
      <ns0:c r="H1343" t="n">
        <ns0:v>0</ns0:v>
      </ns0:c>
      <ns0:c r="I1343" t="n">
        <ns0:v>0</ns0:v>
      </ns0:c>
      <ns0:c r="J1343" t="n">
        <ns0:v>0</ns0:v>
      </ns0:c>
      <ns0:c r="K1343" t="n">
        <ns0:v>0</ns0:v>
      </ns0:c>
      <ns0:c r="L1343" t="n">
        <ns0:v>1</ns0:v>
      </ns0:c>
      <ns0:c r="M1343" t="n">
        <ns0:v>105842</ns0:v>
      </ns0:c>
      <ns0:c r="N1343" t="n">
        <ns0:v>834</ns0:v>
      </ns0:c>
      <ns0:c r="O1343" t="n">
        <ns0:v>106676</ns0:v>
      </ns0:c>
      <ns0:c r="P1343" t="n">
        <ns0:v>9</ns0:v>
      </ns0:c>
      <ns0:c r="Q1343">
        <ns0:f>IF(AND(L1343=1,O1343*Calculations!$B$2&lt;=Calculations!$B$10*Calculations!$B$4),1,0)</ns0:f>
        <ns0:v>0</ns0:v>
      </ns0:c>
      <ns0:c r="R1343">
        <ns0:f>IF(AND(L1343=1,O1343*Calculations!$B$2&lt;=Calculations!$B$11*Calculations!$B$4),1,0)</ns0:f>
        <ns0:v>0</ns0:v>
      </ns0:c>
    </ns0:row>
    <ns0:row r="1344">
      <ns0:c r="A1344" t="inlineStr">
        <ns0:is>
          <ns0:t>case_1343</ns0:t>
        </ns0:is>
      </ns0:c>
      <ns0:c r="B1344" t="inlineStr">
        <ns0:is>
          <ns0:t>function_0334</ns0:t>
        </ns0:is>
      </ns0:c>
      <ns0:c r="C1344" t="inlineStr">
        <ns0:is>
          <ns0:t>run_013</ns0:t>
        </ns0:is>
      </ns0:c>
      <ns0:c r="D1344" t="inlineStr">
        <ns0:is>
          <ns0:t>rand</ns0:t>
        </ns0:is>
      </ns0:c>
      <ns0:c r="E1344" t="inlineStr">
        <ns0:is>
          <ns0:t>gemini-2.5-flash-nothinking</ns0:t>
        </ns0:is>
      </ns0:c>
      <ns0:c r="F1344" t="inlineStr">
        <ns0:is>
          <ns0:t>E0560</ns0:t>
        </ns0:is>
      </ns0:c>
      <ns0:c r="G1344" t="n">
        <ns0:v>1</ns0:v>
      </ns0:c>
      <ns0:c r="H1344" t="n">
        <ns0:v>2394</ns0:v>
      </ns0:c>
      <ns0:c r="I1344" t="n">
        <ns0:v>93</ns0:v>
      </ns0:c>
      <ns0:c r="J1344" t="n">
        <ns0:v>2487</ns0:v>
      </ns0:c>
      <ns0:c r="K1344" t="n">
        <ns0:v>1</ns0:v>
      </ns0:c>
      <ns0:c r="L1344" t="n">
        <ns0:v>0</ns0:v>
      </ns0:c>
      <ns0:c r="M1344" t="n">
        <ns0:v>81068</ns0:v>
      </ns0:c>
      <ns0:c r="N1344" t="n">
        <ns0:v>507</ns0:v>
      </ns0:c>
      <ns0:c r="O1344" t="n">
        <ns0:v>81575</ns0:v>
      </ns0:c>
      <ns0:c r="P1344" t="n">
        <ns0:v>4</ns0:v>
      </ns0:c>
      <ns0:c r="Q1344">
        <ns0:f>IF(AND(L1344=1,O1344*Calculations!$B$2&lt;=Calculations!$B$10*Calculations!$B$4),1,0)</ns0:f>
        <ns0:v>0</ns0:v>
      </ns0:c>
      <ns0:c r="R1344">
        <ns0:f>IF(AND(L1344=1,O1344*Calculations!$B$2&lt;=Calculations!$B$11*Calculations!$B$4),1,0)</ns0:f>
        <ns0:v>0</ns0:v>
      </ns0:c>
    </ns0:row>
    <ns0:row r="1345">
      <ns0:c r="A1345" t="inlineStr">
        <ns0:is>
          <ns0:t>case_1344</ns0:t>
        </ns0:is>
      </ns0:c>
      <ns0:c r="B1345" t="inlineStr">
        <ns0:is>
          <ns0:t>function_0335</ns0:t>
        </ns0:is>
      </ns0:c>
      <ns0:c r="C1345" t="inlineStr">
        <ns0:is>
          <ns0:t>run_013</ns0:t>
        </ns0:is>
      </ns0:c>
      <ns0:c r="D1345" t="inlineStr">
        <ns0:is>
          <ns0:t>rand</ns0:t>
        </ns0:is>
      </ns0:c>
      <ns0:c r="E1345" t="inlineStr">
        <ns0:is>
          <ns0:t>gemini-2.5-flash-nothinking</ns0:t>
        </ns0:is>
      </ns0:c>
      <ns0:c r="F1345" t="inlineStr">
        <ns0:is>
          <ns0:t>E0119,E0432</ns0:t>
        </ns0:is>
      </ns0:c>
      <ns0:c r="G1345" t="n">
        <ns0:v>0</ns0:v>
      </ns0:c>
      <ns0:c r="H1345" t="n">
        <ns0:v>7895</ns0:v>
      </ns0:c>
      <ns0:c r="I1345" t="n">
        <ns0:v>430</ns0:v>
      </ns0:c>
      <ns0:c r="J1345" t="n">
        <ns0:v>8325</ns0:v>
      </ns0:c>
      <ns0:c r="K1345" t="n">
        <ns0:v>3</ns0:v>
      </ns0:c>
      <ns0:c r="L1345" t="n">
        <ns0:v>0</ns0:v>
      </ns0:c>
      <ns0:c r="M1345" t="n">
        <ns0:v>30682</ns0:v>
      </ns0:c>
      <ns0:c r="N1345" t="n">
        <ns0:v>759</ns0:v>
      </ns0:c>
      <ns0:c r="O1345" t="n">
        <ns0:v>31441</ns0:v>
      </ns0:c>
      <ns0:c r="P1345" t="n">
        <ns0:v>4</ns0:v>
      </ns0:c>
      <ns0:c r="Q1345">
        <ns0:f>IF(AND(L1345=1,O1345*Calculations!$B$2&lt;=Calculations!$B$10*Calculations!$B$4),1,0)</ns0:f>
        <ns0:v>0</ns0:v>
      </ns0:c>
      <ns0:c r="R1345">
        <ns0:f>IF(AND(L1345=1,O1345*Calculations!$B$2&lt;=Calculations!$B$11*Calculations!$B$4),1,0)</ns0:f>
        <ns0:v>0</ns0:v>
      </ns0:c>
    </ns0:row>
    <ns0:row r="1346">
      <ns0:c r="A1346" t="inlineStr">
        <ns0:is>
          <ns0:t>case_1345</ns0:t>
        </ns0:is>
      </ns0:c>
      <ns0:c r="B1346" t="inlineStr">
        <ns0:is>
          <ns0:t>function_0336</ns0:t>
        </ns0:is>
      </ns0:c>
      <ns0:c r="C1346" t="inlineStr">
        <ns0:is>
          <ns0:t>run_013</ns0:t>
        </ns0:is>
      </ns0:c>
      <ns0:c r="D1346" t="inlineStr">
        <ns0:is>
          <ns0:t>rand</ns0:t>
        </ns0:is>
      </ns0:c>
      <ns0:c r="E1346" t="inlineStr">
        <ns0:is>
          <ns0:t>gemini-2.5-flash-nothinking</ns0:t>
        </ns0:is>
      </ns0:c>
      <ns0:c r="F1346" t="inlineStr">
        <ns0:is>
          <ns0:t>E0433</ns0:t>
        </ns0:is>
      </ns0:c>
      <ns0:c r="G1346" t="n">
        <ns0:v>1</ns0:v>
      </ns0:c>
      <ns0:c r="H1346" t="n">
        <ns0:v>0</ns0:v>
      </ns0:c>
      <ns0:c r="I1346" t="n">
        <ns0:v>0</ns0:v>
      </ns0:c>
      <ns0:c r="J1346" t="n">
        <ns0:v>0</ns0:v>
      </ns0:c>
      <ns0:c r="K1346" t="n">
        <ns0:v>0</ns0:v>
      </ns0:c>
      <ns0:c r="L1346" t="n">
        <ns0:v>1</ns0:v>
      </ns0:c>
      <ns0:c r="M1346" t="n">
        <ns0:v>29178</ns0:v>
      </ns0:c>
      <ns0:c r="N1346" t="n">
        <ns0:v>601</ns0:v>
      </ns0:c>
      <ns0:c r="O1346" t="n">
        <ns0:v>29779</ns0:v>
      </ns0:c>
      <ns0:c r="P1346" t="n">
        <ns0:v>4</ns0:v>
      </ns0:c>
      <ns0:c r="Q1346">
        <ns0:f>IF(AND(L1346=1,O1346*Calculations!$B$2&lt;=Calculations!$B$10*Calculations!$B$4),1,0)</ns0:f>
        <ns0:v>0</ns0:v>
      </ns0:c>
      <ns0:c r="R1346">
        <ns0:f>IF(AND(L1346=1,O1346*Calculations!$B$2&lt;=Calculations!$B$11*Calculations!$B$4),1,0)</ns0:f>
        <ns0:v>1</ns0:v>
      </ns0:c>
    </ns0:row>
    <ns0:row r="1347">
      <ns0:c r="A1347" t="inlineStr">
        <ns0:is>
          <ns0:t>case_1346</ns0:t>
        </ns0:is>
      </ns0:c>
      <ns0:c r="B1347" t="inlineStr">
        <ns0:is>
          <ns0:t>function_0337</ns0:t>
        </ns0:is>
      </ns0:c>
      <ns0:c r="C1347" t="inlineStr">
        <ns0:is>
          <ns0:t>run_013</ns0:t>
        </ns0:is>
      </ns0:c>
      <ns0:c r="D1347" t="inlineStr">
        <ns0:is>
          <ns0:t>rand</ns0:t>
        </ns0:is>
      </ns0:c>
      <ns0:c r="E1347" t="inlineStr">
        <ns0:is>
          <ns0:t>gemini-2.5-flash-nothinking</ns0:t>
        </ns0:is>
      </ns0:c>
      <ns0:c r="F1347" t="inlineStr">
        <ns0:is>
          <ns0:t>E0433</ns0:t>
        </ns0:is>
      </ns0:c>
      <ns0:c r="G1347" t="n">
        <ns0:v>1</ns0:v>
      </ns0:c>
      <ns0:c r="H1347" t="n">
        <ns0:v>0</ns0:v>
      </ns0:c>
      <ns0:c r="I1347" t="n">
        <ns0:v>0</ns0:v>
      </ns0:c>
      <ns0:c r="J1347" t="n">
        <ns0:v>0</ns0:v>
      </ns0:c>
      <ns0:c r="K1347" t="n">
        <ns0:v>0</ns0:v>
      </ns0:c>
      <ns0:c r="L1347" t="n">
        <ns0:v>1</ns0:v>
      </ns0:c>
      <ns0:c r="M1347" t="n">
        <ns0:v>30489</ns0:v>
      </ns0:c>
      <ns0:c r="N1347" t="n">
        <ns0:v>287</ns0:v>
      </ns0:c>
      <ns0:c r="O1347" t="n">
        <ns0:v>30776</ns0:v>
      </ns0:c>
      <ns0:c r="P1347" t="n">
        <ns0:v>4</ns0:v>
      </ns0:c>
      <ns0:c r="Q1347">
        <ns0:f>IF(AND(L1347=1,O1347*Calculations!$B$2&lt;=Calculations!$B$10*Calculations!$B$4),1,0)</ns0:f>
        <ns0:v>0</ns0:v>
      </ns0:c>
      <ns0:c r="R1347">
        <ns0:f>IF(AND(L1347=1,O1347*Calculations!$B$2&lt;=Calculations!$B$11*Calculations!$B$4),1,0)</ns0:f>
        <ns0:v>1</ns0:v>
      </ns0:c>
    </ns0:row>
    <ns0:row r="1348">
      <ns0:c r="A1348" t="inlineStr">
        <ns0:is>
          <ns0:t>case_1347</ns0:t>
        </ns0:is>
      </ns0:c>
      <ns0:c r="B1348" t="inlineStr">
        <ns0:is>
          <ns0:t>function_0338</ns0:t>
        </ns0:is>
      </ns0:c>
      <ns0:c r="C1348" t="inlineStr">
        <ns0:is>
          <ns0:t>run_013</ns0:t>
        </ns0:is>
      </ns0:c>
      <ns0:c r="D1348" t="inlineStr">
        <ns0:is>
          <ns0:t>rand</ns0:t>
        </ns0:is>
      </ns0:c>
      <ns0:c r="E1348" t="inlineStr">
        <ns0:is>
          <ns0:t>gemini-2.5-flash-nothinking</ns0:t>
        </ns0:is>
      </ns0:c>
      <ns0:c r="F1348" t="inlineStr">
        <ns0:is>
          <ns0:t>E0433,E0599</ns0:t>
        </ns0:is>
      </ns0:c>
      <ns0:c r="G1348" t="n">
        <ns0:v>1</ns0:v>
      </ns0:c>
      <ns0:c r="H1348" t="n">
        <ns0:v>809</ns0:v>
      </ns0:c>
      <ns0:c r="I1348" t="n">
        <ns0:v>100</ns0:v>
      </ns0:c>
      <ns0:c r="J1348" t="n">
        <ns0:v>909</ns0:v>
      </ns0:c>
      <ns0:c r="K1348" t="n">
        <ns0:v>1</ns0:v>
      </ns0:c>
      <ns0:c r="L1348" t="n">
        <ns0:v>1</ns0:v>
      </ns0:c>
      <ns0:c r="M1348" t="n">
        <ns0:v>38127</ns0:v>
      </ns0:c>
      <ns0:c r="N1348" t="n">
        <ns0:v>723</ns0:v>
      </ns0:c>
      <ns0:c r="O1348" t="n">
        <ns0:v>38850</ns0:v>
      </ns0:c>
      <ns0:c r="P1348" t="n">
        <ns0:v>5</ns0:v>
      </ns0:c>
      <ns0:c r="Q1348">
        <ns0:f>IF(AND(L1348=1,O1348*Calculations!$B$2&lt;=Calculations!$B$10*Calculations!$B$4),1,0)</ns0:f>
        <ns0:v>0</ns0:v>
      </ns0:c>
      <ns0:c r="R1348">
        <ns0:f>IF(AND(L1348=1,O1348*Calculations!$B$2&lt;=Calculations!$B$11*Calculations!$B$4),1,0)</ns0:f>
        <ns0:v>1</ns0:v>
      </ns0:c>
    </ns0:row>
    <ns0:row r="1349">
      <ns0:c r="A1349" t="inlineStr">
        <ns0:is>
          <ns0:t>case_1348</ns0:t>
        </ns0:is>
      </ns0:c>
      <ns0:c r="B1349" t="inlineStr">
        <ns0:is>
          <ns0:t>function_0339</ns0:t>
        </ns0:is>
      </ns0:c>
      <ns0:c r="C1349" t="inlineStr">
        <ns0:is>
          <ns0:t>run_013</ns0:t>
        </ns0:is>
      </ns0:c>
      <ns0:c r="D1349" t="inlineStr">
        <ns0:is>
          <ns0:t>rand</ns0:t>
        </ns0:is>
      </ns0:c>
      <ns0:c r="E1349" t="inlineStr">
        <ns0:is>
          <ns0:t>gemini-2.5-flash-nothinking</ns0:t>
        </ns0:is>
      </ns0:c>
      <ns0:c r="F1349" t="inlineStr">
        <ns0:is>
          <ns0:t>E0433</ns0:t>
        </ns0:is>
      </ns0:c>
      <ns0:c r="G1349" t="n">
        <ns0:v>1</ns0:v>
      </ns0:c>
      <ns0:c r="H1349" t="n">
        <ns0:v>0</ns0:v>
      </ns0:c>
      <ns0:c r="I1349" t="n">
        <ns0:v>0</ns0:v>
      </ns0:c>
      <ns0:c r="J1349" t="n">
        <ns0:v>0</ns0:v>
      </ns0:c>
      <ns0:c r="K1349" t="n">
        <ns0:v>0</ns0:v>
      </ns0:c>
      <ns0:c r="L1349" t="n">
        <ns0:v>1</ns0:v>
      </ns0:c>
      <ns0:c r="M1349" t="n">
        <ns0:v>142284</ns0:v>
      </ns0:c>
      <ns0:c r="N1349" t="n">
        <ns0:v>340</ns0:v>
      </ns0:c>
      <ns0:c r="O1349" t="n">
        <ns0:v>142624</ns0:v>
      </ns0:c>
      <ns0:c r="P1349" t="n">
        <ns0:v>5</ns0:v>
      </ns0:c>
      <ns0:c r="Q1349">
        <ns0:f>IF(AND(L1349=1,O1349*Calculations!$B$2&lt;=Calculations!$B$10*Calculations!$B$4),1,0)</ns0:f>
        <ns0:v>0</ns0:v>
      </ns0:c>
      <ns0:c r="R1349">
        <ns0:f>IF(AND(L1349=1,O1349*Calculations!$B$2&lt;=Calculations!$B$11*Calculations!$B$4),1,0)</ns0:f>
        <ns0:v>0</ns0:v>
      </ns0:c>
    </ns0:row>
    <ns0:row r="1350">
      <ns0:c r="A1350" t="inlineStr">
        <ns0:is>
          <ns0:t>case_1349</ns0:t>
        </ns0:is>
      </ns0:c>
      <ns0:c r="B1350" t="inlineStr">
        <ns0:is>
          <ns0:t>function_0340</ns0:t>
        </ns0:is>
      </ns0:c>
      <ns0:c r="C1350" t="inlineStr">
        <ns0:is>
          <ns0:t>run_013</ns0:t>
        </ns0:is>
      </ns0:c>
      <ns0:c r="D1350" t="inlineStr">
        <ns0:is>
          <ns0:t>rand</ns0:t>
        </ns0:is>
      </ns0:c>
      <ns0:c r="E1350" t="inlineStr">
        <ns0:is>
          <ns0:t>gemini-2.5-flash-nothinking</ns0:t>
        </ns0:is>
      </ns0:c>
      <ns0:c r="F1350" t="inlineStr">
        <ns0:is>
          <ns0:t>E0433</ns0:t>
        </ns0:is>
      </ns0:c>
      <ns0:c r="G1350" t="n">
        <ns0:v>1</ns0:v>
      </ns0:c>
      <ns0:c r="H1350" t="n">
        <ns0:v>0</ns0:v>
      </ns0:c>
      <ns0:c r="I1350" t="n">
        <ns0:v>0</ns0:v>
      </ns0:c>
      <ns0:c r="J1350" t="n">
        <ns0:v>0</ns0:v>
      </ns0:c>
      <ns0:c r="K1350" t="n">
        <ns0:v>0</ns0:v>
      </ns0:c>
      <ns0:c r="L1350" t="n">
        <ns0:v>1</ns0:v>
      </ns0:c>
      <ns0:c r="M1350" t="n">
        <ns0:v>54923</ns0:v>
      </ns0:c>
      <ns0:c r="N1350" t="n">
        <ns0:v>457</ns0:v>
      </ns0:c>
      <ns0:c r="O1350" t="n">
        <ns0:v>55380</ns0:v>
      </ns0:c>
      <ns0:c r="P1350" t="n">
        <ns0:v>5</ns0:v>
      </ns0:c>
      <ns0:c r="Q1350">
        <ns0:f>IF(AND(L1350=1,O1350*Calculations!$B$2&lt;=Calculations!$B$10*Calculations!$B$4),1,0)</ns0:f>
        <ns0:v>0</ns0:v>
      </ns0:c>
      <ns0:c r="R1350">
        <ns0:f>IF(AND(L1350=1,O1350*Calculations!$B$2&lt;=Calculations!$B$11*Calculations!$B$4),1,0)</ns0:f>
        <ns0:v>0</ns0:v>
      </ns0:c>
    </ns0:row>
    <ns0:row r="1351">
      <ns0:c r="A1351" t="inlineStr">
        <ns0:is>
          <ns0:t>case_1350</ns0:t>
        </ns0:is>
      </ns0:c>
      <ns0:c r="B1351" t="inlineStr">
        <ns0:is>
          <ns0:t>function_0341</ns0:t>
        </ns0:is>
      </ns0:c>
      <ns0:c r="C1351" t="inlineStr">
        <ns0:is>
          <ns0:t>run_013</ns0:t>
        </ns0:is>
      </ns0:c>
      <ns0:c r="D1351" t="inlineStr">
        <ns0:is>
          <ns0:t>rand</ns0:t>
        </ns0:is>
      </ns0:c>
      <ns0:c r="E1351" t="inlineStr">
        <ns0:is>
          <ns0:t>gemini-2.5-flash-nothinking</ns0:t>
        </ns0:is>
      </ns0:c>
      <ns0:c r="F1351" t="inlineStr">
        <ns0:is>
          <ns0:t>E0433</ns0:t>
        </ns0:is>
      </ns0:c>
      <ns0:c r="G1351" t="n">
        <ns0:v>1</ns0:v>
      </ns0:c>
      <ns0:c r="H1351" t="n">
        <ns0:v>0</ns0:v>
      </ns0:c>
      <ns0:c r="I1351" t="n">
        <ns0:v>0</ns0:v>
      </ns0:c>
      <ns0:c r="J1351" t="n">
        <ns0:v>0</ns0:v>
      </ns0:c>
      <ns0:c r="K1351" t="n">
        <ns0:v>0</ns0:v>
      </ns0:c>
      <ns0:c r="L1351" t="n">
        <ns0:v>1</ns0:v>
      </ns0:c>
      <ns0:c r="M1351" t="n">
        <ns0:v>37252</ns0:v>
      </ns0:c>
      <ns0:c r="N1351" t="n">
        <ns0:v>538</ns0:v>
      </ns0:c>
      <ns0:c r="O1351" t="n">
        <ns0:v>37790</ns0:v>
      </ns0:c>
      <ns0:c r="P1351" t="n">
        <ns0:v>4</ns0:v>
      </ns0:c>
      <ns0:c r="Q1351">
        <ns0:f>IF(AND(L1351=1,O1351*Calculations!$B$2&lt;=Calculations!$B$10*Calculations!$B$4),1,0)</ns0:f>
        <ns0:v>0</ns0:v>
      </ns0:c>
      <ns0:c r="R1351">
        <ns0:f>IF(AND(L1351=1,O1351*Calculations!$B$2&lt;=Calculations!$B$11*Calculations!$B$4),1,0)</ns0:f>
        <ns0:v>1</ns0:v>
      </ns0:c>
    </ns0:row>
    <ns0:row r="1352">
      <ns0:c r="A1352" t="inlineStr">
        <ns0:is>
          <ns0:t>case_1351</ns0:t>
        </ns0:is>
      </ns0:c>
      <ns0:c r="B1352" t="inlineStr">
        <ns0:is>
          <ns0:t>function_0342</ns0:t>
        </ns0:is>
      </ns0:c>
      <ns0:c r="C1352" t="inlineStr">
        <ns0:is>
          <ns0:t>run_013</ns0:t>
        </ns0:is>
      </ns0:c>
      <ns0:c r="D1352" t="inlineStr">
        <ns0:is>
          <ns0:t>rand</ns0:t>
        </ns0:is>
      </ns0:c>
      <ns0:c r="E1352" t="inlineStr">
        <ns0:is>
          <ns0:t>gemini-2.5-flash-nothinking</ns0:t>
        </ns0:is>
      </ns0:c>
      <ns0:c r="F1352" t="inlineStr">
        <ns0:is>
          <ns0:t>E0433</ns0:t>
        </ns0:is>
      </ns0:c>
      <ns0:c r="G1352" t="n">
        <ns0:v>1</ns0:v>
      </ns0:c>
      <ns0:c r="H1352" t="n">
        <ns0:v>2578</ns0:v>
      </ns0:c>
      <ns0:c r="I1352" t="n">
        <ns0:v>148</ns0:v>
      </ns0:c>
      <ns0:c r="J1352" t="n">
        <ns0:v>2726</ns0:v>
      </ns0:c>
      <ns0:c r="K1352" t="n">
        <ns0:v>1</ns0:v>
      </ns0:c>
      <ns0:c r="L1352" t="n">
        <ns0:v>1</ns0:v>
      </ns0:c>
      <ns0:c r="M1352" t="n">
        <ns0:v>100688</ns0:v>
      </ns0:c>
      <ns0:c r="N1352" t="n">
        <ns0:v>685</ns0:v>
      </ns0:c>
      <ns0:c r="O1352" t="n">
        <ns0:v>101373</ns0:v>
      </ns0:c>
      <ns0:c r="P1352" t="n">
        <ns0:v>12</ns0:v>
      </ns0:c>
      <ns0:c r="Q1352">
        <ns0:f>IF(AND(L1352=1,O1352*Calculations!$B$2&lt;=Calculations!$B$10*Calculations!$B$4),1,0)</ns0:f>
        <ns0:v>0</ns0:v>
      </ns0:c>
      <ns0:c r="R1352">
        <ns0:f>IF(AND(L1352=1,O1352*Calculations!$B$2&lt;=Calculations!$B$11*Calculations!$B$4),1,0)</ns0:f>
        <ns0:v>0</ns0:v>
      </ns0:c>
    </ns0:row>
    <ns0:row r="1353">
      <ns0:c r="A1353" t="inlineStr">
        <ns0:is>
          <ns0:t>case_1352</ns0:t>
        </ns0:is>
      </ns0:c>
      <ns0:c r="B1353" t="inlineStr">
        <ns0:is>
          <ns0:t>function_0342</ns0:t>
        </ns0:is>
      </ns0:c>
      <ns0:c r="C1353" t="inlineStr">
        <ns0:is>
          <ns0:t>run_013</ns0:t>
        </ns0:is>
      </ns0:c>
      <ns0:c r="D1353" t="inlineStr">
        <ns0:is>
          <ns0:t>rand</ns0:t>
        </ns0:is>
      </ns0:c>
      <ns0:c r="E1353" t="inlineStr">
        <ns0:is>
          <ns0:t>gemini-2.5-flash-nothinking</ns0:t>
        </ns0:is>
      </ns0:c>
      <ns0:c r="F1353" t="inlineStr">
        <ns0:is>
          <ns0:t>E0560</ns0:t>
        </ns0:is>
      </ns0:c>
      <ns0:c r="G1353" t="n">
        <ns0:v>1</ns0:v>
      </ns0:c>
      <ns0:c r="H1353" t="n">
        <ns0:v>1344</ns0:v>
      </ns0:c>
      <ns0:c r="I1353" t="n">
        <ns0:v>97</ns0:v>
      </ns0:c>
      <ns0:c r="J1353" t="n">
        <ns0:v>1441</ns0:v>
      </ns0:c>
      <ns0:c r="K1353" t="n">
        <ns0:v>1</ns0:v>
      </ns0:c>
      <ns0:c r="L1353" t="n">
        <ns0:v>1</ns0:v>
      </ns0:c>
      <ns0:c r="M1353" t="n">
        <ns0:v>84713</ns0:v>
      </ns0:c>
      <ns0:c r="N1353" t="n">
        <ns0:v>927</ns0:v>
      </ns0:c>
      <ns0:c r="O1353" t="n">
        <ns0:v>85640</ns0:v>
      </ns0:c>
      <ns0:c r="P1353" t="n">
        <ns0:v>6</ns0:v>
      </ns0:c>
      <ns0:c r="Q1353">
        <ns0:f>IF(AND(L1353=1,O1353*Calculations!$B$2&lt;=Calculations!$B$10*Calculations!$B$4),1,0)</ns0:f>
        <ns0:v>0</ns0:v>
      </ns0:c>
      <ns0:c r="R1353">
        <ns0:f>IF(AND(L1353=1,O1353*Calculations!$B$2&lt;=Calculations!$B$11*Calculations!$B$4),1,0)</ns0:f>
        <ns0:v>0</ns0:v>
      </ns0:c>
    </ns0:row>
    <ns0:row r="1354">
      <ns0:c r="A1354" t="inlineStr">
        <ns0:is>
          <ns0:t>case_1353</ns0:t>
        </ns0:is>
      </ns0:c>
      <ns0:c r="B1354" t="inlineStr">
        <ns0:is>
          <ns0:t>function_0343</ns0:t>
        </ns0:is>
      </ns0:c>
      <ns0:c r="C1354" t="inlineStr">
        <ns0:is>
          <ns0:t>run_013</ns0:t>
        </ns0:is>
      </ns0:c>
      <ns0:c r="D1354" t="inlineStr">
        <ns0:is>
          <ns0:t>rand</ns0:t>
        </ns0:is>
      </ns0:c>
      <ns0:c r="E1354" t="inlineStr">
        <ns0:is>
          <ns0:t>gemini-2.5-flash-nothinking</ns0:t>
        </ns0:is>
      </ns0:c>
      <ns0:c r="F1354" t="inlineStr">
        <ns0:is>
          <ns0:t>E0432</ns0:t>
        </ns0:is>
      </ns0:c>
      <ns0:c r="G1354" t="n">
        <ns0:v>1</ns0:v>
      </ns0:c>
      <ns0:c r="H1354" t="n">
        <ns0:v>0</ns0:v>
      </ns0:c>
      <ns0:c r="I1354" t="n">
        <ns0:v>0</ns0:v>
      </ns0:c>
      <ns0:c r="J1354" t="n">
        <ns0:v>0</ns0:v>
      </ns0:c>
      <ns0:c r="K1354" t="n">
        <ns0:v>0</ns0:v>
      </ns0:c>
      <ns0:c r="L1354" t="n">
        <ns0:v>1</ns0:v>
      </ns0:c>
      <ns0:c r="M1354" t="n">
        <ns0:v>21157</ns0:v>
      </ns0:c>
      <ns0:c r="N1354" t="n">
        <ns0:v>413</ns0:v>
      </ns0:c>
      <ns0:c r="O1354" t="n">
        <ns0:v>21570</ns0:v>
      </ns0:c>
      <ns0:c r="P1354" t="n">
        <ns0:v>3</ns0:v>
      </ns0:c>
      <ns0:c r="Q1354">
        <ns0:f>IF(AND(L1354=1,O1354*Calculations!$B$2&lt;=Calculations!$B$10*Calculations!$B$4),1,0)</ns0:f>
        <ns0:v>1</ns0:v>
      </ns0:c>
      <ns0:c r="R1354">
        <ns0:f>IF(AND(L1354=1,O1354*Calculations!$B$2&lt;=Calculations!$B$11*Calculations!$B$4),1,0)</ns0:f>
        <ns0:v>1</ns0:v>
      </ns0:c>
    </ns0:row>
    <ns0:row r="1355">
      <ns0:c r="A1355" t="inlineStr">
        <ns0:is>
          <ns0:t>case_1354</ns0:t>
        </ns0:is>
      </ns0:c>
      <ns0:c r="B1355" t="inlineStr">
        <ns0:is>
          <ns0:t>function_0344</ns0:t>
        </ns0:is>
      </ns0:c>
      <ns0:c r="C1355" t="inlineStr">
        <ns0:is>
          <ns0:t>run_013</ns0:t>
        </ns0:is>
      </ns0:c>
      <ns0:c r="D1355" t="inlineStr">
        <ns0:is>
          <ns0:t>rand</ns0:t>
        </ns0:is>
      </ns0:c>
      <ns0:c r="E1355" t="inlineStr">
        <ns0:is>
          <ns0:t>gemini-2.5-flash-nothinking</ns0:t>
        </ns0:is>
      </ns0:c>
      <ns0:c r="F1355" t="inlineStr">
        <ns0:is>
          <ns0:t>E0432,E0433</ns0:t>
        </ns0:is>
      </ns0:c>
      <ns0:c r="G1355" t="n">
        <ns0:v>1</ns0:v>
      </ns0:c>
      <ns0:c r="H1355" t="n">
        <ns0:v>0</ns0:v>
      </ns0:c>
      <ns0:c r="I1355" t="n">
        <ns0:v>0</ns0:v>
      </ns0:c>
      <ns0:c r="J1355" t="n">
        <ns0:v>0</ns0:v>
      </ns0:c>
      <ns0:c r="K1355" t="n">
        <ns0:v>0</ns0:v>
      </ns0:c>
      <ns0:c r="L1355" t="n">
        <ns0:v>1</ns0:v>
      </ns0:c>
      <ns0:c r="M1355" t="n">
        <ns0:v>243470</ns0:v>
      </ns0:c>
      <ns0:c r="N1355" t="n">
        <ns0:v>1727</ns0:v>
      </ns0:c>
      <ns0:c r="O1355" t="n">
        <ns0:v>245197</ns0:v>
      </ns0:c>
      <ns0:c r="P1355" t="n">
        <ns0:v>20</ns0:v>
      </ns0:c>
      <ns0:c r="Q1355">
        <ns0:f>IF(AND(L1355=1,O1355*Calculations!$B$2&lt;=Calculations!$B$10*Calculations!$B$4),1,0)</ns0:f>
        <ns0:v>0</ns0:v>
      </ns0:c>
      <ns0:c r="R1355">
        <ns0:f>IF(AND(L1355=1,O1355*Calculations!$B$2&lt;=Calculations!$B$11*Calculations!$B$4),1,0)</ns0:f>
        <ns0:v>0</ns0:v>
      </ns0:c>
    </ns0:row>
    <ns0:row r="1356">
      <ns0:c r="A1356" t="inlineStr">
        <ns0:is>
          <ns0:t>case_1355</ns0:t>
        </ns0:is>
      </ns0:c>
      <ns0:c r="B1356" t="inlineStr">
        <ns0:is>
          <ns0:t>function_0345</ns0:t>
        </ns0:is>
      </ns0:c>
      <ns0:c r="C1356" t="inlineStr">
        <ns0:is>
          <ns0:t>run_013</ns0:t>
        </ns0:is>
      </ns0:c>
      <ns0:c r="D1356" t="inlineStr">
        <ns0:is>
          <ns0:t>rand</ns0:t>
        </ns0:is>
      </ns0:c>
      <ns0:c r="E1356" t="inlineStr">
        <ns0:is>
          <ns0:t>gemini-2.5-flash-nothinking</ns0:t>
        </ns0:is>
      </ns0:c>
      <ns0:c r="F1356" t="inlineStr">
        <ns0:is>
          <ns0:t>E0119,E0433</ns0:t>
        </ns0:is>
      </ns0:c>
      <ns0:c r="G1356" t="n">
        <ns0:v>0</ns0:v>
      </ns0:c>
      <ns0:c r="H1356" t="n">
        <ns0:v>27675</ns0:v>
      </ns0:c>
      <ns0:c r="I1356" t="n">
        <ns0:v>3855</ns0:v>
      </ns0:c>
      <ns0:c r="J1356" t="n">
        <ns0:v>31530</ns0:v>
      </ns0:c>
      <ns0:c r="K1356" t="n">
        <ns0:v>12</ns0:v>
      </ns0:c>
      <ns0:c r="L1356" t="n">
        <ns0:v>1</ns0:v>
      </ns0:c>
      <ns0:c r="M1356" t="n">
        <ns0:v>81592</ns0:v>
      </ns0:c>
      <ns0:c r="N1356" t="n">
        <ns0:v>1282</ns0:v>
      </ns0:c>
      <ns0:c r="O1356" t="n">
        <ns0:v>82874</ns0:v>
      </ns0:c>
      <ns0:c r="P1356" t="n">
        <ns0:v>8</ns0:v>
      </ns0:c>
      <ns0:c r="Q1356">
        <ns0:f>IF(AND(L1356=1,O1356*Calculations!$B$2&lt;=Calculations!$B$10*Calculations!$B$4),1,0)</ns0:f>
        <ns0:v>0</ns0:v>
      </ns0:c>
      <ns0:c r="R1356">
        <ns0:f>IF(AND(L1356=1,O1356*Calculations!$B$2&lt;=Calculations!$B$11*Calculations!$B$4),1,0)</ns0:f>
        <ns0:v>0</ns0:v>
      </ns0:c>
    </ns0:row>
    <ns0:row r="1357">
      <ns0:c r="A1357" t="inlineStr">
        <ns0:is>
          <ns0:t>case_1356</ns0:t>
        </ns0:is>
      </ns0:c>
      <ns0:c r="B1357" t="inlineStr">
        <ns0:is>
          <ns0:t>function_0346</ns0:t>
        </ns0:is>
      </ns0:c>
      <ns0:c r="C1357" t="inlineStr">
        <ns0:is>
          <ns0:t>run_013</ns0:t>
        </ns0:is>
      </ns0:c>
      <ns0:c r="D1357" t="inlineStr">
        <ns0:is>
          <ns0:t>rand</ns0:t>
        </ns0:is>
      </ns0:c>
      <ns0:c r="E1357" t="inlineStr">
        <ns0:is>
          <ns0:t>gemini-2.5-flash-nothinking</ns0:t>
        </ns0:is>
      </ns0:c>
      <ns0:c r="F1357" t="inlineStr">
        <ns0:is>
          <ns0:t>E0433</ns0:t>
        </ns0:is>
      </ns0:c>
      <ns0:c r="G1357" t="n">
        <ns0:v>1</ns0:v>
      </ns0:c>
      <ns0:c r="H1357" t="n">
        <ns0:v>0</ns0:v>
      </ns0:c>
      <ns0:c r="I1357" t="n">
        <ns0:v>0</ns0:v>
      </ns0:c>
      <ns0:c r="J1357" t="n">
        <ns0:v>0</ns0:v>
      </ns0:c>
      <ns0:c r="K1357" t="n">
        <ns0:v>0</ns0:v>
      </ns0:c>
      <ns0:c r="L1357" t="n">
        <ns0:v>1</ns0:v>
      </ns0:c>
      <ns0:c r="M1357" t="n">
        <ns0:v>36385</ns0:v>
      </ns0:c>
      <ns0:c r="N1357" t="n">
        <ns0:v>559</ns0:v>
      </ns0:c>
      <ns0:c r="O1357" t="n">
        <ns0:v>36944</ns0:v>
      </ns0:c>
      <ns0:c r="P1357" t="n">
        <ns0:v>5</ns0:v>
      </ns0:c>
      <ns0:c r="Q1357">
        <ns0:f>IF(AND(L1357=1,O1357*Calculations!$B$2&lt;=Calculations!$B$10*Calculations!$B$4),1,0)</ns0:f>
        <ns0:v>0</ns0:v>
      </ns0:c>
      <ns0:c r="R1357">
        <ns0:f>IF(AND(L1357=1,O1357*Calculations!$B$2&lt;=Calculations!$B$11*Calculations!$B$4),1,0)</ns0:f>
        <ns0:v>1</ns0:v>
      </ns0:c>
    </ns0:row>
    <ns0:row r="1358">
      <ns0:c r="A1358" t="inlineStr">
        <ns0:is>
          <ns0:t>case_1357</ns0:t>
        </ns0:is>
      </ns0:c>
      <ns0:c r="B1358" t="inlineStr">
        <ns0:is>
          <ns0:t>function_0347</ns0:t>
        </ns0:is>
      </ns0:c>
      <ns0:c r="C1358" t="inlineStr">
        <ns0:is>
          <ns0:t>run_013</ns0:t>
        </ns0:is>
      </ns0:c>
      <ns0:c r="D1358" t="inlineStr">
        <ns0:is>
          <ns0:t>rand</ns0:t>
        </ns0:is>
      </ns0:c>
      <ns0:c r="E1358" t="inlineStr">
        <ns0:is>
          <ns0:t>gemini-2.5-flash-nothinking</ns0:t>
        </ns0:is>
      </ns0:c>
      <ns0:c r="F1358" t="inlineStr">
        <ns0:is>
          <ns0:t>E0432,E0433</ns0:t>
        </ns0:is>
      </ns0:c>
      <ns0:c r="G1358" t="n">
        <ns0:v>1</ns0:v>
      </ns0:c>
      <ns0:c r="H1358" t="n">
        <ns0:v>0</ns0:v>
      </ns0:c>
      <ns0:c r="I1358" t="n">
        <ns0:v>0</ns0:v>
      </ns0:c>
      <ns0:c r="J1358" t="n">
        <ns0:v>0</ns0:v>
      </ns0:c>
      <ns0:c r="K1358" t="n">
        <ns0:v>0</ns0:v>
      </ns0:c>
      <ns0:c r="L1358" t="n">
        <ns0:v>1</ns0:v>
      </ns0:c>
      <ns0:c r="M1358" t="n">
        <ns0:v>53822</ns0:v>
      </ns0:c>
      <ns0:c r="N1358" t="n">
        <ns0:v>1011</ns0:v>
      </ns0:c>
      <ns0:c r="O1358" t="n">
        <ns0:v>54833</ns0:v>
      </ns0:c>
      <ns0:c r="P1358" t="n">
        <ns0:v>6</ns0:v>
      </ns0:c>
      <ns0:c r="Q1358">
        <ns0:f>IF(AND(L1358=1,O1358*Calculations!$B$2&lt;=Calculations!$B$10*Calculations!$B$4),1,0)</ns0:f>
        <ns0:v>0</ns0:v>
      </ns0:c>
      <ns0:c r="R1358">
        <ns0:f>IF(AND(L1358=1,O1358*Calculations!$B$2&lt;=Calculations!$B$11*Calculations!$B$4),1,0)</ns0:f>
        <ns0:v>0</ns0:v>
      </ns0:c>
    </ns0:row>
    <ns0:row r="1359">
      <ns0:c r="A1359" t="inlineStr">
        <ns0:is>
          <ns0:t>case_1358</ns0:t>
        </ns0:is>
      </ns0:c>
      <ns0:c r="B1359" t="inlineStr">
        <ns0:is>
          <ns0:t>function_0348</ns0:t>
        </ns0:is>
      </ns0:c>
      <ns0:c r="C1359" t="inlineStr">
        <ns0:is>
          <ns0:t>run_013</ns0:t>
        </ns0:is>
      </ns0:c>
      <ns0:c r="D1359" t="inlineStr">
        <ns0:is>
          <ns0:t>rand</ns0:t>
        </ns0:is>
      </ns0:c>
      <ns0:c r="E1359" t="inlineStr">
        <ns0:is>
          <ns0:t>gemini-2.5-flash-nothinking</ns0:t>
        </ns0:is>
      </ns0:c>
      <ns0:c r="F1359" t="inlineStr">
        <ns0:is>
          <ns0:t>E0433</ns0:t>
        </ns0:is>
      </ns0:c>
      <ns0:c r="G1359" t="n">
        <ns0:v>1</ns0:v>
      </ns0:c>
      <ns0:c r="H1359" t="n">
        <ns0:v>0</ns0:v>
      </ns0:c>
      <ns0:c r="I1359" t="n">
        <ns0:v>0</ns0:v>
      </ns0:c>
      <ns0:c r="J1359" t="n">
        <ns0:v>0</ns0:v>
      </ns0:c>
      <ns0:c r="K1359" t="n">
        <ns0:v>0</ns0:v>
      </ns0:c>
      <ns0:c r="L1359" t="n">
        <ns0:v>1</ns0:v>
      </ns0:c>
      <ns0:c r="M1359" t="n">
        <ns0:v>57213</ns0:v>
      </ns0:c>
      <ns0:c r="N1359" t="n">
        <ns0:v>429</ns0:v>
      </ns0:c>
      <ns0:c r="O1359" t="n">
        <ns0:v>57642</ns0:v>
      </ns0:c>
      <ns0:c r="P1359" t="n">
        <ns0:v>7</ns0:v>
      </ns0:c>
      <ns0:c r="Q1359">
        <ns0:f>IF(AND(L1359=1,O1359*Calculations!$B$2&lt;=Calculations!$B$10*Calculations!$B$4),1,0)</ns0:f>
        <ns0:v>0</ns0:v>
      </ns0:c>
      <ns0:c r="R1359">
        <ns0:f>IF(AND(L1359=1,O1359*Calculations!$B$2&lt;=Calculations!$B$11*Calculations!$B$4),1,0)</ns0:f>
        <ns0:v>0</ns0:v>
      </ns0:c>
    </ns0:row>
    <ns0:row r="1360">
      <ns0:c r="A1360" t="inlineStr">
        <ns0:is>
          <ns0:t>case_1359</ns0:t>
        </ns0:is>
      </ns0:c>
      <ns0:c r="B1360" t="inlineStr">
        <ns0:is>
          <ns0:t>function_0349</ns0:t>
        </ns0:is>
      </ns0:c>
      <ns0:c r="C1360" t="inlineStr">
        <ns0:is>
          <ns0:t>run_013</ns0:t>
        </ns0:is>
      </ns0:c>
      <ns0:c r="D1360" t="inlineStr">
        <ns0:is>
          <ns0:t>rand</ns0:t>
        </ns0:is>
      </ns0:c>
      <ns0:c r="E1360" t="inlineStr">
        <ns0:is>
          <ns0:t>gemini-2.5-flash-nothinking</ns0:t>
        </ns0:is>
      </ns0:c>
      <ns0:c r="F1360" t="inlineStr">
        <ns0:is>
          <ns0:t>E0433</ns0:t>
        </ns0:is>
      </ns0:c>
      <ns0:c r="G1360" t="n">
        <ns0:v>1</ns0:v>
      </ns0:c>
      <ns0:c r="H1360" t="n">
        <ns0:v>0</ns0:v>
      </ns0:c>
      <ns0:c r="I1360" t="n">
        <ns0:v>0</ns0:v>
      </ns0:c>
      <ns0:c r="J1360" t="n">
        <ns0:v>0</ns0:v>
      </ns0:c>
      <ns0:c r="K1360" t="n">
        <ns0:v>0</ns0:v>
      </ns0:c>
      <ns0:c r="L1360" t="n">
        <ns0:v>1</ns0:v>
      </ns0:c>
      <ns0:c r="M1360" t="n">
        <ns0:v>43803</ns0:v>
      </ns0:c>
      <ns0:c r="N1360" t="n">
        <ns0:v>722</ns0:v>
      </ns0:c>
      <ns0:c r="O1360" t="n">
        <ns0:v>44525</ns0:v>
      </ns0:c>
      <ns0:c r="P1360" t="n">
        <ns0:v>5</ns0:v>
      </ns0:c>
      <ns0:c r="Q1360">
        <ns0:f>IF(AND(L1360=1,O1360*Calculations!$B$2&lt;=Calculations!$B$10*Calculations!$B$4),1,0)</ns0:f>
        <ns0:v>0</ns0:v>
      </ns0:c>
      <ns0:c r="R1360">
        <ns0:f>IF(AND(L1360=1,O1360*Calculations!$B$2&lt;=Calculations!$B$11*Calculations!$B$4),1,0)</ns0:f>
        <ns0:v>1</ns0:v>
      </ns0:c>
    </ns0:row>
    <ns0:row r="1361">
      <ns0:c r="A1361" t="inlineStr">
        <ns0:is>
          <ns0:t>case_1360</ns0:t>
        </ns0:is>
      </ns0:c>
      <ns0:c r="B1361" t="inlineStr">
        <ns0:is>
          <ns0:t>function_0350</ns0:t>
        </ns0:is>
      </ns0:c>
      <ns0:c r="C1361" t="inlineStr">
        <ns0:is>
          <ns0:t>run_013</ns0:t>
        </ns0:is>
      </ns0:c>
      <ns0:c r="D1361" t="inlineStr">
        <ns0:is>
          <ns0:t>rand</ns0:t>
        </ns0:is>
      </ns0:c>
      <ns0:c r="E1361" t="inlineStr">
        <ns0:is>
          <ns0:t>gemini-2.5-flash-nothinking</ns0:t>
        </ns0:is>
      </ns0:c>
      <ns0:c r="F1361" t="inlineStr">
        <ns0:is>
          <ns0:t>E0433</ns0:t>
        </ns0:is>
      </ns0:c>
      <ns0:c r="G1361" t="n">
        <ns0:v>1</ns0:v>
      </ns0:c>
      <ns0:c r="H1361" t="n">
        <ns0:v>0</ns0:v>
      </ns0:c>
      <ns0:c r="I1361" t="n">
        <ns0:v>0</ns0:v>
      </ns0:c>
      <ns0:c r="J1361" t="n">
        <ns0:v>0</ns0:v>
      </ns0:c>
      <ns0:c r="K1361" t="n">
        <ns0:v>0</ns0:v>
      </ns0:c>
      <ns0:c r="L1361" t="n">
        <ns0:v>1</ns0:v>
      </ns0:c>
      <ns0:c r="M1361" t="n">
        <ns0:v>204744</ns0:v>
      </ns0:c>
      <ns0:c r="N1361" t="n">
        <ns0:v>4492</ns0:v>
      </ns0:c>
      <ns0:c r="O1361" t="n">
        <ns0:v>209236</ns0:v>
      </ns0:c>
      <ns0:c r="P1361" t="n">
        <ns0:v>14</ns0:v>
      </ns0:c>
      <ns0:c r="Q1361">
        <ns0:f>IF(AND(L1361=1,O1361*Calculations!$B$2&lt;=Calculations!$B$10*Calculations!$B$4),1,0)</ns0:f>
        <ns0:v>0</ns0:v>
      </ns0:c>
      <ns0:c r="R1361">
        <ns0:f>IF(AND(L1361=1,O1361*Calculations!$B$2&lt;=Calculations!$B$11*Calculations!$B$4),1,0)</ns0:f>
        <ns0:v>0</ns0:v>
      </ns0:c>
    </ns0:row>
    <ns0:row r="1362">
      <ns0:c r="A1362" t="inlineStr">
        <ns0:is>
          <ns0:t>case_1361</ns0:t>
        </ns0:is>
      </ns0:c>
      <ns0:c r="B1362" t="inlineStr">
        <ns0:is>
          <ns0:t>function_0351</ns0:t>
        </ns0:is>
      </ns0:c>
      <ns0:c r="C1362" t="inlineStr">
        <ns0:is>
          <ns0:t>run_013</ns0:t>
        </ns0:is>
      </ns0:c>
      <ns0:c r="D1362" t="inlineStr">
        <ns0:is>
          <ns0:t>rand</ns0:t>
        </ns0:is>
      </ns0:c>
      <ns0:c r="E1362" t="inlineStr">
        <ns0:is>
          <ns0:t>gemini-2.5-flash-nothinking</ns0:t>
        </ns0:is>
      </ns0:c>
      <ns0:c r="F1362" t="inlineStr">
        <ns0:is>
          <ns0:t>E0433</ns0:t>
        </ns0:is>
      </ns0:c>
      <ns0:c r="G1362" t="n">
        <ns0:v>1</ns0:v>
      </ns0:c>
      <ns0:c r="H1362" t="n">
        <ns0:v>2473</ns0:v>
      </ns0:c>
      <ns0:c r="I1362" t="n">
        <ns0:v>127</ns0:v>
      </ns0:c>
      <ns0:c r="J1362" t="n">
        <ns0:v>2600</ns0:v>
      </ns0:c>
      <ns0:c r="K1362" t="n">
        <ns0:v>1</ns0:v>
      </ns0:c>
      <ns0:c r="L1362" t="n">
        <ns0:v>1</ns0:v>
      </ns0:c>
      <ns0:c r="M1362" t="n">
        <ns0:v>310971</ns0:v>
      </ns0:c>
      <ns0:c r="N1362" t="n">
        <ns0:v>1822</ns0:v>
      </ns0:c>
      <ns0:c r="O1362" t="n">
        <ns0:v>312793</ns0:v>
      </ns0:c>
      <ns0:c r="P1362" t="n">
        <ns0:v>11</ns0:v>
      </ns0:c>
      <ns0:c r="Q1362">
        <ns0:f>IF(AND(L1362=1,O1362*Calculations!$B$2&lt;=Calculations!$B$10*Calculations!$B$4),1,0)</ns0:f>
        <ns0:v>0</ns0:v>
      </ns0:c>
      <ns0:c r="R1362">
        <ns0:f>IF(AND(L1362=1,O1362*Calculations!$B$2&lt;=Calculations!$B$11*Calculations!$B$4),1,0)</ns0:f>
        <ns0:v>0</ns0:v>
      </ns0:c>
    </ns0:row>
    <ns0:row r="1363">
      <ns0:c r="A1363" t="inlineStr">
        <ns0:is>
          <ns0:t>case_1362</ns0:t>
        </ns0:is>
      </ns0:c>
      <ns0:c r="B1363" t="inlineStr">
        <ns0:is>
          <ns0:t>function_0352</ns0:t>
        </ns0:is>
      </ns0:c>
      <ns0:c r="C1363" t="inlineStr">
        <ns0:is>
          <ns0:t>run_013</ns0:t>
        </ns0:is>
      </ns0:c>
      <ns0:c r="D1363" t="inlineStr">
        <ns0:is>
          <ns0:t>rand</ns0:t>
        </ns0:is>
      </ns0:c>
      <ns0:c r="E1363" t="inlineStr">
        <ns0:is>
          <ns0:t>gemini-2.5-flash-nothinking</ns0:t>
        </ns0:is>
      </ns0:c>
      <ns0:c r="F1363" t="inlineStr">
        <ns0:is>
          <ns0:t>E0433</ns0:t>
        </ns0:is>
      </ns0:c>
      <ns0:c r="G1363" t="n">
        <ns0:v>1</ns0:v>
      </ns0:c>
      <ns0:c r="H1363" t="n">
        <ns0:v>0</ns0:v>
      </ns0:c>
      <ns0:c r="I1363" t="n">
        <ns0:v>0</ns0:v>
      </ns0:c>
      <ns0:c r="J1363" t="n">
        <ns0:v>0</ns0:v>
      </ns0:c>
      <ns0:c r="K1363" t="n">
        <ns0:v>0</ns0:v>
      </ns0:c>
      <ns0:c r="L1363" t="n">
        <ns0:v>1</ns0:v>
      </ns0:c>
      <ns0:c r="M1363" t="n">
        <ns0:v>14484</ns0:v>
      </ns0:c>
      <ns0:c r="N1363" t="n">
        <ns0:v>405</ns0:v>
      </ns0:c>
      <ns0:c r="O1363" t="n">
        <ns0:v>14889</ns0:v>
      </ns0:c>
      <ns0:c r="P1363" t="n">
        <ns0:v>2</ns0:v>
      </ns0:c>
      <ns0:c r="Q1363">
        <ns0:f>IF(AND(L1363=1,O1363*Calculations!$B$2&lt;=Calculations!$B$10*Calculations!$B$4),1,0)</ns0:f>
        <ns0:v>1</ns0:v>
      </ns0:c>
      <ns0:c r="R1363">
        <ns0:f>IF(AND(L1363=1,O1363*Calculations!$B$2&lt;=Calculations!$B$11*Calculations!$B$4),1,0)</ns0:f>
        <ns0:v>1</ns0:v>
      </ns0:c>
    </ns0:row>
    <ns0:row r="1364">
      <ns0:c r="A1364" t="inlineStr">
        <ns0:is>
          <ns0:t>case_1363</ns0:t>
        </ns0:is>
      </ns0:c>
      <ns0:c r="B1364" t="inlineStr">
        <ns0:is>
          <ns0:t>function_0353</ns0:t>
        </ns0:is>
      </ns0:c>
      <ns0:c r="C1364" t="inlineStr">
        <ns0:is>
          <ns0:t>run_013</ns0:t>
        </ns0:is>
      </ns0:c>
      <ns0:c r="D1364" t="inlineStr">
        <ns0:is>
          <ns0:t>rand</ns0:t>
        </ns0:is>
      </ns0:c>
      <ns0:c r="E1364" t="inlineStr">
        <ns0:is>
          <ns0:t>gemini-2.5-flash-nothinking</ns0:t>
        </ns0:is>
      </ns0:c>
      <ns0:c r="F1364" t="inlineStr">
        <ns0:is>
          <ns0:t>E0433</ns0:t>
        </ns0:is>
      </ns0:c>
      <ns0:c r="G1364" t="n">
        <ns0:v>1</ns0:v>
      </ns0:c>
      <ns0:c r="H1364" t="n">
        <ns0:v>0</ns0:v>
      </ns0:c>
      <ns0:c r="I1364" t="n">
        <ns0:v>0</ns0:v>
      </ns0:c>
      <ns0:c r="J1364" t="n">
        <ns0:v>0</ns0:v>
      </ns0:c>
      <ns0:c r="K1364" t="n">
        <ns0:v>0</ns0:v>
      </ns0:c>
      <ns0:c r="L1364" t="n">
        <ns0:v>1</ns0:v>
      </ns0:c>
      <ns0:c r="M1364" t="n">
        <ns0:v>48273</ns0:v>
      </ns0:c>
      <ns0:c r="N1364" t="n">
        <ns0:v>631</ns0:v>
      </ns0:c>
      <ns0:c r="O1364" t="n">
        <ns0:v>48904</ns0:v>
      </ns0:c>
      <ns0:c r="P1364" t="n">
        <ns0:v>6</ns0:v>
      </ns0:c>
      <ns0:c r="Q1364">
        <ns0:f>IF(AND(L1364=1,O1364*Calculations!$B$2&lt;=Calculations!$B$10*Calculations!$B$4),1,0)</ns0:f>
        <ns0:v>0</ns0:v>
      </ns0:c>
      <ns0:c r="R1364">
        <ns0:f>IF(AND(L1364=1,O1364*Calculations!$B$2&lt;=Calculations!$B$11*Calculations!$B$4),1,0)</ns0:f>
        <ns0:v>0</ns0:v>
      </ns0:c>
    </ns0:row>
    <ns0:row r="1365">
      <ns0:c r="A1365" t="inlineStr">
        <ns0:is>
          <ns0:t>case_1364</ns0:t>
        </ns0:is>
      </ns0:c>
      <ns0:c r="B1365" t="inlineStr">
        <ns0:is>
          <ns0:t>function_0354</ns0:t>
        </ns0:is>
      </ns0:c>
      <ns0:c r="C1365" t="inlineStr">
        <ns0:is>
          <ns0:t>run_013</ns0:t>
        </ns0:is>
      </ns0:c>
      <ns0:c r="D1365" t="inlineStr">
        <ns0:is>
          <ns0:t>rand</ns0:t>
        </ns0:is>
      </ns0:c>
      <ns0:c r="E1365" t="inlineStr">
        <ns0:is>
          <ns0:t>gemini-2.5-flash-nothinking</ns0:t>
        </ns0:is>
      </ns0:c>
      <ns0:c r="F1365" t="inlineStr">
        <ns0:is>
          <ns0:t>E0433</ns0:t>
        </ns0:is>
      </ns0:c>
      <ns0:c r="G1365" t="n">
        <ns0:v>1</ns0:v>
      </ns0:c>
      <ns0:c r="H1365" t="n">
        <ns0:v>0</ns0:v>
      </ns0:c>
      <ns0:c r="I1365" t="n">
        <ns0:v>0</ns0:v>
      </ns0:c>
      <ns0:c r="J1365" t="n">
        <ns0:v>0</ns0:v>
      </ns0:c>
      <ns0:c r="K1365" t="n">
        <ns0:v>0</ns0:v>
      </ns0:c>
      <ns0:c r="L1365" t="n">
        <ns0:v>0</ns0:v>
      </ns0:c>
      <ns0:c r="M1365" t="n">
        <ns0:v>512103</ns0:v>
      </ns0:c>
      <ns0:c r="N1365" t="n">
        <ns0:v>3128</ns0:v>
      </ns0:c>
      <ns0:c r="O1365" t="n">
        <ns0:v>515231</ns0:v>
      </ns0:c>
      <ns0:c r="P1365" t="n">
        <ns0:v>20</ns0:v>
      </ns0:c>
      <ns0:c r="Q1365">
        <ns0:f>IF(AND(L1365=1,O1365*Calculations!$B$2&lt;=Calculations!$B$10*Calculations!$B$4),1,0)</ns0:f>
        <ns0:v>0</ns0:v>
      </ns0:c>
      <ns0:c r="R1365">
        <ns0:f>IF(AND(L1365=1,O1365*Calculations!$B$2&lt;=Calculations!$B$11*Calculations!$B$4),1,0)</ns0:f>
        <ns0:v>0</ns0:v>
      </ns0:c>
    </ns0:row>
    <ns0:row r="1366">
      <ns0:c r="A1366" t="inlineStr">
        <ns0:is>
          <ns0:t>case_1365</ns0:t>
        </ns0:is>
      </ns0:c>
      <ns0:c r="B1366" t="inlineStr">
        <ns0:is>
          <ns0:t>function_0355</ns0:t>
        </ns0:is>
      </ns0:c>
      <ns0:c r="C1366" t="inlineStr">
        <ns0:is>
          <ns0:t>run_013</ns0:t>
        </ns0:is>
      </ns0:c>
      <ns0:c r="D1366" t="inlineStr">
        <ns0:is>
          <ns0:t>rand</ns0:t>
        </ns0:is>
      </ns0:c>
      <ns0:c r="E1366" t="inlineStr">
        <ns0:is>
          <ns0:t>gemini-2.5-flash-nothinking</ns0:t>
        </ns0:is>
      </ns0:c>
      <ns0:c r="F1366" t="inlineStr">
        <ns0:is>
          <ns0:t>E0433</ns0:t>
        </ns0:is>
      </ns0:c>
      <ns0:c r="G1366" t="n">
        <ns0:v>1</ns0:v>
      </ns0:c>
      <ns0:c r="H1366" t="n">
        <ns0:v>0</ns0:v>
      </ns0:c>
      <ns0:c r="I1366" t="n">
        <ns0:v>0</ns0:v>
      </ns0:c>
      <ns0:c r="J1366" t="n">
        <ns0:v>0</ns0:v>
      </ns0:c>
      <ns0:c r="K1366" t="n">
        <ns0:v>0</ns0:v>
      </ns0:c>
      <ns0:c r="L1366" t="n">
        <ns0:v>1</ns0:v>
      </ns0:c>
      <ns0:c r="M1366" t="n">
        <ns0:v>217994</ns0:v>
      </ns0:c>
      <ns0:c r="N1366" t="n">
        <ns0:v>637</ns0:v>
      </ns0:c>
      <ns0:c r="O1366" t="n">
        <ns0:v>218631</ns0:v>
      </ns0:c>
      <ns0:c r="P1366" t="n">
        <ns0:v>7</ns0:v>
      </ns0:c>
      <ns0:c r="Q1366">
        <ns0:f>IF(AND(L1366=1,O1366*Calculations!$B$2&lt;=Calculations!$B$10*Calculations!$B$4),1,0)</ns0:f>
        <ns0:v>0</ns0:v>
      </ns0:c>
      <ns0:c r="R1366">
        <ns0:f>IF(AND(L1366=1,O1366*Calculations!$B$2&lt;=Calculations!$B$11*Calculations!$B$4),1,0)</ns0:f>
        <ns0:v>0</ns0:v>
      </ns0:c>
    </ns0:row>
    <ns0:row r="1367">
      <ns0:c r="A1367" t="inlineStr">
        <ns0:is>
          <ns0:t>case_1366</ns0:t>
        </ns0:is>
      </ns0:c>
      <ns0:c r="B1367" t="inlineStr">
        <ns0:is>
          <ns0:t>function_0356</ns0:t>
        </ns0:is>
      </ns0:c>
      <ns0:c r="C1367" t="inlineStr">
        <ns0:is>
          <ns0:t>run_013</ns0:t>
        </ns0:is>
      </ns0:c>
      <ns0:c r="D1367" t="inlineStr">
        <ns0:is>
          <ns0:t>rand</ns0:t>
        </ns0:is>
      </ns0:c>
      <ns0:c r="E1367" t="inlineStr">
        <ns0:is>
          <ns0:t>gemini-2.5-flash-nothinking</ns0:t>
        </ns0:is>
      </ns0:c>
      <ns0:c r="F1367" t="inlineStr">
        <ns0:is>
          <ns0:t>E0433</ns0:t>
        </ns0:is>
      </ns0:c>
      <ns0:c r="G1367" t="n">
        <ns0:v>1</ns0:v>
      </ns0:c>
      <ns0:c r="H1367" t="n">
        <ns0:v>0</ns0:v>
      </ns0:c>
      <ns0:c r="I1367" t="n">
        <ns0:v>0</ns0:v>
      </ns0:c>
      <ns0:c r="J1367" t="n">
        <ns0:v>0</ns0:v>
      </ns0:c>
      <ns0:c r="K1367" t="n">
        <ns0:v>0</ns0:v>
      </ns0:c>
      <ns0:c r="L1367" t="n">
        <ns0:v>1</ns0:v>
      </ns0:c>
      <ns0:c r="M1367" t="n">
        <ns0:v>63793</ns0:v>
      </ns0:c>
      <ns0:c r="N1367" t="n">
        <ns0:v>564</ns0:v>
      </ns0:c>
      <ns0:c r="O1367" t="n">
        <ns0:v>64357</ns0:v>
      </ns0:c>
      <ns0:c r="P1367" t="n">
        <ns0:v>8</ns0:v>
      </ns0:c>
      <ns0:c r="Q1367">
        <ns0:f>IF(AND(L1367=1,O1367*Calculations!$B$2&lt;=Calculations!$B$10*Calculations!$B$4),1,0)</ns0:f>
        <ns0:v>0</ns0:v>
      </ns0:c>
      <ns0:c r="R1367">
        <ns0:f>IF(AND(L1367=1,O1367*Calculations!$B$2&lt;=Calculations!$B$11*Calculations!$B$4),1,0)</ns0:f>
        <ns0:v>0</ns0:v>
      </ns0:c>
    </ns0:row>
    <ns0:row r="1368">
      <ns0:c r="A1368" t="inlineStr">
        <ns0:is>
          <ns0:t>case_1367</ns0:t>
        </ns0:is>
      </ns0:c>
      <ns0:c r="B1368" t="inlineStr">
        <ns0:is>
          <ns0:t>function_0357</ns0:t>
        </ns0:is>
      </ns0:c>
      <ns0:c r="C1368" t="inlineStr">
        <ns0:is>
          <ns0:t>run_013</ns0:t>
        </ns0:is>
      </ns0:c>
      <ns0:c r="D1368" t="inlineStr">
        <ns0:is>
          <ns0:t>rand</ns0:t>
        </ns0:is>
      </ns0:c>
      <ns0:c r="E1368" t="inlineStr">
        <ns0:is>
          <ns0:t>gemini-2.5-flash-nothinking</ns0:t>
        </ns0:is>
      </ns0:c>
      <ns0:c r="F1368" t="inlineStr">
        <ns0:is>
          <ns0:t>E0432</ns0:t>
        </ns0:is>
      </ns0:c>
      <ns0:c r="G1368" t="n">
        <ns0:v>0</ns0:v>
      </ns0:c>
      <ns0:c r="H1368" t="n">
        <ns0:v>6029</ns0:v>
      </ns0:c>
      <ns0:c r="I1368" t="n">
        <ns0:v>312</ns0:v>
      </ns0:c>
      <ns0:c r="J1368" t="n">
        <ns0:v>6341</ns0:v>
      </ns0:c>
      <ns0:c r="K1368" t="n">
        <ns0:v>3</ns0:v>
      </ns0:c>
      <ns0:c r="L1368" t="n">
        <ns0:v>1</ns0:v>
      </ns0:c>
      <ns0:c r="M1368" t="n">
        <ns0:v>20793</ns0:v>
      </ns0:c>
      <ns0:c r="N1368" t="n">
        <ns0:v>230</ns0:v>
      </ns0:c>
      <ns0:c r="O1368" t="n">
        <ns0:v>21023</ns0:v>
      </ns0:c>
      <ns0:c r="P1368" t="n">
        <ns0:v>3</ns0:v>
      </ns0:c>
      <ns0:c r="Q1368">
        <ns0:f>IF(AND(L1368=1,O1368*Calculations!$B$2&lt;=Calculations!$B$10*Calculations!$B$4),1,0)</ns0:f>
        <ns0:v>1</ns0:v>
      </ns0:c>
      <ns0:c r="R1368">
        <ns0:f>IF(AND(L1368=1,O1368*Calculations!$B$2&lt;=Calculations!$B$11*Calculations!$B$4),1,0)</ns0:f>
        <ns0:v>1</ns0:v>
      </ns0:c>
    </ns0:row>
    <ns0:row r="1369">
      <ns0:c r="A1369" t="inlineStr">
        <ns0:is>
          <ns0:t>case_1368</ns0:t>
        </ns0:is>
      </ns0:c>
      <ns0:c r="B1369" t="inlineStr">
        <ns0:is>
          <ns0:t>function_0358</ns0:t>
        </ns0:is>
      </ns0:c>
      <ns0:c r="C1369" t="inlineStr">
        <ns0:is>
          <ns0:t>run_013</ns0:t>
        </ns0:is>
      </ns0:c>
      <ns0:c r="D1369" t="inlineStr">
        <ns0:is>
          <ns0:t>rand</ns0:t>
        </ns0:is>
      </ns0:c>
      <ns0:c r="E1369" t="inlineStr">
        <ns0:is>
          <ns0:t>gemini-2.5-flash-nothinking</ns0:t>
        </ns0:is>
      </ns0:c>
      <ns0:c r="F1369" t="inlineStr">
        <ns0:is>
          <ns0:t>E0433</ns0:t>
        </ns0:is>
      </ns0:c>
      <ns0:c r="G1369" t="n">
        <ns0:v>1</ns0:v>
      </ns0:c>
      <ns0:c r="H1369" t="n">
        <ns0:v>0</ns0:v>
      </ns0:c>
      <ns0:c r="I1369" t="n">
        <ns0:v>0</ns0:v>
      </ns0:c>
      <ns0:c r="J1369" t="n">
        <ns0:v>0</ns0:v>
      </ns0:c>
      <ns0:c r="K1369" t="n">
        <ns0:v>0</ns0:v>
      </ns0:c>
      <ns0:c r="L1369" t="n">
        <ns0:v>1</ns0:v>
      </ns0:c>
      <ns0:c r="M1369" t="n">
        <ns0:v>40838</ns0:v>
      </ns0:c>
      <ns0:c r="N1369" t="n">
        <ns0:v>1102</ns0:v>
      </ns0:c>
      <ns0:c r="O1369" t="n">
        <ns0:v>41940</ns0:v>
      </ns0:c>
      <ns0:c r="P1369" t="n">
        <ns0:v>5</ns0:v>
      </ns0:c>
      <ns0:c r="Q1369">
        <ns0:f>IF(AND(L1369=1,O1369*Calculations!$B$2&lt;=Calculations!$B$10*Calculations!$B$4),1,0)</ns0:f>
        <ns0:v>0</ns0:v>
      </ns0:c>
      <ns0:c r="R1369">
        <ns0:f>IF(AND(L1369=1,O1369*Calculations!$B$2&lt;=Calculations!$B$11*Calculations!$B$4),1,0)</ns0:f>
        <ns0:v>1</ns0:v>
      </ns0:c>
    </ns0:row>
    <ns0:row r="1370">
      <ns0:c r="A1370" t="inlineStr">
        <ns0:is>
          <ns0:t>case_1369</ns0:t>
        </ns0:is>
      </ns0:c>
      <ns0:c r="B1370" t="inlineStr">
        <ns0:is>
          <ns0:t>function_0359</ns0:t>
        </ns0:is>
      </ns0:c>
      <ns0:c r="C1370" t="inlineStr">
        <ns0:is>
          <ns0:t>run_013</ns0:t>
        </ns0:is>
      </ns0:c>
      <ns0:c r="D1370" t="inlineStr">
        <ns0:is>
          <ns0:t>rand</ns0:t>
        </ns0:is>
      </ns0:c>
      <ns0:c r="E1370" t="inlineStr">
        <ns0:is>
          <ns0:t>gemini-2.5-flash-nothinking</ns0:t>
        </ns0:is>
      </ns0:c>
      <ns0:c r="F1370" t="inlineStr">
        <ns0:is>
          <ns0:t>E0433</ns0:t>
        </ns0:is>
      </ns0:c>
      <ns0:c r="G1370" t="n">
        <ns0:v>1</ns0:v>
      </ns0:c>
      <ns0:c r="H1370" t="n">
        <ns0:v>0</ns0:v>
      </ns0:c>
      <ns0:c r="I1370" t="n">
        <ns0:v>0</ns0:v>
      </ns0:c>
      <ns0:c r="J1370" t="n">
        <ns0:v>0</ns0:v>
      </ns0:c>
      <ns0:c r="K1370" t="n">
        <ns0:v>0</ns0:v>
      </ns0:c>
      <ns0:c r="L1370" t="n">
        <ns0:v>1</ns0:v>
      </ns0:c>
      <ns0:c r="M1370" t="n">
        <ns0:v>46391</ns0:v>
      </ns0:c>
      <ns0:c r="N1370" t="n">
        <ns0:v>647</ns0:v>
      </ns0:c>
      <ns0:c r="O1370" t="n">
        <ns0:v>47038</ns0:v>
      </ns0:c>
      <ns0:c r="P1370" t="n">
        <ns0:v>6</ns0:v>
      </ns0:c>
      <ns0:c r="Q1370">
        <ns0:f>IF(AND(L1370=1,O1370*Calculations!$B$2&lt;=Calculations!$B$10*Calculations!$B$4),1,0)</ns0:f>
        <ns0:v>0</ns0:v>
      </ns0:c>
      <ns0:c r="R1370">
        <ns0:f>IF(AND(L1370=1,O1370*Calculations!$B$2&lt;=Calculations!$B$11*Calculations!$B$4),1,0)</ns0:f>
        <ns0:v>0</ns0:v>
      </ns0:c>
    </ns0:row>
    <ns0:row r="1371">
      <ns0:c r="A1371" t="inlineStr">
        <ns0:is>
          <ns0:t>case_1370</ns0:t>
        </ns0:is>
      </ns0:c>
      <ns0:c r="B1371" t="inlineStr">
        <ns0:is>
          <ns0:t>function_0360</ns0:t>
        </ns0:is>
      </ns0:c>
      <ns0:c r="C1371" t="inlineStr">
        <ns0:is>
          <ns0:t>run_013</ns0:t>
        </ns0:is>
      </ns0:c>
      <ns0:c r="D1371" t="inlineStr">
        <ns0:is>
          <ns0:t>rand</ns0:t>
        </ns0:is>
      </ns0:c>
      <ns0:c r="E1371" t="inlineStr">
        <ns0:is>
          <ns0:t>gemini-2.5-flash-nothinking</ns0:t>
        </ns0:is>
      </ns0:c>
      <ns0:c r="F1371" t="inlineStr">
        <ns0:is>
          <ns0:t>E0433</ns0:t>
        </ns0:is>
      </ns0:c>
      <ns0:c r="G1371" t="n">
        <ns0:v>1</ns0:v>
      </ns0:c>
      <ns0:c r="H1371" t="n">
        <ns0:v>0</ns0:v>
      </ns0:c>
      <ns0:c r="I1371" t="n">
        <ns0:v>0</ns0:v>
      </ns0:c>
      <ns0:c r="J1371" t="n">
        <ns0:v>0</ns0:v>
      </ns0:c>
      <ns0:c r="K1371" t="n">
        <ns0:v>0</ns0:v>
      </ns0:c>
      <ns0:c r="L1371" t="n">
        <ns0:v>1</ns0:v>
      </ns0:c>
      <ns0:c r="M1371" t="n">
        <ns0:v>28005</ns0:v>
      </ns0:c>
      <ns0:c r="N1371" t="n">
        <ns0:v>378</ns0:v>
      </ns0:c>
      <ns0:c r="O1371" t="n">
        <ns0:v>28383</ns0:v>
      </ns0:c>
      <ns0:c r="P1371" t="n">
        <ns0:v>4</ns0:v>
      </ns0:c>
      <ns0:c r="Q1371">
        <ns0:f>IF(AND(L1371=1,O1371*Calculations!$B$2&lt;=Calculations!$B$10*Calculations!$B$4),1,0)</ns0:f>
        <ns0:v>0</ns0:v>
      </ns0:c>
      <ns0:c r="R1371">
        <ns0:f>IF(AND(L1371=1,O1371*Calculations!$B$2&lt;=Calculations!$B$11*Calculations!$B$4),1,0)</ns0:f>
        <ns0:v>1</ns0:v>
      </ns0:c>
    </ns0:row>
    <ns0:row r="1372">
      <ns0:c r="A1372" t="inlineStr">
        <ns0:is>
          <ns0:t>case_1371</ns0:t>
        </ns0:is>
      </ns0:c>
      <ns0:c r="B1372" t="inlineStr">
        <ns0:is>
          <ns0:t>function_0361</ns0:t>
        </ns0:is>
      </ns0:c>
      <ns0:c r="C1372" t="inlineStr">
        <ns0:is>
          <ns0:t>run_013</ns0:t>
        </ns0:is>
      </ns0:c>
      <ns0:c r="D1372" t="inlineStr">
        <ns0:is>
          <ns0:t>rand</ns0:t>
        </ns0:is>
      </ns0:c>
      <ns0:c r="E1372" t="inlineStr">
        <ns0:is>
          <ns0:t>gemini-2.5-flash-nothinking</ns0:t>
        </ns0:is>
      </ns0:c>
      <ns0:c r="F1372" t="inlineStr"/>
      <ns0:c r="G1372" t="n">
        <ns0:v>1</ns0:v>
      </ns0:c>
      <ns0:c r="H1372" t="n">
        <ns0:v>2867</ns0:v>
      </ns0:c>
      <ns0:c r="I1372" t="n">
        <ns0:v>98</ns0:v>
      </ns0:c>
      <ns0:c r="J1372" t="n">
        <ns0:v>2965</ns0:v>
      </ns0:c>
      <ns0:c r="K1372" t="n">
        <ns0:v>1</ns0:v>
      </ns0:c>
      <ns0:c r="L1372" t="n">
        <ns0:v>1</ns0:v>
      </ns0:c>
      <ns0:c r="M1372" t="n">
        <ns0:v>35011</ns0:v>
      </ns0:c>
      <ns0:c r="N1372" t="n">
        <ns0:v>477</ns0:v>
      </ns0:c>
      <ns0:c r="O1372" t="n">
        <ns0:v>35488</ns0:v>
      </ns0:c>
      <ns0:c r="P1372" t="n">
        <ns0:v>5</ns0:v>
      </ns0:c>
      <ns0:c r="Q1372">
        <ns0:f>IF(AND(L1372=1,O1372*Calculations!$B$2&lt;=Calculations!$B$10*Calculations!$B$4),1,0)</ns0:f>
        <ns0:v>0</ns0:v>
      </ns0:c>
      <ns0:c r="R1372">
        <ns0:f>IF(AND(L1372=1,O1372*Calculations!$B$2&lt;=Calculations!$B$11*Calculations!$B$4),1,0)</ns0:f>
        <ns0:v>1</ns0:v>
      </ns0:c>
    </ns0:row>
    <ns0:row r="1373">
      <ns0:c r="A1373" t="inlineStr">
        <ns0:is>
          <ns0:t>case_1372</ns0:t>
        </ns0:is>
      </ns0:c>
      <ns0:c r="B1373" t="inlineStr">
        <ns0:is>
          <ns0:t>function_0361</ns0:t>
        </ns0:is>
      </ns0:c>
      <ns0:c r="C1373" t="inlineStr">
        <ns0:is>
          <ns0:t>run_013</ns0:t>
        </ns0:is>
      </ns0:c>
      <ns0:c r="D1373" t="inlineStr">
        <ns0:is>
          <ns0:t>rand</ns0:t>
        </ns0:is>
      </ns0:c>
      <ns0:c r="E1373" t="inlineStr">
        <ns0:is>
          <ns0:t>gemini-2.5-flash-nothinking</ns0:t>
        </ns0:is>
      </ns0:c>
      <ns0:c r="F1373" t="inlineStr">
        <ns0:is>
          <ns0:t>E0308</ns0:t>
        </ns0:is>
      </ns0:c>
      <ns0:c r="G1373" t="n">
        <ns0:v>0</ns0:v>
      </ns0:c>
      <ns0:c r="H1373" t="n">
        <ns0:v>4872</ns0:v>
      </ns0:c>
      <ns0:c r="I1373" t="n">
        <ns0:v>246</ns0:v>
      </ns0:c>
      <ns0:c r="J1373" t="n">
        <ns0:v>5118</ns0:v>
      </ns0:c>
      <ns0:c r="K1373" t="n">
        <ns0:v>3</ns0:v>
      </ns0:c>
      <ns0:c r="L1373" t="n">
        <ns0:v>1</ns0:v>
      </ns0:c>
      <ns0:c r="M1373" t="n">
        <ns0:v>35393</ns0:v>
      </ns0:c>
      <ns0:c r="N1373" t="n">
        <ns0:v>394</ns0:v>
      </ns0:c>
      <ns0:c r="O1373" t="n">
        <ns0:v>35787</ns0:v>
      </ns0:c>
      <ns0:c r="P1373" t="n">
        <ns0:v>5</ns0:v>
      </ns0:c>
      <ns0:c r="Q1373">
        <ns0:f>IF(AND(L1373=1,O1373*Calculations!$B$2&lt;=Calculations!$B$10*Calculations!$B$4),1,0)</ns0:f>
        <ns0:v>0</ns0:v>
      </ns0:c>
      <ns0:c r="R1373">
        <ns0:f>IF(AND(L1373=1,O1373*Calculations!$B$2&lt;=Calculations!$B$11*Calculations!$B$4),1,0)</ns0:f>
        <ns0:v>1</ns0:v>
      </ns0:c>
    </ns0:row>
    <ns0:row r="1374">
      <ns0:c r="A1374" t="inlineStr">
        <ns0:is>
          <ns0:t>case_1373</ns0:t>
        </ns0:is>
      </ns0:c>
      <ns0:c r="B1374" t="inlineStr">
        <ns0:is>
          <ns0:t>function_0362</ns0:t>
        </ns0:is>
      </ns0:c>
      <ns0:c r="C1374" t="inlineStr">
        <ns0:is>
          <ns0:t>run_013</ns0:t>
        </ns0:is>
      </ns0:c>
      <ns0:c r="D1374" t="inlineStr">
        <ns0:is>
          <ns0:t>rand</ns0:t>
        </ns0:is>
      </ns0:c>
      <ns0:c r="E1374" t="inlineStr">
        <ns0:is>
          <ns0:t>gemini-2.5-flash-nothinking</ns0:t>
        </ns0:is>
      </ns0:c>
      <ns0:c r="F1374" t="inlineStr">
        <ns0:is>
          <ns0:t>E0433</ns0:t>
        </ns0:is>
      </ns0:c>
      <ns0:c r="G1374" t="n">
        <ns0:v>1</ns0:v>
      </ns0:c>
      <ns0:c r="H1374" t="n">
        <ns0:v>0</ns0:v>
      </ns0:c>
      <ns0:c r="I1374" t="n">
        <ns0:v>0</ns0:v>
      </ns0:c>
      <ns0:c r="J1374" t="n">
        <ns0:v>0</ns0:v>
      </ns0:c>
      <ns0:c r="K1374" t="n">
        <ns0:v>0</ns0:v>
      </ns0:c>
      <ns0:c r="L1374" t="n">
        <ns0:v>0</ns0:v>
      </ns0:c>
      <ns0:c r="M1374" t="n">
        <ns0:v>269170</ns0:v>
      </ns0:c>
      <ns0:c r="N1374" t="n">
        <ns0:v>3217</ns0:v>
      </ns0:c>
      <ns0:c r="O1374" t="n">
        <ns0:v>272387</ns0:v>
      </ns0:c>
      <ns0:c r="P1374" t="n">
        <ns0:v>21</ns0:v>
      </ns0:c>
      <ns0:c r="Q1374">
        <ns0:f>IF(AND(L1374=1,O1374*Calculations!$B$2&lt;=Calculations!$B$10*Calculations!$B$4),1,0)</ns0:f>
        <ns0:v>0</ns0:v>
      </ns0:c>
      <ns0:c r="R1374">
        <ns0:f>IF(AND(L1374=1,O1374*Calculations!$B$2&lt;=Calculations!$B$11*Calculations!$B$4),1,0)</ns0:f>
        <ns0:v>0</ns0:v>
      </ns0:c>
    </ns0:row>
    <ns0:row r="1375">
      <ns0:c r="A1375" t="inlineStr">
        <ns0:is>
          <ns0:t>case_1374</ns0:t>
        </ns0:is>
      </ns0:c>
      <ns0:c r="B1375" t="inlineStr">
        <ns0:is>
          <ns0:t>function_0362</ns0:t>
        </ns0:is>
      </ns0:c>
      <ns0:c r="C1375" t="inlineStr">
        <ns0:is>
          <ns0:t>run_013</ns0:t>
        </ns0:is>
      </ns0:c>
      <ns0:c r="D1375" t="inlineStr">
        <ns0:is>
          <ns0:t>rand</ns0:t>
        </ns0:is>
      </ns0:c>
      <ns0:c r="E1375" t="inlineStr">
        <ns0:is>
          <ns0:t>gemini-2.5-flash-nothinking</ns0:t>
        </ns0:is>
      </ns0:c>
      <ns0:c r="F1375" t="inlineStr">
        <ns0:is>
          <ns0:t>E0061</ns0:t>
        </ns0:is>
      </ns0:c>
      <ns0:c r="G1375" t="n">
        <ns0:v>1</ns0:v>
      </ns0:c>
      <ns0:c r="H1375" t="n">
        <ns0:v>560</ns0:v>
      </ns0:c>
      <ns0:c r="I1375" t="n">
        <ns0:v>79</ns0:v>
      </ns0:c>
      <ns0:c r="J1375" t="n">
        <ns0:v>639</ns0:v>
      </ns0:c>
      <ns0:c r="K1375" t="n">
        <ns0:v>1</ns0:v>
      </ns0:c>
      <ns0:c r="L1375" t="n">
        <ns0:v>1</ns0:v>
      </ns0:c>
      <ns0:c r="M1375" t="n">
        <ns0:v>28498</ns0:v>
      </ns0:c>
      <ns0:c r="N1375" t="n">
        <ns0:v>674</ns0:v>
      </ns0:c>
      <ns0:c r="O1375" t="n">
        <ns0:v>29172</ns0:v>
      </ns0:c>
      <ns0:c r="P1375" t="n">
        <ns0:v>4</ns0:v>
      </ns0:c>
      <ns0:c r="Q1375">
        <ns0:f>IF(AND(L1375=1,O1375*Calculations!$B$2&lt;=Calculations!$B$10*Calculations!$B$4),1,0)</ns0:f>
        <ns0:v>0</ns0:v>
      </ns0:c>
      <ns0:c r="R1375">
        <ns0:f>IF(AND(L1375=1,O1375*Calculations!$B$2&lt;=Calculations!$B$11*Calculations!$B$4),1,0)</ns0:f>
        <ns0:v>1</ns0:v>
      </ns0:c>
    </ns0:row>
    <ns0:row r="1376">
      <ns0:c r="A1376" t="inlineStr">
        <ns0:is>
          <ns0:t>case_1375</ns0:t>
        </ns0:is>
      </ns0:c>
      <ns0:c r="B1376" t="inlineStr">
        <ns0:is>
          <ns0:t>function_0363</ns0:t>
        </ns0:is>
      </ns0:c>
      <ns0:c r="C1376" t="inlineStr">
        <ns0:is>
          <ns0:t>run_013</ns0:t>
        </ns0:is>
      </ns0:c>
      <ns0:c r="D1376" t="inlineStr">
        <ns0:is>
          <ns0:t>rand</ns0:t>
        </ns0:is>
      </ns0:c>
      <ns0:c r="E1376" t="inlineStr">
        <ns0:is>
          <ns0:t>gemini-2.5-flash-nothinking</ns0:t>
        </ns0:is>
      </ns0:c>
      <ns0:c r="F1376" t="inlineStr">
        <ns0:is>
          <ns0:t>E0433</ns0:t>
        </ns0:is>
      </ns0:c>
      <ns0:c r="G1376" t="n">
        <ns0:v>1</ns0:v>
      </ns0:c>
      <ns0:c r="H1376" t="n">
        <ns0:v>0</ns0:v>
      </ns0:c>
      <ns0:c r="I1376" t="n">
        <ns0:v>0</ns0:v>
      </ns0:c>
      <ns0:c r="J1376" t="n">
        <ns0:v>0</ns0:v>
      </ns0:c>
      <ns0:c r="K1376" t="n">
        <ns0:v>0</ns0:v>
      </ns0:c>
      <ns0:c r="L1376" t="n">
        <ns0:v>1</ns0:v>
      </ns0:c>
      <ns0:c r="M1376" t="n">
        <ns0:v>20959</ns0:v>
      </ns0:c>
      <ns0:c r="N1376" t="n">
        <ns0:v>760</ns0:v>
      </ns0:c>
      <ns0:c r="O1376" t="n">
        <ns0:v>21719</ns0:v>
      </ns0:c>
      <ns0:c r="P1376" t="n">
        <ns0:v>3</ns0:v>
      </ns0:c>
      <ns0:c r="Q1376">
        <ns0:f>IF(AND(L1376=1,O1376*Calculations!$B$2&lt;=Calculations!$B$10*Calculations!$B$4),1,0)</ns0:f>
        <ns0:v>1</ns0:v>
      </ns0:c>
      <ns0:c r="R1376">
        <ns0:f>IF(AND(L1376=1,O1376*Calculations!$B$2&lt;=Calculations!$B$11*Calculations!$B$4),1,0)</ns0:f>
        <ns0:v>1</ns0:v>
      </ns0:c>
    </ns0:row>
    <ns0:row r="1377">
      <ns0:c r="A1377" t="inlineStr">
        <ns0:is>
          <ns0:t>case_1376</ns0:t>
        </ns0:is>
      </ns0:c>
      <ns0:c r="B1377" t="inlineStr">
        <ns0:is>
          <ns0:t>function_0364</ns0:t>
        </ns0:is>
      </ns0:c>
      <ns0:c r="C1377" t="inlineStr">
        <ns0:is>
          <ns0:t>run_013</ns0:t>
        </ns0:is>
      </ns0:c>
      <ns0:c r="D1377" t="inlineStr">
        <ns0:is>
          <ns0:t>rand</ns0:t>
        </ns0:is>
      </ns0:c>
      <ns0:c r="E1377" t="inlineStr">
        <ns0:is>
          <ns0:t>gemini-2.5-flash-nothinking</ns0:t>
        </ns0:is>
      </ns0:c>
      <ns0:c r="F1377" t="inlineStr">
        <ns0:is>
          <ns0:t>E0433,E0576</ns0:t>
        </ns0:is>
      </ns0:c>
      <ns0:c r="G1377" t="n">
        <ns0:v>1</ns0:v>
      </ns0:c>
      <ns0:c r="H1377" t="n">
        <ns0:v>0</ns0:v>
      </ns0:c>
      <ns0:c r="I1377" t="n">
        <ns0:v>0</ns0:v>
      </ns0:c>
      <ns0:c r="J1377" t="n">
        <ns0:v>0</ns0:v>
      </ns0:c>
      <ns0:c r="K1377" t="n">
        <ns0:v>0</ns0:v>
      </ns0:c>
      <ns0:c r="L1377" t="n">
        <ns0:v>1</ns0:v>
      </ns0:c>
      <ns0:c r="M1377" t="n">
        <ns0:v>20548</ns0:v>
      </ns0:c>
      <ns0:c r="N1377" t="n">
        <ns0:v>472</ns0:v>
      </ns0:c>
      <ns0:c r="O1377" t="n">
        <ns0:v>21020</ns0:v>
      </ns0:c>
      <ns0:c r="P1377" t="n">
        <ns0:v>3</ns0:v>
      </ns0:c>
      <ns0:c r="Q1377">
        <ns0:f>IF(AND(L1377=1,O1377*Calculations!$B$2&lt;=Calculations!$B$10*Calculations!$B$4),1,0)</ns0:f>
        <ns0:v>1</ns0:v>
      </ns0:c>
      <ns0:c r="R1377">
        <ns0:f>IF(AND(L1377=1,O1377*Calculations!$B$2&lt;=Calculations!$B$11*Calculations!$B$4),1,0)</ns0:f>
        <ns0:v>1</ns0:v>
      </ns0:c>
    </ns0:row>
    <ns0:row r="1378">
      <ns0:c r="A1378" t="inlineStr">
        <ns0:is>
          <ns0:t>case_1377</ns0:t>
        </ns0:is>
      </ns0:c>
      <ns0:c r="B1378" t="inlineStr">
        <ns0:is>
          <ns0:t>function_0364</ns0:t>
        </ns0:is>
      </ns0:c>
      <ns0:c r="C1378" t="inlineStr">
        <ns0:is>
          <ns0:t>run_013</ns0:t>
        </ns0:is>
      </ns0:c>
      <ns0:c r="D1378" t="inlineStr">
        <ns0:is>
          <ns0:t>rand</ns0:t>
        </ns0:is>
      </ns0:c>
      <ns0:c r="E1378" t="inlineStr">
        <ns0:is>
          <ns0:t>gemini-2.5-flash-nothinking</ns0:t>
        </ns0:is>
      </ns0:c>
      <ns0:c r="F1378" t="inlineStr">
        <ns0:is>
          <ns0:t>E0433,E0599</ns0:t>
        </ns0:is>
      </ns0:c>
      <ns0:c r="G1378" t="n">
        <ns0:v>1</ns0:v>
      </ns0:c>
      <ns0:c r="H1378" t="n">
        <ns0:v>0</ns0:v>
      </ns0:c>
      <ns0:c r="I1378" t="n">
        <ns0:v>0</ns0:v>
      </ns0:c>
      <ns0:c r="J1378" t="n">
        <ns0:v>0</ns0:v>
      </ns0:c>
      <ns0:c r="K1378" t="n">
        <ns0:v>0</ns0:v>
      </ns0:c>
      <ns0:c r="L1378" t="n">
        <ns0:v>1</ns0:v>
      </ns0:c>
      <ns0:c r="M1378" t="n">
        <ns0:v>97313</ns0:v>
      </ns0:c>
      <ns0:c r="N1378" t="n">
        <ns0:v>785</ns0:v>
      </ns0:c>
      <ns0:c r="O1378" t="n">
        <ns0:v>98098</ns0:v>
      </ns0:c>
      <ns0:c r="P1378" t="n">
        <ns0:v>12</ns0:v>
      </ns0:c>
      <ns0:c r="Q1378">
        <ns0:f>IF(AND(L1378=1,O1378*Calculations!$B$2&lt;=Calculations!$B$10*Calculations!$B$4),1,0)</ns0:f>
        <ns0:v>0</ns0:v>
      </ns0:c>
      <ns0:c r="R1378">
        <ns0:f>IF(AND(L1378=1,O1378*Calculations!$B$2&lt;=Calculations!$B$11*Calculations!$B$4),1,0)</ns0:f>
        <ns0:v>0</ns0:v>
      </ns0:c>
    </ns0:row>
    <ns0:row r="1379">
      <ns0:c r="A1379" t="inlineStr">
        <ns0:is>
          <ns0:t>case_1378</ns0:t>
        </ns0:is>
      </ns0:c>
      <ns0:c r="B1379" t="inlineStr">
        <ns0:is>
          <ns0:t>function_0365</ns0:t>
        </ns0:is>
      </ns0:c>
      <ns0:c r="C1379" t="inlineStr">
        <ns0:is>
          <ns0:t>run_013</ns0:t>
        </ns0:is>
      </ns0:c>
      <ns0:c r="D1379" t="inlineStr">
        <ns0:is>
          <ns0:t>rand</ns0:t>
        </ns0:is>
      </ns0:c>
      <ns0:c r="E1379" t="inlineStr">
        <ns0:is>
          <ns0:t>gemini-2.5-flash-nothinking</ns0:t>
        </ns0:is>
      </ns0:c>
      <ns0:c r="F1379" t="inlineStr">
        <ns0:is>
          <ns0:t>E0433</ns0:t>
        </ns0:is>
      </ns0:c>
      <ns0:c r="G1379" t="n">
        <ns0:v>1</ns0:v>
      </ns0:c>
      <ns0:c r="H1379" t="n">
        <ns0:v>0</ns0:v>
      </ns0:c>
      <ns0:c r="I1379" t="n">
        <ns0:v>0</ns0:v>
      </ns0:c>
      <ns0:c r="J1379" t="n">
        <ns0:v>0</ns0:v>
      </ns0:c>
      <ns0:c r="K1379" t="n">
        <ns0:v>0</ns0:v>
      </ns0:c>
      <ns0:c r="L1379" t="n">
        <ns0:v>1</ns0:v>
      </ns0:c>
      <ns0:c r="M1379" t="n">
        <ns0:v>43407</ns0:v>
      </ns0:c>
      <ns0:c r="N1379" t="n">
        <ns0:v>810</ns0:v>
      </ns0:c>
      <ns0:c r="O1379" t="n">
        <ns0:v>44217</ns0:v>
      </ns0:c>
      <ns0:c r="P1379" t="n">
        <ns0:v>5</ns0:v>
      </ns0:c>
      <ns0:c r="Q1379">
        <ns0:f>IF(AND(L1379=1,O1379*Calculations!$B$2&lt;=Calculations!$B$10*Calculations!$B$4),1,0)</ns0:f>
        <ns0:v>0</ns0:v>
      </ns0:c>
      <ns0:c r="R1379">
        <ns0:f>IF(AND(L1379=1,O1379*Calculations!$B$2&lt;=Calculations!$B$11*Calculations!$B$4),1,0)</ns0:f>
        <ns0:v>1</ns0:v>
      </ns0:c>
    </ns0:row>
    <ns0:row r="1380">
      <ns0:c r="A1380" t="inlineStr">
        <ns0:is>
          <ns0:t>case_1379</ns0:t>
        </ns0:is>
      </ns0:c>
      <ns0:c r="B1380" t="inlineStr">
        <ns0:is>
          <ns0:t>function_0365</ns0:t>
        </ns0:is>
      </ns0:c>
      <ns0:c r="C1380" t="inlineStr">
        <ns0:is>
          <ns0:t>run_013</ns0:t>
        </ns0:is>
      </ns0:c>
      <ns0:c r="D1380" t="inlineStr">
        <ns0:is>
          <ns0:t>rand</ns0:t>
        </ns0:is>
      </ns0:c>
      <ns0:c r="E1380" t="inlineStr">
        <ns0:is>
          <ns0:t>gemini-2.5-flash-nothinking</ns0:t>
        </ns0:is>
      </ns0:c>
      <ns0:c r="F1380" t="inlineStr">
        <ns0:is>
          <ns0:t>E0412</ns0:t>
        </ns0:is>
      </ns0:c>
      <ns0:c r="G1380" t="n">
        <ns0:v>1</ns0:v>
      </ns0:c>
      <ns0:c r="H1380" t="n">
        <ns0:v>1266</ns0:v>
      </ns0:c>
      <ns0:c r="I1380" t="n">
        <ns0:v>147</ns0:v>
      </ns0:c>
      <ns0:c r="J1380" t="n">
        <ns0:v>1413</ns0:v>
      </ns0:c>
      <ns0:c r="K1380" t="n">
        <ns0:v>1</ns0:v>
      </ns0:c>
      <ns0:c r="L1380" t="n">
        <ns0:v>1</ns0:v>
      </ns0:c>
      <ns0:c r="M1380" t="n">
        <ns0:v>20768</ns0:v>
      </ns0:c>
      <ns0:c r="N1380" t="n">
        <ns0:v>228</ns0:v>
      </ns0:c>
      <ns0:c r="O1380" t="n">
        <ns0:v>20996</ns0:v>
      </ns0:c>
      <ns0:c r="P1380" t="n">
        <ns0:v>3</ns0:v>
      </ns0:c>
      <ns0:c r="Q1380">
        <ns0:f>IF(AND(L1380=1,O1380*Calculations!$B$2&lt;=Calculations!$B$10*Calculations!$B$4),1,0)</ns0:f>
        <ns0:v>1</ns0:v>
      </ns0:c>
      <ns0:c r="R1380">
        <ns0:f>IF(AND(L1380=1,O1380*Calculations!$B$2&lt;=Calculations!$B$11*Calculations!$B$4),1,0)</ns0:f>
        <ns0:v>1</ns0:v>
      </ns0:c>
    </ns0:row>
    <ns0:row r="1381">
      <ns0:c r="A1381" t="inlineStr">
        <ns0:is>
          <ns0:t>case_1380</ns0:t>
        </ns0:is>
      </ns0:c>
      <ns0:c r="B1381" t="inlineStr">
        <ns0:is>
          <ns0:t>function_0366</ns0:t>
        </ns0:is>
      </ns0:c>
      <ns0:c r="C1381" t="inlineStr">
        <ns0:is>
          <ns0:t>run_013</ns0:t>
        </ns0:is>
      </ns0:c>
      <ns0:c r="D1381" t="inlineStr">
        <ns0:is>
          <ns0:t>rand</ns0:t>
        </ns0:is>
      </ns0:c>
      <ns0:c r="E1381" t="inlineStr">
        <ns0:is>
          <ns0:t>gemini-2.5-flash-nothinking</ns0:t>
        </ns0:is>
      </ns0:c>
      <ns0:c r="F1381" t="inlineStr">
        <ns0:is>
          <ns0:t>E0412</ns0:t>
        </ns0:is>
      </ns0:c>
      <ns0:c r="G1381" t="n">
        <ns0:v>1</ns0:v>
      </ns0:c>
      <ns0:c r="H1381" t="n">
        <ns0:v>2684</ns0:v>
      </ns0:c>
      <ns0:c r="I1381" t="n">
        <ns0:v>155</ns0:v>
      </ns0:c>
      <ns0:c r="J1381" t="n">
        <ns0:v>2839</ns0:v>
      </ns0:c>
      <ns0:c r="K1381" t="n">
        <ns0:v>2</ns0:v>
      </ns0:c>
      <ns0:c r="L1381" t="n">
        <ns0:v>1</ns0:v>
      </ns0:c>
      <ns0:c r="M1381" t="n">
        <ns0:v>21021</ns0:v>
      </ns0:c>
      <ns0:c r="N1381" t="n">
        <ns0:v>284</ns0:v>
      </ns0:c>
      <ns0:c r="O1381" t="n">
        <ns0:v>21305</ns0:v>
      </ns0:c>
      <ns0:c r="P1381" t="n">
        <ns0:v>3</ns0:v>
      </ns0:c>
      <ns0:c r="Q1381">
        <ns0:f>IF(AND(L1381=1,O1381*Calculations!$B$2&lt;=Calculations!$B$10*Calculations!$B$4),1,0)</ns0:f>
        <ns0:v>1</ns0:v>
      </ns0:c>
      <ns0:c r="R1381">
        <ns0:f>IF(AND(L1381=1,O1381*Calculations!$B$2&lt;=Calculations!$B$11*Calculations!$B$4),1,0)</ns0:f>
        <ns0:v>1</ns0:v>
      </ns0:c>
    </ns0:row>
    <ns0:row r="1382">
      <ns0:c r="A1382" t="inlineStr">
        <ns0:is>
          <ns0:t>case_1381</ns0:t>
        </ns0:is>
      </ns0:c>
      <ns0:c r="B1382" t="inlineStr">
        <ns0:is>
          <ns0:t>function_0367</ns0:t>
        </ns0:is>
      </ns0:c>
      <ns0:c r="C1382" t="inlineStr">
        <ns0:is>
          <ns0:t>run_013</ns0:t>
        </ns0:is>
      </ns0:c>
      <ns0:c r="D1382" t="inlineStr">
        <ns0:is>
          <ns0:t>rand</ns0:t>
        </ns0:is>
      </ns0:c>
      <ns0:c r="E1382" t="inlineStr">
        <ns0:is>
          <ns0:t>gemini-2.5-flash-nothinking</ns0:t>
        </ns0:is>
      </ns0:c>
      <ns0:c r="F1382" t="inlineStr">
        <ns0:is>
          <ns0:t>E0412,E0599</ns0:t>
        </ns0:is>
      </ns0:c>
      <ns0:c r="G1382" t="n">
        <ns0:v>0</ns0:v>
      </ns0:c>
      <ns0:c r="H1382" t="n">
        <ns0:v>7126</ns0:v>
      </ns0:c>
      <ns0:c r="I1382" t="n">
        <ns0:v>1412</ns0:v>
      </ns0:c>
      <ns0:c r="J1382" t="n">
        <ns0:v>8538</ns0:v>
      </ns0:c>
      <ns0:c r="K1382" t="n">
        <ns0:v>3</ns0:v>
      </ns0:c>
      <ns0:c r="L1382" t="n">
        <ns0:v>1</ns0:v>
      </ns0:c>
      <ns0:c r="M1382" t="n">
        <ns0:v>87980</ns0:v>
      </ns0:c>
      <ns0:c r="N1382" t="n">
        <ns0:v>981</ns0:v>
      </ns0:c>
      <ns0:c r="O1382" t="n">
        <ns0:v>88961</ns0:v>
      </ns0:c>
      <ns0:c r="P1382" t="n">
        <ns0:v>10</ns0:v>
      </ns0:c>
      <ns0:c r="Q1382">
        <ns0:f>IF(AND(L1382=1,O1382*Calculations!$B$2&lt;=Calculations!$B$10*Calculations!$B$4),1,0)</ns0:f>
        <ns0:v>0</ns0:v>
      </ns0:c>
      <ns0:c r="R1382">
        <ns0:f>IF(AND(L1382=1,O1382*Calculations!$B$2&lt;=Calculations!$B$11*Calculations!$B$4),1,0)</ns0:f>
        <ns0:v>0</ns0:v>
      </ns0:c>
    </ns0:row>
    <ns0:row r="1383">
      <ns0:c r="A1383" t="inlineStr">
        <ns0:is>
          <ns0:t>case_1382</ns0:t>
        </ns0:is>
      </ns0:c>
      <ns0:c r="B1383" t="inlineStr">
        <ns0:is>
          <ns0:t>function_0367</ns0:t>
        </ns0:is>
      </ns0:c>
      <ns0:c r="C1383" t="inlineStr">
        <ns0:is>
          <ns0:t>run_013</ns0:t>
        </ns0:is>
      </ns0:c>
      <ns0:c r="D1383" t="inlineStr">
        <ns0:is>
          <ns0:t>rand</ns0:t>
        </ns0:is>
      </ns0:c>
      <ns0:c r="E1383" t="inlineStr">
        <ns0:is>
          <ns0:t>gemini-2.5-flash-nothinking</ns0:t>
        </ns0:is>
      </ns0:c>
      <ns0:c r="F1383" t="inlineStr">
        <ns0:is>
          <ns0:t>E0599</ns0:t>
        </ns0:is>
      </ns0:c>
      <ns0:c r="G1383" t="n">
        <ns0:v>0</ns0:v>
      </ns0:c>
      <ns0:c r="H1383" t="n">
        <ns0:v>5514</ns0:v>
      </ns0:c>
      <ns0:c r="I1383" t="n">
        <ns0:v>1034</ns0:v>
      </ns0:c>
      <ns0:c r="J1383" t="n">
        <ns0:v>6548</ns0:v>
      </ns0:c>
      <ns0:c r="K1383" t="n">
        <ns0:v>3</ns0:v>
      </ns0:c>
      <ns0:c r="L1383" t="n">
        <ns0:v>0</ns0:v>
      </ns0:c>
      <ns0:c r="M1383" t="n">
        <ns0:v>223518</ns0:v>
      </ns0:c>
      <ns0:c r="N1383" t="n">
        <ns0:v>2944</ns0:v>
      </ns0:c>
      <ns0:c r="O1383" t="n">
        <ns0:v>226462</ns0:v>
      </ns0:c>
      <ns0:c r="P1383" t="n">
        <ns0:v>20</ns0:v>
      </ns0:c>
      <ns0:c r="Q1383">
        <ns0:f>IF(AND(L1383=1,O1383*Calculations!$B$2&lt;=Calculations!$B$10*Calculations!$B$4),1,0)</ns0:f>
        <ns0:v>0</ns0:v>
      </ns0:c>
      <ns0:c r="R1383">
        <ns0:f>IF(AND(L1383=1,O1383*Calculations!$B$2&lt;=Calculations!$B$11*Calculations!$B$4),1,0)</ns0:f>
        <ns0:v>0</ns0:v>
      </ns0:c>
    </ns0:row>
    <ns0:row r="1384">
      <ns0:c r="A1384" t="inlineStr">
        <ns0:is>
          <ns0:t>case_1383</ns0:t>
        </ns0:is>
      </ns0:c>
      <ns0:c r="B1384" t="inlineStr">
        <ns0:is>
          <ns0:t>function_0368</ns0:t>
        </ns0:is>
      </ns0:c>
      <ns0:c r="C1384" t="inlineStr">
        <ns0:is>
          <ns0:t>run_013</ns0:t>
        </ns0:is>
      </ns0:c>
      <ns0:c r="D1384" t="inlineStr">
        <ns0:is>
          <ns0:t>rand</ns0:t>
        </ns0:is>
      </ns0:c>
      <ns0:c r="E1384" t="inlineStr">
        <ns0:is>
          <ns0:t>gemini-2.5-flash-nothinking</ns0:t>
        </ns0:is>
      </ns0:c>
      <ns0:c r="F1384" t="inlineStr">
        <ns0:is>
          <ns0:t>E0061,E0277,E0308,E0433,E0689</ns0:t>
        </ns0:is>
      </ns0:c>
      <ns0:c r="G1384" t="n">
        <ns0:v>0</ns0:v>
      </ns0:c>
      <ns0:c r="H1384" t="n">
        <ns0:v>7171</ns0:v>
      </ns0:c>
      <ns0:c r="I1384" t="n">
        <ns0:v>1230</ns0:v>
      </ns0:c>
      <ns0:c r="J1384" t="n">
        <ns0:v>8401</ns0:v>
      </ns0:c>
      <ns0:c r="K1384" t="n">
        <ns0:v>3</ns0:v>
      </ns0:c>
      <ns0:c r="L1384" t="n">
        <ns0:v>0</ns0:v>
      </ns0:c>
      <ns0:c r="M1384" t="n">
        <ns0:v>323371</ns0:v>
      </ns0:c>
      <ns0:c r="N1384" t="n">
        <ns0:v>10866</ns0:v>
      </ns0:c>
      <ns0:c r="O1384" t="n">
        <ns0:v>334237</ns0:v>
      </ns0:c>
      <ns0:c r="P1384" t="n">
        <ns0:v>20</ns0:v>
      </ns0:c>
      <ns0:c r="Q1384">
        <ns0:f>IF(AND(L1384=1,O1384*Calculations!$B$2&lt;=Calculations!$B$10*Calculations!$B$4),1,0)</ns0:f>
        <ns0:v>0</ns0:v>
      </ns0:c>
      <ns0:c r="R1384">
        <ns0:f>IF(AND(L1384=1,O1384*Calculations!$B$2&lt;=Calculations!$B$11*Calculations!$B$4),1,0)</ns0:f>
        <ns0:v>0</ns0:v>
      </ns0:c>
    </ns0:row>
    <ns0:row r="1385">
      <ns0:c r="A1385" t="inlineStr">
        <ns0:is>
          <ns0:t>case_1384</ns0:t>
        </ns0:is>
      </ns0:c>
      <ns0:c r="B1385" t="inlineStr">
        <ns0:is>
          <ns0:t>function_0368</ns0:t>
        </ns0:is>
      </ns0:c>
      <ns0:c r="C1385" t="inlineStr">
        <ns0:is>
          <ns0:t>run_013</ns0:t>
        </ns0:is>
      </ns0:c>
      <ns0:c r="D1385" t="inlineStr">
        <ns0:is>
          <ns0:t>rand</ns0:t>
        </ns0:is>
      </ns0:c>
      <ns0:c r="E1385" t="inlineStr">
        <ns0:is>
          <ns0:t>gemini-2.5-flash-nothinking</ns0:t>
        </ns0:is>
      </ns0:c>
      <ns0:c r="F1385" t="inlineStr">
        <ns0:is>
          <ns0:t>E0277,E0432,E0433</ns0:t>
        </ns0:is>
      </ns0:c>
      <ns0:c r="G1385" t="n">
        <ns0:v>0</ns0:v>
      </ns0:c>
      <ns0:c r="H1385" t="n">
        <ns0:v>5657</ns0:v>
      </ns0:c>
      <ns0:c r="I1385" t="n">
        <ns0:v>462</ns0:v>
      </ns0:c>
      <ns0:c r="J1385" t="n">
        <ns0:v>6119</ns0:v>
      </ns0:c>
      <ns0:c r="K1385" t="n">
        <ns0:v>3</ns0:v>
      </ns0:c>
      <ns0:c r="L1385" t="n">
        <ns0:v>1</ns0:v>
      </ns0:c>
      <ns0:c r="M1385" t="n">
        <ns0:v>34436</ns0:v>
      </ns0:c>
      <ns0:c r="N1385" t="n">
        <ns0:v>1148</ns0:v>
      </ns0:c>
      <ns0:c r="O1385" t="n">
        <ns0:v>35584</ns0:v>
      </ns0:c>
      <ns0:c r="P1385" t="n">
        <ns0:v>4</ns0:v>
      </ns0:c>
      <ns0:c r="Q1385">
        <ns0:f>IF(AND(L1385=1,O1385*Calculations!$B$2&lt;=Calculations!$B$10*Calculations!$B$4),1,0)</ns0:f>
        <ns0:v>0</ns0:v>
      </ns0:c>
      <ns0:c r="R1385">
        <ns0:f>IF(AND(L1385=1,O1385*Calculations!$B$2&lt;=Calculations!$B$11*Calculations!$B$4),1,0)</ns0:f>
        <ns0:v>1</ns0:v>
      </ns0:c>
    </ns0:row>
    <ns0:row r="1386">
      <ns0:c r="A1386" t="inlineStr">
        <ns0:is>
          <ns0:t>case_1385</ns0:t>
        </ns0:is>
      </ns0:c>
      <ns0:c r="B1386" t="inlineStr">
        <ns0:is>
          <ns0:t>function_0369</ns0:t>
        </ns0:is>
      </ns0:c>
      <ns0:c r="C1386" t="inlineStr">
        <ns0:is>
          <ns0:t>run_013</ns0:t>
        </ns0:is>
      </ns0:c>
      <ns0:c r="D1386" t="inlineStr">
        <ns0:is>
          <ns0:t>rand</ns0:t>
        </ns0:is>
      </ns0:c>
      <ns0:c r="E1386" t="inlineStr">
        <ns0:is>
          <ns0:t>gemini-2.5-flash-nothinking</ns0:t>
        </ns0:is>
      </ns0:c>
      <ns0:c r="F1386" t="inlineStr">
        <ns0:is>
          <ns0:t>E0061,E0277,E0432,E0433</ns0:t>
        </ns0:is>
      </ns0:c>
      <ns0:c r="G1386" t="n">
        <ns0:v>0</ns0:v>
      </ns0:c>
      <ns0:c r="H1386" t="n">
        <ns0:v>6253</ns0:v>
      </ns0:c>
      <ns0:c r="I1386" t="n">
        <ns0:v>498</ns0:v>
      </ns0:c>
      <ns0:c r="J1386" t="n">
        <ns0:v>6751</ns0:v>
      </ns0:c>
      <ns0:c r="K1386" t="n">
        <ns0:v>3</ns0:v>
      </ns0:c>
      <ns0:c r="L1386" t="n">
        <ns0:v>0</ns0:v>
      </ns0:c>
      <ns0:c r="M1386" t="n">
        <ns0:v>336582</ns0:v>
      </ns0:c>
      <ns0:c r="N1386" t="n">
        <ns0:v>3569</ns0:v>
      </ns0:c>
      <ns0:c r="O1386" t="n">
        <ns0:v>340151</ns0:v>
      </ns0:c>
      <ns0:c r="P1386" t="n">
        <ns0:v>20</ns0:v>
      </ns0:c>
      <ns0:c r="Q1386">
        <ns0:f>IF(AND(L1386=1,O1386*Calculations!$B$2&lt;=Calculations!$B$10*Calculations!$B$4),1,0)</ns0:f>
        <ns0:v>0</ns0:v>
      </ns0:c>
      <ns0:c r="R1386">
        <ns0:f>IF(AND(L1386=1,O1386*Calculations!$B$2&lt;=Calculations!$B$11*Calculations!$B$4),1,0)</ns0:f>
        <ns0:v>0</ns0:v>
      </ns0:c>
    </ns0:row>
    <ns0:row r="1387">
      <ns0:c r="A1387" t="inlineStr">
        <ns0:is>
          <ns0:t>case_1386</ns0:t>
        </ns0:is>
      </ns0:c>
      <ns0:c r="B1387" t="inlineStr">
        <ns0:is>
          <ns0:t>function_0369</ns0:t>
        </ns0:is>
      </ns0:c>
      <ns0:c r="C1387" t="inlineStr">
        <ns0:is>
          <ns0:t>run_013</ns0:t>
        </ns0:is>
      </ns0:c>
      <ns0:c r="D1387" t="inlineStr">
        <ns0:is>
          <ns0:t>rand</ns0:t>
        </ns0:is>
      </ns0:c>
      <ns0:c r="E1387" t="inlineStr">
        <ns0:is>
          <ns0:t>gemini-2.5-flash-nothinking</ns0:t>
        </ns0:is>
      </ns0:c>
      <ns0:c r="F1387" t="inlineStr">
        <ns0:is>
          <ns0:t>E0405,E0407,E0433,E0437</ns0:t>
        </ns0:is>
      </ns0:c>
      <ns0:c r="G1387" t="n">
        <ns0:v>0</ns0:v>
      </ns0:c>
      <ns0:c r="H1387" t="n">
        <ns0:v>8419</ns0:v>
      </ns0:c>
      <ns0:c r="I1387" t="n">
        <ns0:v>1686</ns0:v>
      </ns0:c>
      <ns0:c r="J1387" t="n">
        <ns0:v>10105</ns0:v>
      </ns0:c>
      <ns0:c r="K1387" t="n">
        <ns0:v>3</ns0:v>
      </ns0:c>
      <ns0:c r="L1387" t="n">
        <ns0:v>0</ns0:v>
      </ns0:c>
      <ns0:c r="M1387" t="n">
        <ns0:v>234604</ns0:v>
      </ns0:c>
      <ns0:c r="N1387" t="n">
        <ns0:v>4098</ns0:v>
      </ns0:c>
      <ns0:c r="O1387" t="n">
        <ns0:v>238702</ns0:v>
      </ns0:c>
      <ns0:c r="P1387" t="n">
        <ns0:v>21</ns0:v>
      </ns0:c>
      <ns0:c r="Q1387">
        <ns0:f>IF(AND(L1387=1,O1387*Calculations!$B$2&lt;=Calculations!$B$10*Calculations!$B$4),1,0)</ns0:f>
        <ns0:v>0</ns0:v>
      </ns0:c>
      <ns0:c r="R1387">
        <ns0:f>IF(AND(L1387=1,O1387*Calculations!$B$2&lt;=Calculations!$B$11*Calculations!$B$4),1,0)</ns0:f>
        <ns0:v>0</ns0:v>
      </ns0:c>
    </ns0:row>
    <ns0:row r="1388">
      <ns0:c r="A1388" t="inlineStr">
        <ns0:is>
          <ns0:t>case_1387</ns0:t>
        </ns0:is>
      </ns0:c>
      <ns0:c r="B1388" t="inlineStr">
        <ns0:is>
          <ns0:t>function_0370</ns0:t>
        </ns0:is>
      </ns0:c>
      <ns0:c r="C1388" t="inlineStr">
        <ns0:is>
          <ns0:t>run_013</ns0:t>
        </ns0:is>
      </ns0:c>
      <ns0:c r="D1388" t="inlineStr">
        <ns0:is>
          <ns0:t>rand</ns0:t>
        </ns0:is>
      </ns0:c>
      <ns0:c r="E1388" t="inlineStr">
        <ns0:is>
          <ns0:t>gemini-2.5-flash-nothinking</ns0:t>
        </ns0:is>
      </ns0:c>
      <ns0:c r="F1388" t="inlineStr">
        <ns0:is>
          <ns0:t>E0432,E0433</ns0:t>
        </ns0:is>
      </ns0:c>
      <ns0:c r="G1388" t="n">
        <ns0:v>1</ns0:v>
      </ns0:c>
      <ns0:c r="H1388" t="n">
        <ns0:v>0</ns0:v>
      </ns0:c>
      <ns0:c r="I1388" t="n">
        <ns0:v>0</ns0:v>
      </ns0:c>
      <ns0:c r="J1388" t="n">
        <ns0:v>0</ns0:v>
      </ns0:c>
      <ns0:c r="K1388" t="n">
        <ns0:v>0</ns0:v>
      </ns0:c>
      <ns0:c r="L1388" t="n">
        <ns0:v>0</ns0:v>
      </ns0:c>
      <ns0:c r="M1388" t="n">
        <ns0:v>242509</ns0:v>
      </ns0:c>
      <ns0:c r="N1388" t="n">
        <ns0:v>6598</ns0:v>
      </ns0:c>
      <ns0:c r="O1388" t="n">
        <ns0:v>249107</ns0:v>
      </ns0:c>
      <ns0:c r="P1388" t="n">
        <ns0:v>20</ns0:v>
      </ns0:c>
      <ns0:c r="Q1388">
        <ns0:f>IF(AND(L1388=1,O1388*Calculations!$B$2&lt;=Calculations!$B$10*Calculations!$B$4),1,0)</ns0:f>
        <ns0:v>0</ns0:v>
      </ns0:c>
      <ns0:c r="R1388">
        <ns0:f>IF(AND(L1388=1,O1388*Calculations!$B$2&lt;=Calculations!$B$11*Calculations!$B$4),1,0)</ns0:f>
        <ns0:v>0</ns0:v>
      </ns0:c>
    </ns0:row>
    <ns0:row r="1389">
      <ns0:c r="A1389" t="inlineStr">
        <ns0:is>
          <ns0:t>case_1388</ns0:t>
        </ns0:is>
      </ns0:c>
      <ns0:c r="B1389" t="inlineStr">
        <ns0:is>
          <ns0:t>function_0370</ns0:t>
        </ns0:is>
      </ns0:c>
      <ns0:c r="C1389" t="inlineStr">
        <ns0:is>
          <ns0:t>run_013</ns0:t>
        </ns0:is>
      </ns0:c>
      <ns0:c r="D1389" t="inlineStr">
        <ns0:is>
          <ns0:t>rand</ns0:t>
        </ns0:is>
      </ns0:c>
      <ns0:c r="E1389" t="inlineStr">
        <ns0:is>
          <ns0:t>gemini-2.5-flash-nothinking</ns0:t>
        </ns0:is>
      </ns0:c>
      <ns0:c r="F1389" t="inlineStr">
        <ns0:is>
          <ns0:t>E0061,E0277,E0308,E0432,E0433,E0599</ns0:t>
        </ns0:is>
      </ns0:c>
      <ns0:c r="G1389" t="n">
        <ns0:v>0</ns0:v>
      </ns0:c>
      <ns0:c r="H1389" t="n">
        <ns0:v>8391</ns0:v>
      </ns0:c>
      <ns0:c r="I1389" t="n">
        <ns0:v>230</ns0:v>
      </ns0:c>
      <ns0:c r="J1389" t="n">
        <ns0:v>8621</ns0:v>
      </ns0:c>
      <ns0:c r="K1389" t="n">
        <ns0:v>3</ns0:v>
      </ns0:c>
      <ns0:c r="L1389" t="n">
        <ns0:v>0</ns0:v>
      </ns0:c>
      <ns0:c r="M1389" t="n">
        <ns0:v>301250</ns0:v>
      </ns0:c>
      <ns0:c r="N1389" t="n">
        <ns0:v>4795</ns0:v>
      </ns0:c>
      <ns0:c r="O1389" t="n">
        <ns0:v>306045</ns0:v>
      </ns0:c>
      <ns0:c r="P1389" t="n">
        <ns0:v>20</ns0:v>
      </ns0:c>
      <ns0:c r="Q1389">
        <ns0:f>IF(AND(L1389=1,O1389*Calculations!$B$2&lt;=Calculations!$B$10*Calculations!$B$4),1,0)</ns0:f>
        <ns0:v>0</ns0:v>
      </ns0:c>
      <ns0:c r="R1389">
        <ns0:f>IF(AND(L1389=1,O1389*Calculations!$B$2&lt;=Calculations!$B$11*Calculations!$B$4),1,0)</ns0:f>
        <ns0:v>0</ns0:v>
      </ns0:c>
    </ns0:row>
    <ns0:row r="1390">
      <ns0:c r="A1390" t="inlineStr">
        <ns0:is>
          <ns0:t>case_1389</ns0:t>
        </ns0:is>
      </ns0:c>
      <ns0:c r="B1390" t="inlineStr">
        <ns0:is>
          <ns0:t>function_0371</ns0:t>
        </ns0:is>
      </ns0:c>
      <ns0:c r="C1390" t="inlineStr">
        <ns0:is>
          <ns0:t>run_013</ns0:t>
        </ns0:is>
      </ns0:c>
      <ns0:c r="D1390" t="inlineStr">
        <ns0:is>
          <ns0:t>rand</ns0:t>
        </ns0:is>
      </ns0:c>
      <ns0:c r="E1390" t="inlineStr">
        <ns0:is>
          <ns0:t>gemini-2.5-flash-nothinking</ns0:t>
        </ns0:is>
      </ns0:c>
      <ns0:c r="F1390" t="inlineStr">
        <ns0:is>
          <ns0:t>E0061,E0277,E0432,E0433</ns0:t>
        </ns0:is>
      </ns0:c>
      <ns0:c r="G1390" t="n">
        <ns0:v>0</ns0:v>
      </ns0:c>
      <ns0:c r="H1390" t="n">
        <ns0:v>11752</ns0:v>
      </ns0:c>
      <ns0:c r="I1390" t="n">
        <ns0:v>977</ns0:v>
      </ns0:c>
      <ns0:c r="J1390" t="n">
        <ns0:v>12729</ns0:v>
      </ns0:c>
      <ns0:c r="K1390" t="n">
        <ns0:v>3</ns0:v>
      </ns0:c>
      <ns0:c r="L1390" t="n">
        <ns0:v>0</ns0:v>
      </ns0:c>
      <ns0:c r="M1390" t="n">
        <ns0:v>373287</ns0:v>
      </ns0:c>
      <ns0:c r="N1390" t="n">
        <ns0:v>5879</ns0:v>
      </ns0:c>
      <ns0:c r="O1390" t="n">
        <ns0:v>379166</ns0:v>
      </ns0:c>
      <ns0:c r="P1390" t="n">
        <ns0:v>20</ns0:v>
      </ns0:c>
      <ns0:c r="Q1390">
        <ns0:f>IF(AND(L1390=1,O1390*Calculations!$B$2&lt;=Calculations!$B$10*Calculations!$B$4),1,0)</ns0:f>
        <ns0:v>0</ns0:v>
      </ns0:c>
      <ns0:c r="R1390">
        <ns0:f>IF(AND(L1390=1,O1390*Calculations!$B$2&lt;=Calculations!$B$11*Calculations!$B$4),1,0)</ns0:f>
        <ns0:v>0</ns0:v>
      </ns0:c>
    </ns0:row>
    <ns0:row r="1391">
      <ns0:c r="A1391" t="inlineStr">
        <ns0:is>
          <ns0:t>case_1390</ns0:t>
        </ns0:is>
      </ns0:c>
      <ns0:c r="B1391" t="inlineStr">
        <ns0:is>
          <ns0:t>function_0371</ns0:t>
        </ns0:is>
      </ns0:c>
      <ns0:c r="C1391" t="inlineStr">
        <ns0:is>
          <ns0:t>run_013</ns0:t>
        </ns0:is>
      </ns0:c>
      <ns0:c r="D1391" t="inlineStr">
        <ns0:is>
          <ns0:t>rand</ns0:t>
        </ns0:is>
      </ns0:c>
      <ns0:c r="E1391" t="inlineStr">
        <ns0:is>
          <ns0:t>gemini-2.5-flash-nothinking</ns0:t>
        </ns0:is>
      </ns0:c>
      <ns0:c r="F1391" t="inlineStr">
        <ns0:is>
          <ns0:t>E0277,E0308,E0599</ns0:t>
        </ns0:is>
      </ns0:c>
      <ns0:c r="G1391" t="n">
        <ns0:v>0</ns0:v>
      </ns0:c>
      <ns0:c r="H1391" t="n">
        <ns0:v>4311</ns0:v>
      </ns0:c>
      <ns0:c r="I1391" t="n">
        <ns0:v>1255</ns0:v>
      </ns0:c>
      <ns0:c r="J1391" t="n">
        <ns0:v>5566</ns0:v>
      </ns0:c>
      <ns0:c r="K1391" t="n">
        <ns0:v>3</ns0:v>
      </ns0:c>
      <ns0:c r="L1391" t="n">
        <ns0:v>0</ns0:v>
      </ns0:c>
      <ns0:c r="M1391" t="n">
        <ns0:v>740522</ns0:v>
      </ns0:c>
      <ns0:c r="N1391" t="n">
        <ns0:v>4365</ns0:v>
      </ns0:c>
      <ns0:c r="O1391" t="n">
        <ns0:v>744887</ns0:v>
      </ns0:c>
      <ns0:c r="P1391" t="n">
        <ns0:v>20</ns0:v>
      </ns0:c>
      <ns0:c r="Q1391">
        <ns0:f>IF(AND(L1391=1,O1391*Calculations!$B$2&lt;=Calculations!$B$10*Calculations!$B$4),1,0)</ns0:f>
        <ns0:v>0</ns0:v>
      </ns0:c>
      <ns0:c r="R1391">
        <ns0:f>IF(AND(L1391=1,O1391*Calculations!$B$2&lt;=Calculations!$B$11*Calculations!$B$4),1,0)</ns0:f>
        <ns0:v>0</ns0:v>
      </ns0:c>
    </ns0:row>
    <ns0:row r="1392">
      <ns0:c r="A1392" t="inlineStr">
        <ns0:is>
          <ns0:t>case_1391</ns0:t>
        </ns0:is>
      </ns0:c>
      <ns0:c r="B1392" t="inlineStr">
        <ns0:is>
          <ns0:t>function_0372</ns0:t>
        </ns0:is>
      </ns0:c>
      <ns0:c r="C1392" t="inlineStr">
        <ns0:is>
          <ns0:t>run_013</ns0:t>
        </ns0:is>
      </ns0:c>
      <ns0:c r="D1392" t="inlineStr">
        <ns0:is>
          <ns0:t>rand</ns0:t>
        </ns0:is>
      </ns0:c>
      <ns0:c r="E1392" t="inlineStr">
        <ns0:is>
          <ns0:t>gemini-2.5-flash-nothinking</ns0:t>
        </ns0:is>
      </ns0:c>
      <ns0:c r="F1392" t="inlineStr">
        <ns0:is>
          <ns0:t>E0277,E0432</ns0:t>
        </ns0:is>
      </ns0:c>
      <ns0:c r="G1392" t="n">
        <ns0:v>0</ns0:v>
      </ns0:c>
      <ns0:c r="H1392" t="n">
        <ns0:v>9673</ns0:v>
      </ns0:c>
      <ns0:c r="I1392" t="n">
        <ns0:v>654</ns0:v>
      </ns0:c>
      <ns0:c r="J1392" t="n">
        <ns0:v>10327</ns0:v>
      </ns0:c>
      <ns0:c r="K1392" t="n">
        <ns0:v>3</ns0:v>
      </ns0:c>
      <ns0:c r="L1392" t="n">
        <ns0:v>0</ns0:v>
      </ns0:c>
      <ns0:c r="M1392" t="n">
        <ns0:v>114888</ns0:v>
      </ns0:c>
      <ns0:c r="N1392" t="n">
        <ns0:v>1980</ns0:v>
      </ns0:c>
      <ns0:c r="O1392" t="n">
        <ns0:v>116868</ns0:v>
      </ns0:c>
      <ns0:c r="P1392" t="n">
        <ns0:v>10</ns0:v>
      </ns0:c>
      <ns0:c r="Q1392">
        <ns0:f>IF(AND(L1392=1,O1392*Calculations!$B$2&lt;=Calculations!$B$10*Calculations!$B$4),1,0)</ns0:f>
        <ns0:v>0</ns0:v>
      </ns0:c>
      <ns0:c r="R1392">
        <ns0:f>IF(AND(L1392=1,O1392*Calculations!$B$2&lt;=Calculations!$B$11*Calculations!$B$4),1,0)</ns0:f>
        <ns0:v>0</ns0:v>
      </ns0:c>
    </ns0:row>
    <ns0:row r="1393">
      <ns0:c r="A1393" t="inlineStr">
        <ns0:is>
          <ns0:t>case_1392</ns0:t>
        </ns0:is>
      </ns0:c>
      <ns0:c r="B1393" t="inlineStr">
        <ns0:is>
          <ns0:t>function_0372</ns0:t>
        </ns0:is>
      </ns0:c>
      <ns0:c r="C1393" t="inlineStr">
        <ns0:is>
          <ns0:t>run_013</ns0:t>
        </ns0:is>
      </ns0:c>
      <ns0:c r="D1393" t="inlineStr">
        <ns0:is>
          <ns0:t>rand</ns0:t>
        </ns0:is>
      </ns0:c>
      <ns0:c r="E1393" t="inlineStr">
        <ns0:is>
          <ns0:t>gemini-2.5-flash-nothinking</ns0:t>
        </ns0:is>
      </ns0:c>
      <ns0:c r="F1393" t="inlineStr">
        <ns0:is>
          <ns0:t>E0061,E0433,E0599</ns0:t>
        </ns0:is>
      </ns0:c>
      <ns0:c r="G1393" t="n">
        <ns0:v>0</ns0:v>
      </ns0:c>
      <ns0:c r="H1393" t="n">
        <ns0:v>10189</ns0:v>
      </ns0:c>
      <ns0:c r="I1393" t="n">
        <ns0:v>327</ns0:v>
      </ns0:c>
      <ns0:c r="J1393" t="n">
        <ns0:v>10516</ns0:v>
      </ns0:c>
      <ns0:c r="K1393" t="n">
        <ns0:v>3</ns0:v>
      </ns0:c>
      <ns0:c r="L1393" t="n">
        <ns0:v>0</ns0:v>
      </ns0:c>
      <ns0:c r="M1393" t="n">
        <ns0:v>269999</ns0:v>
      </ns0:c>
      <ns0:c r="N1393" t="n">
        <ns0:v>3510</ns0:v>
      </ns0:c>
      <ns0:c r="O1393" t="n">
        <ns0:v>273509</ns0:v>
      </ns0:c>
      <ns0:c r="P1393" t="n">
        <ns0:v>20</ns0:v>
      </ns0:c>
      <ns0:c r="Q1393">
        <ns0:f>IF(AND(L1393=1,O1393*Calculations!$B$2&lt;=Calculations!$B$10*Calculations!$B$4),1,0)</ns0:f>
        <ns0:v>0</ns0:v>
      </ns0:c>
      <ns0:c r="R1393">
        <ns0:f>IF(AND(L1393=1,O1393*Calculations!$B$2&lt;=Calculations!$B$11*Calculations!$B$4),1,0)</ns0:f>
        <ns0:v>0</ns0:v>
      </ns0:c>
    </ns0:row>
    <ns0:row r="1394">
      <ns0:c r="A1394" t="inlineStr">
        <ns0:is>
          <ns0:t>case_1393</ns0:t>
        </ns0:is>
      </ns0:c>
      <ns0:c r="B1394" t="inlineStr">
        <ns0:is>
          <ns0:t>function_0373</ns0:t>
        </ns0:is>
      </ns0:c>
      <ns0:c r="C1394" t="inlineStr">
        <ns0:is>
          <ns0:t>run_013</ns0:t>
        </ns0:is>
      </ns0:c>
      <ns0:c r="D1394" t="inlineStr">
        <ns0:is>
          <ns0:t>rand</ns0:t>
        </ns0:is>
      </ns0:c>
      <ns0:c r="E1394" t="inlineStr">
        <ns0:is>
          <ns0:t>gemini-2.5-flash-nothinking</ns0:t>
        </ns0:is>
      </ns0:c>
      <ns0:c r="F1394" t="inlineStr">
        <ns0:is>
          <ns0:t>E0061,E0277,E0432</ns0:t>
        </ns0:is>
      </ns0:c>
      <ns0:c r="G1394" t="n">
        <ns0:v>0</ns0:v>
      </ns0:c>
      <ns0:c r="H1394" t="n">
        <ns0:v>9694</ns0:v>
      </ns0:c>
      <ns0:c r="I1394" t="n">
        <ns0:v>797</ns0:v>
      </ns0:c>
      <ns0:c r="J1394" t="n">
        <ns0:v>10491</ns0:v>
      </ns0:c>
      <ns0:c r="K1394" t="n">
        <ns0:v>3</ns0:v>
      </ns0:c>
      <ns0:c r="L1394" t="n">
        <ns0:v>1</ns0:v>
      </ns0:c>
      <ns0:c r="M1394" t="n">
        <ns0:v>148977</ns0:v>
      </ns0:c>
      <ns0:c r="N1394" t="n">
        <ns0:v>4156</ns0:v>
      </ns0:c>
      <ns0:c r="O1394" t="n">
        <ns0:v>153133</ns0:v>
      </ns0:c>
      <ns0:c r="P1394" t="n">
        <ns0:v>10</ns0:v>
      </ns0:c>
      <ns0:c r="Q1394">
        <ns0:f>IF(AND(L1394=1,O1394*Calculations!$B$2&lt;=Calculations!$B$10*Calculations!$B$4),1,0)</ns0:f>
        <ns0:v>0</ns0:v>
      </ns0:c>
      <ns0:c r="R1394">
        <ns0:f>IF(AND(L1394=1,O1394*Calculations!$B$2&lt;=Calculations!$B$11*Calculations!$B$4),1,0)</ns0:f>
        <ns0:v>0</ns0:v>
      </ns0:c>
    </ns0:row>
    <ns0:row r="1395">
      <ns0:c r="A1395" t="inlineStr">
        <ns0:is>
          <ns0:t>case_1394</ns0:t>
        </ns0:is>
      </ns0:c>
      <ns0:c r="B1395" t="inlineStr">
        <ns0:is>
          <ns0:t>function_0373</ns0:t>
        </ns0:is>
      </ns0:c>
      <ns0:c r="C1395" t="inlineStr">
        <ns0:is>
          <ns0:t>run_013</ns0:t>
        </ns0:is>
      </ns0:c>
      <ns0:c r="D1395" t="inlineStr">
        <ns0:is>
          <ns0:t>rand</ns0:t>
        </ns0:is>
      </ns0:c>
      <ns0:c r="E1395" t="inlineStr">
        <ns0:is>
          <ns0:t>gemini-2.5-flash-nothinking</ns0:t>
        </ns0:is>
      </ns0:c>
      <ns0:c r="F1395" t="inlineStr">
        <ns0:is>
          <ns0:t>E0061,E0277,E0432</ns0:t>
        </ns0:is>
      </ns0:c>
      <ns0:c r="G1395" t="n">
        <ns0:v>0</ns0:v>
      </ns0:c>
      <ns0:c r="H1395" t="n">
        <ns0:v>9604</ns0:v>
      </ns0:c>
      <ns0:c r="I1395" t="n">
        <ns0:v>781</ns0:v>
      </ns0:c>
      <ns0:c r="J1395" t="n">
        <ns0:v>10385</ns0:v>
      </ns0:c>
      <ns0:c r="K1395" t="n">
        <ns0:v>3</ns0:v>
      </ns0:c>
      <ns0:c r="L1395" t="n">
        <ns0:v>0</ns0:v>
      </ns0:c>
      <ns0:c r="M1395" t="n">
        <ns0:v>316115</ns0:v>
      </ns0:c>
      <ns0:c r="N1395" t="n">
        <ns0:v>3276</ns0:v>
      </ns0:c>
      <ns0:c r="O1395" t="n">
        <ns0:v>319391</ns0:v>
      </ns0:c>
      <ns0:c r="P1395" t="n">
        <ns0:v>20</ns0:v>
      </ns0:c>
      <ns0:c r="Q1395">
        <ns0:f>IF(AND(L1395=1,O1395*Calculations!$B$2&lt;=Calculations!$B$10*Calculations!$B$4),1,0)</ns0:f>
        <ns0:v>0</ns0:v>
      </ns0:c>
      <ns0:c r="R1395">
        <ns0:f>IF(AND(L1395=1,O1395*Calculations!$B$2&lt;=Calculations!$B$11*Calculations!$B$4),1,0)</ns0:f>
        <ns0:v>0</ns0:v>
      </ns0:c>
    </ns0:row>
    <ns0:row r="1396">
      <ns0:c r="A1396" t="inlineStr">
        <ns0:is>
          <ns0:t>case_1395</ns0:t>
        </ns0:is>
      </ns0:c>
      <ns0:c r="B1396" t="inlineStr">
        <ns0:is>
          <ns0:t>function_0374</ns0:t>
        </ns0:is>
      </ns0:c>
      <ns0:c r="C1396" t="inlineStr">
        <ns0:is>
          <ns0:t>run_013</ns0:t>
        </ns0:is>
      </ns0:c>
      <ns0:c r="D1396" t="inlineStr">
        <ns0:is>
          <ns0:t>rand</ns0:t>
        </ns0:is>
      </ns0:c>
      <ns0:c r="E1396" t="inlineStr">
        <ns0:is>
          <ns0:t>gemini-2.5-flash-nothinking</ns0:t>
        </ns0:is>
      </ns0:c>
      <ns0:c r="F1396" t="inlineStr">
        <ns0:is>
          <ns0:t>E0277,E0599</ns0:t>
        </ns0:is>
      </ns0:c>
      <ns0:c r="G1396" t="n">
        <ns0:v>0</ns0:v>
      </ns0:c>
      <ns0:c r="H1396" t="n">
        <ns0:v>4177</ns0:v>
      </ns0:c>
      <ns0:c r="I1396" t="n">
        <ns0:v>1515</ns0:v>
      </ns0:c>
      <ns0:c r="J1396" t="n">
        <ns0:v>5692</ns0:v>
      </ns0:c>
      <ns0:c r="K1396" t="n">
        <ns0:v>3</ns0:v>
      </ns0:c>
      <ns0:c r="L1396" t="n">
        <ns0:v>0</ns0:v>
      </ns0:c>
      <ns0:c r="M1396" t="n">
        <ns0:v>149664</ns0:v>
      </ns0:c>
      <ns0:c r="N1396" t="n">
        <ns0:v>3681</ns0:v>
      </ns0:c>
      <ns0:c r="O1396" t="n">
        <ns0:v>153345</ns0:v>
      </ns0:c>
      <ns0:c r="P1396" t="n">
        <ns0:v>12</ns0:v>
      </ns0:c>
      <ns0:c r="Q1396">
        <ns0:f>IF(AND(L1396=1,O1396*Calculations!$B$2&lt;=Calculations!$B$10*Calculations!$B$4),1,0)</ns0:f>
        <ns0:v>0</ns0:v>
      </ns0:c>
      <ns0:c r="R1396">
        <ns0:f>IF(AND(L1396=1,O1396*Calculations!$B$2&lt;=Calculations!$B$11*Calculations!$B$4),1,0)</ns0:f>
        <ns0:v>0</ns0:v>
      </ns0:c>
    </ns0:row>
    <ns0:row r="1397">
      <ns0:c r="A1397" t="inlineStr">
        <ns0:is>
          <ns0:t>case_1396</ns0:t>
        </ns0:is>
      </ns0:c>
      <ns0:c r="B1397" t="inlineStr">
        <ns0:is>
          <ns0:t>function_0374</ns0:t>
        </ns0:is>
      </ns0:c>
      <ns0:c r="C1397" t="inlineStr">
        <ns0:is>
          <ns0:t>run_013</ns0:t>
        </ns0:is>
      </ns0:c>
      <ns0:c r="D1397" t="inlineStr">
        <ns0:is>
          <ns0:t>rand</ns0:t>
        </ns0:is>
      </ns0:c>
      <ns0:c r="E1397" t="inlineStr">
        <ns0:is>
          <ns0:t>gemini-2.5-flash-nothinking</ns0:t>
        </ns0:is>
      </ns0:c>
      <ns0:c r="F1397" t="inlineStr">
        <ns0:is>
          <ns0:t>E0061,E0277,E0308,E0599</ns0:t>
        </ns0:is>
      </ns0:c>
      <ns0:c r="G1397" t="n">
        <ns0:v>0</ns0:v>
      </ns0:c>
      <ns0:c r="H1397" t="n">
        <ns0:v>3212</ns0:v>
      </ns0:c>
      <ns0:c r="I1397" t="n">
        <ns0:v>399</ns0:v>
      </ns0:c>
      <ns0:c r="J1397" t="n">
        <ns0:v>3611</ns0:v>
      </ns0:c>
      <ns0:c r="K1397" t="n">
        <ns0:v>3</ns0:v>
      </ns0:c>
      <ns0:c r="L1397" t="n">
        <ns0:v>0</ns0:v>
      </ns0:c>
      <ns0:c r="M1397" t="n">
        <ns0:v>953617</ns0:v>
      </ns0:c>
      <ns0:c r="N1397" t="n">
        <ns0:v>7990</ns0:v>
      </ns0:c>
      <ns0:c r="O1397" t="n">
        <ns0:v>961607</ns0:v>
      </ns0:c>
      <ns0:c r="P1397" t="n">
        <ns0:v>20</ns0:v>
      </ns0:c>
      <ns0:c r="Q1397">
        <ns0:f>IF(AND(L1397=1,O1397*Calculations!$B$2&lt;=Calculations!$B$10*Calculations!$B$4),1,0)</ns0:f>
        <ns0:v>0</ns0:v>
      </ns0:c>
      <ns0:c r="R1397">
        <ns0:f>IF(AND(L1397=1,O1397*Calculations!$B$2&lt;=Calculations!$B$11*Calculations!$B$4),1,0)</ns0:f>
        <ns0:v>0</ns0:v>
      </ns0:c>
    </ns0:row>
    <ns0:row r="1398">
      <ns0:c r="A1398" t="inlineStr">
        <ns0:is>
          <ns0:t>case_1397</ns0:t>
        </ns0:is>
      </ns0:c>
      <ns0:c r="B1398" t="inlineStr">
        <ns0:is>
          <ns0:t>function_0375</ns0:t>
        </ns0:is>
      </ns0:c>
      <ns0:c r="C1398" t="inlineStr">
        <ns0:is>
          <ns0:t>run_013</ns0:t>
        </ns0:is>
      </ns0:c>
      <ns0:c r="D1398" t="inlineStr">
        <ns0:is>
          <ns0:t>rand</ns0:t>
        </ns0:is>
      </ns0:c>
      <ns0:c r="E1398" t="inlineStr">
        <ns0:is>
          <ns0:t>gemini-2.5-flash-nothinking</ns0:t>
        </ns0:is>
      </ns0:c>
      <ns0:c r="F1398" t="inlineStr">
        <ns0:is>
          <ns0:t>E0277,E0308</ns0:t>
        </ns0:is>
      </ns0:c>
      <ns0:c r="G1398" t="n">
        <ns0:v>1</ns0:v>
      </ns0:c>
      <ns0:c r="H1398" t="n">
        <ns0:v>795</ns0:v>
      </ns0:c>
      <ns0:c r="I1398" t="n">
        <ns0:v>128</ns0:v>
      </ns0:c>
      <ns0:c r="J1398" t="n">
        <ns0:v>923</ns0:v>
      </ns0:c>
      <ns0:c r="K1398" t="n">
        <ns0:v>1</ns0:v>
      </ns0:c>
      <ns0:c r="L1398" t="n">
        <ns0:v>1</ns0:v>
      </ns0:c>
      <ns0:c r="M1398" t="n">
        <ns0:v>13763</ns0:v>
      </ns0:c>
      <ns0:c r="N1398" t="n">
        <ns0:v>500</ns0:v>
      </ns0:c>
      <ns0:c r="O1398" t="n">
        <ns0:v>14263</ns0:v>
      </ns0:c>
      <ns0:c r="P1398" t="n">
        <ns0:v>2</ns0:v>
      </ns0:c>
      <ns0:c r="Q1398">
        <ns0:f>IF(AND(L1398=1,O1398*Calculations!$B$2&lt;=Calculations!$B$10*Calculations!$B$4),1,0)</ns0:f>
        <ns0:v>1</ns0:v>
      </ns0:c>
      <ns0:c r="R1398">
        <ns0:f>IF(AND(L1398=1,O1398*Calculations!$B$2&lt;=Calculations!$B$11*Calculations!$B$4),1,0)</ns0:f>
        <ns0:v>1</ns0:v>
      </ns0:c>
    </ns0:row>
    <ns0:row r="1399">
      <ns0:c r="A1399" t="inlineStr">
        <ns0:is>
          <ns0:t>case_1398</ns0:t>
        </ns0:is>
      </ns0:c>
      <ns0:c r="B1399" t="inlineStr">
        <ns0:is>
          <ns0:t>function_0376</ns0:t>
        </ns0:is>
      </ns0:c>
      <ns0:c r="C1399" t="inlineStr">
        <ns0:is>
          <ns0:t>run_013</ns0:t>
        </ns0:is>
      </ns0:c>
      <ns0:c r="D1399" t="inlineStr">
        <ns0:is>
          <ns0:t>rand</ns0:t>
        </ns0:is>
      </ns0:c>
      <ns0:c r="E1399" t="inlineStr">
        <ns0:is>
          <ns0:t>gemini-2.5-flash-nothinking</ns0:t>
        </ns0:is>
      </ns0:c>
      <ns0:c r="F1399" t="inlineStr">
        <ns0:is>
          <ns0:t>E0433</ns0:t>
        </ns0:is>
      </ns0:c>
      <ns0:c r="G1399" t="n">
        <ns0:v>1</ns0:v>
      </ns0:c>
      <ns0:c r="H1399" t="n">
        <ns0:v>0</ns0:v>
      </ns0:c>
      <ns0:c r="I1399" t="n">
        <ns0:v>0</ns0:v>
      </ns0:c>
      <ns0:c r="J1399" t="n">
        <ns0:v>0</ns0:v>
      </ns0:c>
      <ns0:c r="K1399" t="n">
        <ns0:v>0</ns0:v>
      </ns0:c>
      <ns0:c r="L1399" t="n">
        <ns0:v>1</ns0:v>
      </ns0:c>
      <ns0:c r="M1399" t="n">
        <ns0:v>20637</ns0:v>
      </ns0:c>
      <ns0:c r="N1399" t="n">
        <ns0:v>436</ns0:v>
      </ns0:c>
      <ns0:c r="O1399" t="n">
        <ns0:v>21073</ns0:v>
      </ns0:c>
      <ns0:c r="P1399" t="n">
        <ns0:v>3</ns0:v>
      </ns0:c>
      <ns0:c r="Q1399">
        <ns0:f>IF(AND(L1399=1,O1399*Calculations!$B$2&lt;=Calculations!$B$10*Calculations!$B$4),1,0)</ns0:f>
        <ns0:v>1</ns0:v>
      </ns0:c>
      <ns0:c r="R1399">
        <ns0:f>IF(AND(L1399=1,O1399*Calculations!$B$2&lt;=Calculations!$B$11*Calculations!$B$4),1,0)</ns0:f>
        <ns0:v>1</ns0:v>
      </ns0:c>
    </ns0:row>
    <ns0:row r="1400">
      <ns0:c r="A1400" t="inlineStr">
        <ns0:is>
          <ns0:t>case_1399</ns0:t>
        </ns0:is>
      </ns0:c>
      <ns0:c r="B1400" t="inlineStr">
        <ns0:is>
          <ns0:t>function_0376</ns0:t>
        </ns0:is>
      </ns0:c>
      <ns0:c r="C1400" t="inlineStr">
        <ns0:is>
          <ns0:t>run_013</ns0:t>
        </ns0:is>
      </ns0:c>
      <ns0:c r="D1400" t="inlineStr">
        <ns0:is>
          <ns0:t>rand</ns0:t>
        </ns0:is>
      </ns0:c>
      <ns0:c r="E1400" t="inlineStr">
        <ns0:is>
          <ns0:t>gemini-2.5-flash-nothinking</ns0:t>
        </ns0:is>
      </ns0:c>
      <ns0:c r="F1400" t="inlineStr">
        <ns0:is>
          <ns0:t>E0061</ns0:t>
        </ns0:is>
      </ns0:c>
      <ns0:c r="G1400" t="n">
        <ns0:v>1</ns0:v>
      </ns0:c>
      <ns0:c r="H1400" t="n">
        <ns0:v>533</ns0:v>
      </ns0:c>
      <ns0:c r="I1400" t="n">
        <ns0:v>53</ns0:v>
      </ns0:c>
      <ns0:c r="J1400" t="n">
        <ns0:v>586</ns0:v>
      </ns0:c>
      <ns0:c r="K1400" t="n">
        <ns0:v>1</ns0:v>
      </ns0:c>
      <ns0:c r="L1400" t="n">
        <ns0:v>1</ns0:v>
      </ns0:c>
      <ns0:c r="M1400" t="n">
        <ns0:v>20548</ns0:v>
      </ns0:c>
      <ns0:c r="N1400" t="n">
        <ns0:v>318</ns0:v>
      </ns0:c>
      <ns0:c r="O1400" t="n">
        <ns0:v>20866</ns0:v>
      </ns0:c>
      <ns0:c r="P1400" t="n">
        <ns0:v>3</ns0:v>
      </ns0:c>
      <ns0:c r="Q1400">
        <ns0:f>IF(AND(L1400=1,O1400*Calculations!$B$2&lt;=Calculations!$B$10*Calculations!$B$4),1,0)</ns0:f>
        <ns0:v>1</ns0:v>
      </ns0:c>
      <ns0:c r="R1400">
        <ns0:f>IF(AND(L1400=1,O1400*Calculations!$B$2&lt;=Calculations!$B$11*Calculations!$B$4),1,0)</ns0:f>
        <ns0:v>1</ns0:v>
      </ns0:c>
    </ns0:row>
    <ns0:row r="1401">
      <ns0:c r="A1401" t="inlineStr">
        <ns0:is>
          <ns0:t>case_1400</ns0:t>
        </ns0:is>
      </ns0:c>
      <ns0:c r="B1401" t="inlineStr">
        <ns0:is>
          <ns0:t>function_0377</ns0:t>
        </ns0:is>
      </ns0:c>
      <ns0:c r="C1401" t="inlineStr">
        <ns0:is>
          <ns0:t>run_013</ns0:t>
        </ns0:is>
      </ns0:c>
      <ns0:c r="D1401" t="inlineStr">
        <ns0:is>
          <ns0:t>rand</ns0:t>
        </ns0:is>
      </ns0:c>
      <ns0:c r="E1401" t="inlineStr">
        <ns0:is>
          <ns0:t>gemini-2.5-flash-nothinking</ns0:t>
        </ns0:is>
      </ns0:c>
      <ns0:c r="F1401" t="inlineStr">
        <ns0:is>
          <ns0:t>E0433</ns0:t>
        </ns0:is>
      </ns0:c>
      <ns0:c r="G1401" t="n">
        <ns0:v>1</ns0:v>
      </ns0:c>
      <ns0:c r="H1401" t="n">
        <ns0:v>0</ns0:v>
      </ns0:c>
      <ns0:c r="I1401" t="n">
        <ns0:v>0</ns0:v>
      </ns0:c>
      <ns0:c r="J1401" t="n">
        <ns0:v>0</ns0:v>
      </ns0:c>
      <ns0:c r="K1401" t="n">
        <ns0:v>0</ns0:v>
      </ns0:c>
      <ns0:c r="L1401" t="n">
        <ns0:v>1</ns0:v>
      </ns0:c>
      <ns0:c r="M1401" t="n">
        <ns0:v>27710</ns0:v>
      </ns0:c>
      <ns0:c r="N1401" t="n">
        <ns0:v>312</ns0:v>
      </ns0:c>
      <ns0:c r="O1401" t="n">
        <ns0:v>28022</ns0:v>
      </ns0:c>
      <ns0:c r="P1401" t="n">
        <ns0:v>4</ns0:v>
      </ns0:c>
      <ns0:c r="Q1401">
        <ns0:f>IF(AND(L1401=1,O1401*Calculations!$B$2&lt;=Calculations!$B$10*Calculations!$B$4),1,0)</ns0:f>
        <ns0:v>0</ns0:v>
      </ns0:c>
      <ns0:c r="R1401">
        <ns0:f>IF(AND(L1401=1,O1401*Calculations!$B$2&lt;=Calculations!$B$11*Calculations!$B$4),1,0)</ns0:f>
        <ns0:v>1</ns0:v>
      </ns0:c>
    </ns0:row>
    <ns0:row r="1402">
      <ns0:c r="A1402" t="inlineStr">
        <ns0:is>
          <ns0:t>case_1401</ns0:t>
        </ns0:is>
      </ns0:c>
      <ns0:c r="B1402" t="inlineStr">
        <ns0:is>
          <ns0:t>function_0378</ns0:t>
        </ns0:is>
      </ns0:c>
      <ns0:c r="C1402" t="inlineStr">
        <ns0:is>
          <ns0:t>run_013</ns0:t>
        </ns0:is>
      </ns0:c>
      <ns0:c r="D1402" t="inlineStr">
        <ns0:is>
          <ns0:t>rand</ns0:t>
        </ns0:is>
      </ns0:c>
      <ns0:c r="E1402" t="inlineStr">
        <ns0:is>
          <ns0:t>gemini-2.5-flash-nothinking</ns0:t>
        </ns0:is>
      </ns0:c>
      <ns0:c r="F1402" t="inlineStr">
        <ns0:is>
          <ns0:t>E0277,E0308</ns0:t>
        </ns0:is>
      </ns0:c>
      <ns0:c r="G1402" t="n">
        <ns0:v>1</ns0:v>
      </ns0:c>
      <ns0:c r="H1402" t="n">
        <ns0:v>735</ns0:v>
      </ns0:c>
      <ns0:c r="I1402" t="n">
        <ns0:v>91</ns0:v>
      </ns0:c>
      <ns0:c r="J1402" t="n">
        <ns0:v>826</ns0:v>
      </ns0:c>
      <ns0:c r="K1402" t="n">
        <ns0:v>1</ns0:v>
      </ns0:c>
      <ns0:c r="L1402" t="n">
        <ns0:v>1</ns0:v>
      </ns0:c>
      <ns0:c r="M1402" t="n">
        <ns0:v>20806</ns0:v>
      </ns0:c>
      <ns0:c r="N1402" t="n">
        <ns0:v>402</ns0:v>
      </ns0:c>
      <ns0:c r="O1402" t="n">
        <ns0:v>21208</ns0:v>
      </ns0:c>
      <ns0:c r="P1402" t="n">
        <ns0:v>3</ns0:v>
      </ns0:c>
      <ns0:c r="Q1402">
        <ns0:f>IF(AND(L1402=1,O1402*Calculations!$B$2&lt;=Calculations!$B$10*Calculations!$B$4),1,0)</ns0:f>
        <ns0:v>1</ns0:v>
      </ns0:c>
      <ns0:c r="R1402">
        <ns0:f>IF(AND(L1402=1,O1402*Calculations!$B$2&lt;=Calculations!$B$11*Calculations!$B$4),1,0)</ns0:f>
        <ns0:v>1</ns0:v>
      </ns0:c>
    </ns0:row>
    <ns0:row r="1403">
      <ns0:c r="A1403" t="inlineStr">
        <ns0:is>
          <ns0:t>case_1402</ns0:t>
        </ns0:is>
      </ns0:c>
      <ns0:c r="B1403" t="inlineStr">
        <ns0:is>
          <ns0:t>function_0379</ns0:t>
        </ns0:is>
      </ns0:c>
      <ns0:c r="C1403" t="inlineStr">
        <ns0:is>
          <ns0:t>run_013</ns0:t>
        </ns0:is>
      </ns0:c>
      <ns0:c r="D1403" t="inlineStr">
        <ns0:is>
          <ns0:t>rand</ns0:t>
        </ns0:is>
      </ns0:c>
      <ns0:c r="E1403" t="inlineStr">
        <ns0:is>
          <ns0:t>gemini-2.5-flash-nothinking</ns0:t>
        </ns0:is>
      </ns0:c>
      <ns0:c r="F1403" t="inlineStr">
        <ns0:is>
          <ns0:t>E0433</ns0:t>
        </ns0:is>
      </ns0:c>
      <ns0:c r="G1403" t="n">
        <ns0:v>1</ns0:v>
      </ns0:c>
      <ns0:c r="H1403" t="n">
        <ns0:v>0</ns0:v>
      </ns0:c>
      <ns0:c r="I1403" t="n">
        <ns0:v>0</ns0:v>
      </ns0:c>
      <ns0:c r="J1403" t="n">
        <ns0:v>0</ns0:v>
      </ns0:c>
      <ns0:c r="K1403" t="n">
        <ns0:v>0</ns0:v>
      </ns0:c>
      <ns0:c r="L1403" t="n">
        <ns0:v>1</ns0:v>
      </ns0:c>
      <ns0:c r="M1403" t="n">
        <ns0:v>78256</ns0:v>
      </ns0:c>
      <ns0:c r="N1403" t="n">
        <ns0:v>1712</ns0:v>
      </ns0:c>
      <ns0:c r="O1403" t="n">
        <ns0:v>79968</ns0:v>
      </ns0:c>
      <ns0:c r="P1403" t="n">
        <ns0:v>10</ns0:v>
      </ns0:c>
      <ns0:c r="Q1403">
        <ns0:f>IF(AND(L1403=1,O1403*Calculations!$B$2&lt;=Calculations!$B$10*Calculations!$B$4),1,0)</ns0:f>
        <ns0:v>0</ns0:v>
      </ns0:c>
      <ns0:c r="R1403">
        <ns0:f>IF(AND(L1403=1,O1403*Calculations!$B$2&lt;=Calculations!$B$11*Calculations!$B$4),1,0)</ns0:f>
        <ns0:v>0</ns0:v>
      </ns0:c>
    </ns0:row>
    <ns0:row r="1404">
      <ns0:c r="A1404" t="inlineStr">
        <ns0:is>
          <ns0:t>case_1403</ns0:t>
        </ns0:is>
      </ns0:c>
      <ns0:c r="B1404" t="inlineStr">
        <ns0:is>
          <ns0:t>function_0380</ns0:t>
        </ns0:is>
      </ns0:c>
      <ns0:c r="C1404" t="inlineStr">
        <ns0:is>
          <ns0:t>run_013</ns0:t>
        </ns0:is>
      </ns0:c>
      <ns0:c r="D1404" t="inlineStr">
        <ns0:is>
          <ns0:t>rand</ns0:t>
        </ns0:is>
      </ns0:c>
      <ns0:c r="E1404" t="inlineStr">
        <ns0:is>
          <ns0:t>gemini-2.5-flash-nothinking</ns0:t>
        </ns0:is>
      </ns0:c>
      <ns0:c r="F1404" t="inlineStr">
        <ns0:is>
          <ns0:t>E0433</ns0:t>
        </ns0:is>
      </ns0:c>
      <ns0:c r="G1404" t="n">
        <ns0:v>1</ns0:v>
      </ns0:c>
      <ns0:c r="H1404" t="n">
        <ns0:v>0</ns0:v>
      </ns0:c>
      <ns0:c r="I1404" t="n">
        <ns0:v>0</ns0:v>
      </ns0:c>
      <ns0:c r="J1404" t="n">
        <ns0:v>0</ns0:v>
      </ns0:c>
      <ns0:c r="K1404" t="n">
        <ns0:v>0</ns0:v>
      </ns0:c>
      <ns0:c r="L1404" t="n">
        <ns0:v>1</ns0:v>
      </ns0:c>
      <ns0:c r="M1404" t="n">
        <ns0:v>21017</ns0:v>
      </ns0:c>
      <ns0:c r="N1404" t="n">
        <ns0:v>710</ns0:v>
      </ns0:c>
      <ns0:c r="O1404" t="n">
        <ns0:v>21727</ns0:v>
      </ns0:c>
      <ns0:c r="P1404" t="n">
        <ns0:v>3</ns0:v>
      </ns0:c>
      <ns0:c r="Q1404">
        <ns0:f>IF(AND(L1404=1,O1404*Calculations!$B$2&lt;=Calculations!$B$10*Calculations!$B$4),1,0)</ns0:f>
        <ns0:v>1</ns0:v>
      </ns0:c>
      <ns0:c r="R1404">
        <ns0:f>IF(AND(L1404=1,O1404*Calculations!$B$2&lt;=Calculations!$B$11*Calculations!$B$4),1,0)</ns0:f>
        <ns0:v>1</ns0:v>
      </ns0:c>
    </ns0:row>
    <ns0:row r="1405">
      <ns0:c r="A1405" t="inlineStr">
        <ns0:is>
          <ns0:t>case_1404</ns0:t>
        </ns0:is>
      </ns0:c>
      <ns0:c r="B1405" t="inlineStr">
        <ns0:is>
          <ns0:t>function_0381</ns0:t>
        </ns0:is>
      </ns0:c>
      <ns0:c r="C1405" t="inlineStr">
        <ns0:is>
          <ns0:t>run_013</ns0:t>
        </ns0:is>
      </ns0:c>
      <ns0:c r="D1405" t="inlineStr">
        <ns0:is>
          <ns0:t>rand</ns0:t>
        </ns0:is>
      </ns0:c>
      <ns0:c r="E1405" t="inlineStr">
        <ns0:is>
          <ns0:t>gemini-2.5-flash-nothinking</ns0:t>
        </ns0:is>
      </ns0:c>
      <ns0:c r="F1405" t="inlineStr">
        <ns0:is>
          <ns0:t>E0433</ns0:t>
        </ns0:is>
      </ns0:c>
      <ns0:c r="G1405" t="n">
        <ns0:v>1</ns0:v>
      </ns0:c>
      <ns0:c r="H1405" t="n">
        <ns0:v>0</ns0:v>
      </ns0:c>
      <ns0:c r="I1405" t="n">
        <ns0:v>0</ns0:v>
      </ns0:c>
      <ns0:c r="J1405" t="n">
        <ns0:v>0</ns0:v>
      </ns0:c>
      <ns0:c r="K1405" t="n">
        <ns0:v>0</ns0:v>
      </ns0:c>
      <ns0:c r="L1405" t="n">
        <ns0:v>1</ns0:v>
      </ns0:c>
      <ns0:c r="M1405" t="n">
        <ns0:v>20160</ns0:v>
      </ns0:c>
      <ns0:c r="N1405" t="n">
        <ns0:v>151</ns0:v>
      </ns0:c>
      <ns0:c r="O1405" t="n">
        <ns0:v>20311</ns0:v>
      </ns0:c>
      <ns0:c r="P1405" t="n">
        <ns0:v>3</ns0:v>
      </ns0:c>
      <ns0:c r="Q1405">
        <ns0:f>IF(AND(L1405=1,O1405*Calculations!$B$2&lt;=Calculations!$B$10*Calculations!$B$4),1,0)</ns0:f>
        <ns0:v>1</ns0:v>
      </ns0:c>
      <ns0:c r="R1405">
        <ns0:f>IF(AND(L1405=1,O1405*Calculations!$B$2&lt;=Calculations!$B$11*Calculations!$B$4),1,0)</ns0:f>
        <ns0:v>1</ns0:v>
      </ns0:c>
    </ns0:row>
    <ns0:row r="1406">
      <ns0:c r="A1406" t="inlineStr">
        <ns0:is>
          <ns0:t>case_1405</ns0:t>
        </ns0:is>
      </ns0:c>
      <ns0:c r="B1406" t="inlineStr">
        <ns0:is>
          <ns0:t>function_0382</ns0:t>
        </ns0:is>
      </ns0:c>
      <ns0:c r="C1406" t="inlineStr">
        <ns0:is>
          <ns0:t>run_013</ns0:t>
        </ns0:is>
      </ns0:c>
      <ns0:c r="D1406" t="inlineStr">
        <ns0:is>
          <ns0:t>rand</ns0:t>
        </ns0:is>
      </ns0:c>
      <ns0:c r="E1406" t="inlineStr">
        <ns0:is>
          <ns0:t>gemini-2.5-flash-nothinking</ns0:t>
        </ns0:is>
      </ns0:c>
      <ns0:c r="F1406" t="inlineStr">
        <ns0:is>
          <ns0:t>E0432,E0433</ns0:t>
        </ns0:is>
      </ns0:c>
      <ns0:c r="G1406" t="n">
        <ns0:v>1</ns0:v>
      </ns0:c>
      <ns0:c r="H1406" t="n">
        <ns0:v>0</ns0:v>
      </ns0:c>
      <ns0:c r="I1406" t="n">
        <ns0:v>0</ns0:v>
      </ns0:c>
      <ns0:c r="J1406" t="n">
        <ns0:v>0</ns0:v>
      </ns0:c>
      <ns0:c r="K1406" t="n">
        <ns0:v>0</ns0:v>
      </ns0:c>
      <ns0:c r="L1406" t="n">
        <ns0:v>1</ns0:v>
      </ns0:c>
      <ns0:c r="M1406" t="n">
        <ns0:v>145732</ns0:v>
      </ns0:c>
      <ns0:c r="N1406" t="n">
        <ns0:v>770</ns0:v>
      </ns0:c>
      <ns0:c r="O1406" t="n">
        <ns0:v>146502</ns0:v>
      </ns0:c>
      <ns0:c r="P1406" t="n">
        <ns0:v>6</ns0:v>
      </ns0:c>
      <ns0:c r="Q1406">
        <ns0:f>IF(AND(L1406=1,O1406*Calculations!$B$2&lt;=Calculations!$B$10*Calculations!$B$4),1,0)</ns0:f>
        <ns0:v>0</ns0:v>
      </ns0:c>
      <ns0:c r="R1406">
        <ns0:f>IF(AND(L1406=1,O1406*Calculations!$B$2&lt;=Calculations!$B$11*Calculations!$B$4),1,0)</ns0:f>
        <ns0:v>0</ns0:v>
      </ns0:c>
    </ns0:row>
    <ns0:row r="1407">
      <ns0:c r="A1407" t="inlineStr">
        <ns0:is>
          <ns0:t>case_1406</ns0:t>
        </ns0:is>
      </ns0:c>
      <ns0:c r="B1407" t="inlineStr">
        <ns0:is>
          <ns0:t>function_0382</ns0:t>
        </ns0:is>
      </ns0:c>
      <ns0:c r="C1407" t="inlineStr">
        <ns0:is>
          <ns0:t>run_013</ns0:t>
        </ns0:is>
      </ns0:c>
      <ns0:c r="D1407" t="inlineStr">
        <ns0:is>
          <ns0:t>rand</ns0:t>
        </ns0:is>
      </ns0:c>
      <ns0:c r="E1407" t="inlineStr">
        <ns0:is>
          <ns0:t>gemini-2.5-flash-nothinking</ns0:t>
        </ns0:is>
      </ns0:c>
      <ns0:c r="F1407" t="inlineStr">
        <ns0:is>
          <ns0:t>E0432,E0433,E0599</ns0:t>
        </ns0:is>
      </ns0:c>
      <ns0:c r="G1407" t="n">
        <ns0:v>0</ns0:v>
      </ns0:c>
      <ns0:c r="H1407" t="n">
        <ns0:v>4167</ns0:v>
      </ns0:c>
      <ns0:c r="I1407" t="n">
        <ns0:v>357</ns0:v>
      </ns0:c>
      <ns0:c r="J1407" t="n">
        <ns0:v>4524</ns0:v>
      </ns0:c>
      <ns0:c r="K1407" t="n">
        <ns0:v>3</ns0:v>
      </ns0:c>
      <ns0:c r="L1407" t="n">
        <ns0:v>0</ns0:v>
      </ns0:c>
      <ns0:c r="M1407" t="n">
        <ns0:v>192403</ns0:v>
      </ns0:c>
      <ns0:c r="N1407" t="n">
        <ns0:v>3685</ns0:v>
      </ns0:c>
      <ns0:c r="O1407" t="n">
        <ns0:v>196088</ns0:v>
      </ns0:c>
      <ns0:c r="P1407" t="n">
        <ns0:v>22</ns0:v>
      </ns0:c>
      <ns0:c r="Q1407">
        <ns0:f>IF(AND(L1407=1,O1407*Calculations!$B$2&lt;=Calculations!$B$10*Calculations!$B$4),1,0)</ns0:f>
        <ns0:v>0</ns0:v>
      </ns0:c>
      <ns0:c r="R1407">
        <ns0:f>IF(AND(L1407=1,O1407*Calculations!$B$2&lt;=Calculations!$B$11*Calculations!$B$4),1,0)</ns0:f>
        <ns0:v>0</ns0:v>
      </ns0:c>
    </ns0:row>
    <ns0:row r="1408">
      <ns0:c r="A1408" t="inlineStr">
        <ns0:is>
          <ns0:t>case_1407</ns0:t>
        </ns0:is>
      </ns0:c>
      <ns0:c r="B1408" t="inlineStr">
        <ns0:is>
          <ns0:t>function_0383</ns0:t>
        </ns0:is>
      </ns0:c>
      <ns0:c r="C1408" t="inlineStr">
        <ns0:is>
          <ns0:t>run_013</ns0:t>
        </ns0:is>
      </ns0:c>
      <ns0:c r="D1408" t="inlineStr">
        <ns0:is>
          <ns0:t>rand</ns0:t>
        </ns0:is>
      </ns0:c>
      <ns0:c r="E1408" t="inlineStr">
        <ns0:is>
          <ns0:t>gemini-2.5-flash-nothinking</ns0:t>
        </ns0:is>
      </ns0:c>
      <ns0:c r="F1408" t="inlineStr">
        <ns0:is>
          <ns0:t>E0432,E0433,E0599</ns0:t>
        </ns0:is>
      </ns0:c>
      <ns0:c r="G1408" t="n">
        <ns0:v>0</ns0:v>
      </ns0:c>
      <ns0:c r="H1408" t="n">
        <ns0:v>4071</ns0:v>
      </ns0:c>
      <ns0:c r="I1408" t="n">
        <ns0:v>366</ns0:v>
      </ns0:c>
      <ns0:c r="J1408" t="n">
        <ns0:v>4437</ns0:v>
      </ns0:c>
      <ns0:c r="K1408" t="n">
        <ns0:v>3</ns0:v>
      </ns0:c>
      <ns0:c r="L1408" t="n">
        <ns0:v>0</ns0:v>
      </ns0:c>
      <ns0:c r="M1408" t="n">
        <ns0:v>220964</ns0:v>
      </ns0:c>
      <ns0:c r="N1408" t="n">
        <ns0:v>4012</ns0:v>
      </ns0:c>
      <ns0:c r="O1408" t="n">
        <ns0:v>224976</ns0:v>
      </ns0:c>
      <ns0:c r="P1408" t="n">
        <ns0:v>20</ns0:v>
      </ns0:c>
      <ns0:c r="Q1408">
        <ns0:f>IF(AND(L1408=1,O1408*Calculations!$B$2&lt;=Calculations!$B$10*Calculations!$B$4),1,0)</ns0:f>
        <ns0:v>0</ns0:v>
      </ns0:c>
      <ns0:c r="R1408">
        <ns0:f>IF(AND(L1408=1,O1408*Calculations!$B$2&lt;=Calculations!$B$11*Calculations!$B$4),1,0)</ns0:f>
        <ns0:v>0</ns0:v>
      </ns0:c>
    </ns0:row>
    <ns0:row r="1409">
      <ns0:c r="A1409" t="inlineStr">
        <ns0:is>
          <ns0:t>case_1408</ns0:t>
        </ns0:is>
      </ns0:c>
      <ns0:c r="B1409" t="inlineStr">
        <ns0:is>
          <ns0:t>function_0383</ns0:t>
        </ns0:is>
      </ns0:c>
      <ns0:c r="C1409" t="inlineStr">
        <ns0:is>
          <ns0:t>run_013</ns0:t>
        </ns0:is>
      </ns0:c>
      <ns0:c r="D1409" t="inlineStr">
        <ns0:is>
          <ns0:t>rand</ns0:t>
        </ns0:is>
      </ns0:c>
      <ns0:c r="E1409" t="inlineStr">
        <ns0:is>
          <ns0:t>gemini-2.5-flash-nothinking</ns0:t>
        </ns0:is>
      </ns0:c>
      <ns0:c r="F1409" t="inlineStr">
        <ns0:is>
          <ns0:t>E0063,E0433</ns0:t>
        </ns0:is>
      </ns0:c>
      <ns0:c r="G1409" t="n">
        <ns0:v>0</ns0:v>
      </ns0:c>
      <ns0:c r="H1409" t="n">
        <ns0:v>4286</ns0:v>
      </ns0:c>
      <ns0:c r="I1409" t="n">
        <ns0:v>455</ns0:v>
      </ns0:c>
      <ns0:c r="J1409" t="n">
        <ns0:v>4741</ns0:v>
      </ns0:c>
      <ns0:c r="K1409" t="n">
        <ns0:v>3</ns0:v>
      </ns0:c>
      <ns0:c r="L1409" t="n">
        <ns0:v>0</ns0:v>
      </ns0:c>
      <ns0:c r="M1409" t="n">
        <ns0:v>238229</ns0:v>
      </ns0:c>
      <ns0:c r="N1409" t="n">
        <ns0:v>1717</ns0:v>
      </ns0:c>
      <ns0:c r="O1409" t="n">
        <ns0:v>239946</ns0:v>
      </ns0:c>
      <ns0:c r="P1409" t="n">
        <ns0:v>20</ns0:v>
      </ns0:c>
      <ns0:c r="Q1409">
        <ns0:f>IF(AND(L1409=1,O1409*Calculations!$B$2&lt;=Calculations!$B$10*Calculations!$B$4),1,0)</ns0:f>
        <ns0:v>0</ns0:v>
      </ns0:c>
      <ns0:c r="R1409">
        <ns0:f>IF(AND(L1409=1,O1409*Calculations!$B$2&lt;=Calculations!$B$11*Calculations!$B$4),1,0)</ns0:f>
        <ns0:v>0</ns0:v>
      </ns0:c>
    </ns0:row>
    <ns0:row r="1410">
      <ns0:c r="A1410" t="inlineStr">
        <ns0:is>
          <ns0:t>case_1409</ns0:t>
        </ns0:is>
      </ns0:c>
      <ns0:c r="B1410" t="inlineStr">
        <ns0:is>
          <ns0:t>function_0384</ns0:t>
        </ns0:is>
      </ns0:c>
      <ns0:c r="C1410" t="inlineStr">
        <ns0:is>
          <ns0:t>run_013</ns0:t>
        </ns0:is>
      </ns0:c>
      <ns0:c r="D1410" t="inlineStr">
        <ns0:is>
          <ns0:t>rand</ns0:t>
        </ns0:is>
      </ns0:c>
      <ns0:c r="E1410" t="inlineStr">
        <ns0:is>
          <ns0:t>gemini-2.5-flash-nothinking</ns0:t>
        </ns0:is>
      </ns0:c>
      <ns0:c r="F1410" t="inlineStr">
        <ns0:is>
          <ns0:t>E0599</ns0:t>
        </ns0:is>
      </ns0:c>
      <ns0:c r="G1410" t="n">
        <ns0:v>0</ns0:v>
      </ns0:c>
      <ns0:c r="H1410" t="n">
        <ns0:v>3360</ns0:v>
      </ns0:c>
      <ns0:c r="I1410" t="n">
        <ns0:v>491</ns0:v>
      </ns0:c>
      <ns0:c r="J1410" t="n">
        <ns0:v>3851</ns0:v>
      </ns0:c>
      <ns0:c r="K1410" t="n">
        <ns0:v>3</ns0:v>
      </ns0:c>
      <ns0:c r="L1410" t="n">
        <ns0:v>1</ns0:v>
      </ns0:c>
      <ns0:c r="M1410" t="n">
        <ns0:v>151360</ns0:v>
      </ns0:c>
      <ns0:c r="N1410" t="n">
        <ns0:v>975</ns0:v>
      </ns0:c>
      <ns0:c r="O1410" t="n">
        <ns0:v>152335</ns0:v>
      </ns0:c>
      <ns0:c r="P1410" t="n">
        <ns0:v>6</ns0:v>
      </ns0:c>
      <ns0:c r="Q1410">
        <ns0:f>IF(AND(L1410=1,O1410*Calculations!$B$2&lt;=Calculations!$B$10*Calculations!$B$4),1,0)</ns0:f>
        <ns0:v>0</ns0:v>
      </ns0:c>
      <ns0:c r="R1410">
        <ns0:f>IF(AND(L1410=1,O1410*Calculations!$B$2&lt;=Calculations!$B$11*Calculations!$B$4),1,0)</ns0:f>
        <ns0:v>0</ns0:v>
      </ns0:c>
    </ns0:row>
    <ns0:row r="1411">
      <ns0:c r="A1411" t="inlineStr">
        <ns0:is>
          <ns0:t>case_1410</ns0:t>
        </ns0:is>
      </ns0:c>
      <ns0:c r="B1411" t="inlineStr">
        <ns0:is>
          <ns0:t>function_0384</ns0:t>
        </ns0:is>
      </ns0:c>
      <ns0:c r="C1411" t="inlineStr">
        <ns0:is>
          <ns0:t>run_013</ns0:t>
        </ns0:is>
      </ns0:c>
      <ns0:c r="D1411" t="inlineStr">
        <ns0:is>
          <ns0:t>rand</ns0:t>
        </ns0:is>
      </ns0:c>
      <ns0:c r="E1411" t="inlineStr">
        <ns0:is>
          <ns0:t>gemini-2.5-flash-nothinking</ns0:t>
        </ns0:is>
      </ns0:c>
      <ns0:c r="F1411" t="inlineStr">
        <ns0:is>
          <ns0:t>E0432,E0560</ns0:t>
        </ns0:is>
      </ns0:c>
      <ns0:c r="G1411" t="n">
        <ns0:v>0</ns0:v>
      </ns0:c>
      <ns0:c r="H1411" t="n">
        <ns0:v>6111</ns0:v>
      </ns0:c>
      <ns0:c r="I1411" t="n">
        <ns0:v>387</ns0:v>
      </ns0:c>
      <ns0:c r="J1411" t="n">
        <ns0:v>6498</ns0:v>
      </ns0:c>
      <ns0:c r="K1411" t="n">
        <ns0:v>3</ns0:v>
      </ns0:c>
      <ns0:c r="L1411" t="n">
        <ns0:v>1</ns0:v>
      </ns0:c>
      <ns0:c r="M1411" t="n">
        <ns0:v>176819</ns0:v>
      </ns0:c>
      <ns0:c r="N1411" t="n">
        <ns0:v>1332</ns0:v>
      </ns0:c>
      <ns0:c r="O1411" t="n">
        <ns0:v>178151</ns0:v>
      </ns0:c>
      <ns0:c r="P1411" t="n">
        <ns0:v>7</ns0:v>
      </ns0:c>
      <ns0:c r="Q1411">
        <ns0:f>IF(AND(L1411=1,O1411*Calculations!$B$2&lt;=Calculations!$B$10*Calculations!$B$4),1,0)</ns0:f>
        <ns0:v>0</ns0:v>
      </ns0:c>
      <ns0:c r="R1411">
        <ns0:f>IF(AND(L1411=1,O1411*Calculations!$B$2&lt;=Calculations!$B$11*Calculations!$B$4),1,0)</ns0:f>
        <ns0:v>0</ns0:v>
      </ns0:c>
    </ns0:row>
    <ns0:row r="1412">
      <ns0:c r="A1412" t="inlineStr">
        <ns0:is>
          <ns0:t>case_1411</ns0:t>
        </ns0:is>
      </ns0:c>
      <ns0:c r="B1412" t="inlineStr">
        <ns0:is>
          <ns0:t>function_0385</ns0:t>
        </ns0:is>
      </ns0:c>
      <ns0:c r="C1412" t="inlineStr">
        <ns0:is>
          <ns0:t>run_013</ns0:t>
        </ns0:is>
      </ns0:c>
      <ns0:c r="D1412" t="inlineStr">
        <ns0:is>
          <ns0:t>rand</ns0:t>
        </ns0:is>
      </ns0:c>
      <ns0:c r="E1412" t="inlineStr">
        <ns0:is>
          <ns0:t>gemini-2.5-flash-nothinking</ns0:t>
        </ns0:is>
      </ns0:c>
      <ns0:c r="F1412" t="inlineStr"/>
      <ns0:c r="G1412" t="n">
        <ns0:v>0</ns0:v>
      </ns0:c>
      <ns0:c r="H1412" t="n">
        <ns0:v>49831</ns0:v>
      </ns0:c>
      <ns0:c r="I1412" t="n">
        <ns0:v>2912</ns0:v>
      </ns0:c>
      <ns0:c r="J1412" t="n">
        <ns0:v>52743</ns0:v>
      </ns0:c>
      <ns0:c r="K1412" t="n">
        <ns0:v>29</ns0:v>
      </ns0:c>
      <ns0:c r="L1412" t="n">
        <ns0:v>1</ns0:v>
      </ns0:c>
      <ns0:c r="M1412" t="n">
        <ns0:v>60778</ns0:v>
      </ns0:c>
      <ns0:c r="N1412" t="n">
        <ns0:v>531</ns0:v>
      </ns0:c>
      <ns0:c r="O1412" t="n">
        <ns0:v>61309</ns0:v>
      </ns0:c>
      <ns0:c r="P1412" t="n">
        <ns0:v>5</ns0:v>
      </ns0:c>
      <ns0:c r="Q1412">
        <ns0:f>IF(AND(L1412=1,O1412*Calculations!$B$2&lt;=Calculations!$B$10*Calculations!$B$4),1,0)</ns0:f>
        <ns0:v>0</ns0:v>
      </ns0:c>
      <ns0:c r="R1412">
        <ns0:f>IF(AND(L1412=1,O1412*Calculations!$B$2&lt;=Calculations!$B$11*Calculations!$B$4),1,0)</ns0:f>
        <ns0:v>0</ns0:v>
      </ns0:c>
    </ns0:row>
    <ns0:row r="1413">
      <ns0:c r="A1413" t="inlineStr">
        <ns0:is>
          <ns0:t>case_1412</ns0:t>
        </ns0:is>
      </ns0:c>
      <ns0:c r="B1413" t="inlineStr">
        <ns0:is>
          <ns0:t>function_0385</ns0:t>
        </ns0:is>
      </ns0:c>
      <ns0:c r="C1413" t="inlineStr">
        <ns0:is>
          <ns0:t>run_013</ns0:t>
        </ns0:is>
      </ns0:c>
      <ns0:c r="D1413" t="inlineStr">
        <ns0:is>
          <ns0:t>rand</ns0:t>
        </ns0:is>
      </ns0:c>
      <ns0:c r="E1413" t="inlineStr">
        <ns0:is>
          <ns0:t>gemini-2.5-flash-nothinking</ns0:t>
        </ns0:is>
      </ns0:c>
      <ns0:c r="F1413" t="inlineStr">
        <ns0:is>
          <ns0:t>E0433</ns0:t>
        </ns0:is>
      </ns0:c>
      <ns0:c r="G1413" t="n">
        <ns0:v>0</ns0:v>
      </ns0:c>
      <ns0:c r="H1413" t="n">
        <ns0:v>5198</ns0:v>
      </ns0:c>
      <ns0:c r="I1413" t="n">
        <ns0:v>264</ns0:v>
      </ns0:c>
      <ns0:c r="J1413" t="n">
        <ns0:v>5462</ns0:v>
      </ns0:c>
      <ns0:c r="K1413" t="n">
        <ns0:v>3</ns0:v>
      </ns0:c>
      <ns0:c r="L1413" t="n">
        <ns0:v>1</ns0:v>
      </ns0:c>
      <ns0:c r="M1413" t="n">
        <ns0:v>35934</ns0:v>
      </ns0:c>
      <ns0:c r="N1413" t="n">
        <ns0:v>380</ns0:v>
      </ns0:c>
      <ns0:c r="O1413" t="n">
        <ns0:v>36314</ns0:v>
      </ns0:c>
      <ns0:c r="P1413" t="n">
        <ns0:v>5</ns0:v>
      </ns0:c>
      <ns0:c r="Q1413">
        <ns0:f>IF(AND(L1413=1,O1413*Calculations!$B$2&lt;=Calculations!$B$10*Calculations!$B$4),1,0)</ns0:f>
        <ns0:v>0</ns0:v>
      </ns0:c>
      <ns0:c r="R1413">
        <ns0:f>IF(AND(L1413=1,O1413*Calculations!$B$2&lt;=Calculations!$B$11*Calculations!$B$4),1,0)</ns0:f>
        <ns0:v>1</ns0:v>
      </ns0:c>
    </ns0:row>
    <ns0:row r="1414">
      <ns0:c r="A1414" t="inlineStr">
        <ns0:is>
          <ns0:t>case_1413</ns0:t>
        </ns0:is>
      </ns0:c>
      <ns0:c r="B1414" t="inlineStr">
        <ns0:is>
          <ns0:t>function_0386</ns0:t>
        </ns0:is>
      </ns0:c>
      <ns0:c r="C1414" t="inlineStr">
        <ns0:is>
          <ns0:t>run_013</ns0:t>
        </ns0:is>
      </ns0:c>
      <ns0:c r="D1414" t="inlineStr">
        <ns0:is>
          <ns0:t>rand</ns0:t>
        </ns0:is>
      </ns0:c>
      <ns0:c r="E1414" t="inlineStr">
        <ns0:is>
          <ns0:t>gemini-2.5-flash-nothinking</ns0:t>
        </ns0:is>
      </ns0:c>
      <ns0:c r="F1414" t="inlineStr"/>
      <ns0:c r="G1414" t="n">
        <ns0:v>1</ns0:v>
      </ns0:c>
      <ns0:c r="H1414" t="n">
        <ns0:v>647</ns0:v>
      </ns0:c>
      <ns0:c r="I1414" t="n">
        <ns0:v>65</ns0:v>
      </ns0:c>
      <ns0:c r="J1414" t="n">
        <ns0:v>712</ns0:v>
      </ns0:c>
      <ns0:c r="K1414" t="n">
        <ns0:v>1</ns0:v>
      </ns0:c>
      <ns0:c r="L1414" t="n">
        <ns0:v>1</ns0:v>
      </ns0:c>
      <ns0:c r="M1414" t="n">
        <ns0:v>27479</ns0:v>
      </ns0:c>
      <ns0:c r="N1414" t="n">
        <ns0:v>524</ns0:v>
      </ns0:c>
      <ns0:c r="O1414" t="n">
        <ns0:v>28003</ns0:v>
      </ns0:c>
      <ns0:c r="P1414" t="n">
        <ns0:v>4</ns0:v>
      </ns0:c>
      <ns0:c r="Q1414">
        <ns0:f>IF(AND(L1414=1,O1414*Calculations!$B$2&lt;=Calculations!$B$10*Calculations!$B$4),1,0)</ns0:f>
        <ns0:v>0</ns0:v>
      </ns0:c>
      <ns0:c r="R1414">
        <ns0:f>IF(AND(L1414=1,O1414*Calculations!$B$2&lt;=Calculations!$B$11*Calculations!$B$4),1,0)</ns0:f>
        <ns0:v>1</ns0:v>
      </ns0:c>
    </ns0:row>
    <ns0:row r="1415">
      <ns0:c r="A1415" t="inlineStr">
        <ns0:is>
          <ns0:t>case_1414</ns0:t>
        </ns0:is>
      </ns0:c>
      <ns0:c r="B1415" t="inlineStr">
        <ns0:is>
          <ns0:t>function_0387</ns0:t>
        </ns0:is>
      </ns0:c>
      <ns0:c r="C1415" t="inlineStr">
        <ns0:is>
          <ns0:t>run_013</ns0:t>
        </ns0:is>
      </ns0:c>
      <ns0:c r="D1415" t="inlineStr">
        <ns0:is>
          <ns0:t>rand</ns0:t>
        </ns0:is>
      </ns0:c>
      <ns0:c r="E1415" t="inlineStr">
        <ns0:is>
          <ns0:t>gemini-2.5-flash-nothinking</ns0:t>
        </ns0:is>
      </ns0:c>
      <ns0:c r="F1415" t="inlineStr">
        <ns0:is>
          <ns0:t>E0433</ns0:t>
        </ns0:is>
      </ns0:c>
      <ns0:c r="G1415" t="n">
        <ns0:v>1</ns0:v>
      </ns0:c>
      <ns0:c r="H1415" t="n">
        <ns0:v>663</ns0:v>
      </ns0:c>
      <ns0:c r="I1415" t="n">
        <ns0:v>61</ns0:v>
      </ns0:c>
      <ns0:c r="J1415" t="n">
        <ns0:v>724</ns0:v>
      </ns0:c>
      <ns0:c r="K1415" t="n">
        <ns0:v>1</ns0:v>
      </ns0:c>
      <ns0:c r="L1415" t="n">
        <ns0:v>1</ns0:v>
      </ns0:c>
      <ns0:c r="M1415" t="n">
        <ns0:v>28128</ns0:v>
      </ns0:c>
      <ns0:c r="N1415" t="n">
        <ns0:v>329</ns0:v>
      </ns0:c>
      <ns0:c r="O1415" t="n">
        <ns0:v>28457</ns0:v>
      </ns0:c>
      <ns0:c r="P1415" t="n">
        <ns0:v>4</ns0:v>
      </ns0:c>
      <ns0:c r="Q1415">
        <ns0:f>IF(AND(L1415=1,O1415*Calculations!$B$2&lt;=Calculations!$B$10*Calculations!$B$4),1,0)</ns0:f>
        <ns0:v>0</ns0:v>
      </ns0:c>
      <ns0:c r="R1415">
        <ns0:f>IF(AND(L1415=1,O1415*Calculations!$B$2&lt;=Calculations!$B$11*Calculations!$B$4),1,0)</ns0:f>
        <ns0:v>1</ns0:v>
      </ns0:c>
    </ns0:row>
    <ns0:row r="1416">
      <ns0:c r="A1416" t="inlineStr">
        <ns0:is>
          <ns0:t>case_1415</ns0:t>
        </ns0:is>
      </ns0:c>
      <ns0:c r="B1416" t="inlineStr">
        <ns0:is>
          <ns0:t>function_0388</ns0:t>
        </ns0:is>
      </ns0:c>
      <ns0:c r="C1416" t="inlineStr">
        <ns0:is>
          <ns0:t>run_013</ns0:t>
        </ns0:is>
      </ns0:c>
      <ns0:c r="D1416" t="inlineStr">
        <ns0:is>
          <ns0:t>rand</ns0:t>
        </ns0:is>
      </ns0:c>
      <ns0:c r="E1416" t="inlineStr">
        <ns0:is>
          <ns0:t>gemini-2.5-flash-nothinking</ns0:t>
        </ns0:is>
      </ns0:c>
      <ns0:c r="F1416" t="inlineStr">
        <ns0:is>
          <ns0:t>E0433</ns0:t>
        </ns0:is>
      </ns0:c>
      <ns0:c r="G1416" t="n">
        <ns0:v>0</ns0:v>
      </ns0:c>
      <ns0:c r="H1416" t="n">
        <ns0:v>5184</ns0:v>
      </ns0:c>
      <ns0:c r="I1416" t="n">
        <ns0:v>225</ns0:v>
      </ns0:c>
      <ns0:c r="J1416" t="n">
        <ns0:v>5409</ns0:v>
      </ns0:c>
      <ns0:c r="K1416" t="n">
        <ns0:v>3</ns0:v>
      </ns0:c>
      <ns0:c r="L1416" t="n">
        <ns0:v>1</ns0:v>
      </ns0:c>
      <ns0:c r="M1416" t="n">
        <ns0:v>53421</ns0:v>
      </ns0:c>
      <ns0:c r="N1416" t="n">
        <ns0:v>601</ns0:v>
      </ns0:c>
      <ns0:c r="O1416" t="n">
        <ns0:v>54022</ns0:v>
      </ns0:c>
      <ns0:c r="P1416" t="n">
        <ns0:v>7</ns0:v>
      </ns0:c>
      <ns0:c r="Q1416">
        <ns0:f>IF(AND(L1416=1,O1416*Calculations!$B$2&lt;=Calculations!$B$10*Calculations!$B$4),1,0)</ns0:f>
        <ns0:v>0</ns0:v>
      </ns0:c>
      <ns0:c r="R1416">
        <ns0:f>IF(AND(L1416=1,O1416*Calculations!$B$2&lt;=Calculations!$B$11*Calculations!$B$4),1,0)</ns0:f>
        <ns0:v>0</ns0:v>
      </ns0:c>
    </ns0:row>
    <ns0:row r="1417">
      <ns0:c r="A1417" t="inlineStr">
        <ns0:is>
          <ns0:t>case_1416</ns0:t>
        </ns0:is>
      </ns0:c>
      <ns0:c r="B1417" t="inlineStr">
        <ns0:is>
          <ns0:t>function_0388</ns0:t>
        </ns0:is>
      </ns0:c>
      <ns0:c r="C1417" t="inlineStr">
        <ns0:is>
          <ns0:t>run_013</ns0:t>
        </ns0:is>
      </ns0:c>
      <ns0:c r="D1417" t="inlineStr">
        <ns0:is>
          <ns0:t>rand</ns0:t>
        </ns0:is>
      </ns0:c>
      <ns0:c r="E1417" t="inlineStr">
        <ns0:is>
          <ns0:t>gemini-2.5-flash-nothinking</ns0:t>
        </ns0:is>
      </ns0:c>
      <ns0:c r="F1417" t="inlineStr"/>
      <ns0:c r="G1417" t="n">
        <ns0:v>0</ns0:v>
      </ns0:c>
      <ns0:c r="H1417" t="n">
        <ns0:v>4852</ns0:v>
      </ns0:c>
      <ns0:c r="I1417" t="n">
        <ns0:v>163</ns0:v>
      </ns0:c>
      <ns0:c r="J1417" t="n">
        <ns0:v>5015</ns0:v>
      </ns0:c>
      <ns0:c r="K1417" t="n">
        <ns0:v>3</ns0:v>
      </ns0:c>
      <ns0:c r="L1417" t="n">
        <ns0:v>1</ns0:v>
      </ns0:c>
      <ns0:c r="M1417" t="n">
        <ns0:v>37470</ns0:v>
      </ns0:c>
      <ns0:c r="N1417" t="n">
        <ns0:v>476</ns0:v>
      </ns0:c>
      <ns0:c r="O1417" t="n">
        <ns0:v>37946</ns0:v>
      </ns0:c>
      <ns0:c r="P1417" t="n">
        <ns0:v>5</ns0:v>
      </ns0:c>
      <ns0:c r="Q1417">
        <ns0:f>IF(AND(L1417=1,O1417*Calculations!$B$2&lt;=Calculations!$B$10*Calculations!$B$4),1,0)</ns0:f>
        <ns0:v>0</ns0:v>
      </ns0:c>
      <ns0:c r="R1417">
        <ns0:f>IF(AND(L1417=1,O1417*Calculations!$B$2&lt;=Calculations!$B$11*Calculations!$B$4),1,0)</ns0:f>
        <ns0:v>1</ns0:v>
      </ns0:c>
    </ns0:row>
    <ns0:row r="1418">
      <ns0:c r="A1418" t="inlineStr">
        <ns0:is>
          <ns0:t>case_1417</ns0:t>
        </ns0:is>
      </ns0:c>
      <ns0:c r="B1418" t="inlineStr">
        <ns0:is>
          <ns0:t>function_0389</ns0:t>
        </ns0:is>
      </ns0:c>
      <ns0:c r="C1418" t="inlineStr">
        <ns0:is>
          <ns0:t>run_013</ns0:t>
        </ns0:is>
      </ns0:c>
      <ns0:c r="D1418" t="inlineStr">
        <ns0:is>
          <ns0:t>rand</ns0:t>
        </ns0:is>
      </ns0:c>
      <ns0:c r="E1418" t="inlineStr">
        <ns0:is>
          <ns0:t>gemini-2.5-flash-nothinking</ns0:t>
        </ns0:is>
      </ns0:c>
      <ns0:c r="F1418" t="inlineStr">
        <ns0:is>
          <ns0:t>E0433</ns0:t>
        </ns0:is>
      </ns0:c>
      <ns0:c r="G1418" t="n">
        <ns0:v>1</ns0:v>
      </ns0:c>
      <ns0:c r="H1418" t="n">
        <ns0:v>0</ns0:v>
      </ns0:c>
      <ns0:c r="I1418" t="n">
        <ns0:v>0</ns0:v>
      </ns0:c>
      <ns0:c r="J1418" t="n">
        <ns0:v>0</ns0:v>
      </ns0:c>
      <ns0:c r="K1418" t="n">
        <ns0:v>0</ns0:v>
      </ns0:c>
      <ns0:c r="L1418" t="n">
        <ns0:v>1</ns0:v>
      </ns0:c>
      <ns0:c r="M1418" t="n">
        <ns0:v>21459</ns0:v>
      </ns0:c>
      <ns0:c r="N1418" t="n">
        <ns0:v>264</ns0:v>
      </ns0:c>
      <ns0:c r="O1418" t="n">
        <ns0:v>21723</ns0:v>
      </ns0:c>
      <ns0:c r="P1418" t="n">
        <ns0:v>3</ns0:v>
      </ns0:c>
      <ns0:c r="Q1418">
        <ns0:f>IF(AND(L1418=1,O1418*Calculations!$B$2&lt;=Calculations!$B$10*Calculations!$B$4),1,0)</ns0:f>
        <ns0:v>1</ns0:v>
      </ns0:c>
      <ns0:c r="R1418">
        <ns0:f>IF(AND(L1418=1,O1418*Calculations!$B$2&lt;=Calculations!$B$11*Calculations!$B$4),1,0)</ns0:f>
        <ns0:v>1</ns0:v>
      </ns0:c>
    </ns0:row>
    <ns0:row r="1419">
      <ns0:c r="A1419" t="inlineStr">
        <ns0:is>
          <ns0:t>case_1418</ns0:t>
        </ns0:is>
      </ns0:c>
      <ns0:c r="B1419" t="inlineStr">
        <ns0:is>
          <ns0:t>function_0390</ns0:t>
        </ns0:is>
      </ns0:c>
      <ns0:c r="C1419" t="inlineStr">
        <ns0:is>
          <ns0:t>run_013</ns0:t>
        </ns0:is>
      </ns0:c>
      <ns0:c r="D1419" t="inlineStr">
        <ns0:is>
          <ns0:t>rand</ns0:t>
        </ns0:is>
      </ns0:c>
      <ns0:c r="E1419" t="inlineStr">
        <ns0:is>
          <ns0:t>gemini-2.5-flash-nothinking</ns0:t>
        </ns0:is>
      </ns0:c>
      <ns0:c r="F1419" t="inlineStr">
        <ns0:is>
          <ns0:t>E0433</ns0:t>
        </ns0:is>
      </ns0:c>
      <ns0:c r="G1419" t="n">
        <ns0:v>0</ns0:v>
      </ns0:c>
      <ns0:c r="H1419" t="n">
        <ns0:v>5129</ns0:v>
      </ns0:c>
      <ns0:c r="I1419" t="n">
        <ns0:v>214</ns0:v>
      </ns0:c>
      <ns0:c r="J1419" t="n">
        <ns0:v>5343</ns0:v>
      </ns0:c>
      <ns0:c r="K1419" t="n">
        <ns0:v>3</ns0:v>
      </ns0:c>
      <ns0:c r="L1419" t="n">
        <ns0:v>1</ns0:v>
      </ns0:c>
      <ns0:c r="M1419" t="n">
        <ns0:v>145922</ns0:v>
      </ns0:c>
      <ns0:c r="N1419" t="n">
        <ns0:v>2407</ns0:v>
      </ns0:c>
      <ns0:c r="O1419" t="n">
        <ns0:v>148329</ns0:v>
      </ns0:c>
      <ns0:c r="P1419" t="n">
        <ns0:v>14</ns0:v>
      </ns0:c>
      <ns0:c r="Q1419">
        <ns0:f>IF(AND(L1419=1,O1419*Calculations!$B$2&lt;=Calculations!$B$10*Calculations!$B$4),1,0)</ns0:f>
        <ns0:v>0</ns0:v>
      </ns0:c>
      <ns0:c r="R1419">
        <ns0:f>IF(AND(L1419=1,O1419*Calculations!$B$2&lt;=Calculations!$B$11*Calculations!$B$4),1,0)</ns0:f>
        <ns0:v>0</ns0:v>
      </ns0:c>
    </ns0:row>
    <ns0:row r="1420">
      <ns0:c r="A1420" t="inlineStr">
        <ns0:is>
          <ns0:t>case_1419</ns0:t>
        </ns0:is>
      </ns0:c>
      <ns0:c r="B1420" t="inlineStr">
        <ns0:is>
          <ns0:t>function_0390</ns0:t>
        </ns0:is>
      </ns0:c>
      <ns0:c r="C1420" t="inlineStr">
        <ns0:is>
          <ns0:t>run_013</ns0:t>
        </ns0:is>
      </ns0:c>
      <ns0:c r="D1420" t="inlineStr">
        <ns0:is>
          <ns0:t>rand</ns0:t>
        </ns0:is>
      </ns0:c>
      <ns0:c r="E1420" t="inlineStr">
        <ns0:is>
          <ns0:t>gemini-2.5-flash-nothinking</ns0:t>
        </ns0:is>
      </ns0:c>
      <ns0:c r="F1420" t="inlineStr">
        <ns0:is>
          <ns0:t>E0433</ns0:t>
        </ns0:is>
      </ns0:c>
      <ns0:c r="G1420" t="n">
        <ns0:v>0</ns0:v>
      </ns0:c>
      <ns0:c r="H1420" t="n">
        <ns0:v>2632</ns0:v>
      </ns0:c>
      <ns0:c r="I1420" t="n">
        <ns0:v>258</ns0:v>
      </ns0:c>
      <ns0:c r="J1420" t="n">
        <ns0:v>2890</ns0:v>
      </ns0:c>
      <ns0:c r="K1420" t="n">
        <ns0:v>3</ns0:v>
      </ns0:c>
      <ns0:c r="L1420" t="n">
        <ns0:v>1</ns0:v>
      </ns0:c>
      <ns0:c r="M1420" t="n">
        <ns0:v>27832</ns0:v>
      </ns0:c>
      <ns0:c r="N1420" t="n">
        <ns0:v>541</ns0:v>
      </ns0:c>
      <ns0:c r="O1420" t="n">
        <ns0:v>28373</ns0:v>
      </ns0:c>
      <ns0:c r="P1420" t="n">
        <ns0:v>4</ns0:v>
      </ns0:c>
      <ns0:c r="Q1420">
        <ns0:f>IF(AND(L1420=1,O1420*Calculations!$B$2&lt;=Calculations!$B$10*Calculations!$B$4),1,0)</ns0:f>
        <ns0:v>0</ns0:v>
      </ns0:c>
      <ns0:c r="R1420">
        <ns0:f>IF(AND(L1420=1,O1420*Calculations!$B$2&lt;=Calculations!$B$11*Calculations!$B$4),1,0)</ns0:f>
        <ns0:v>1</ns0:v>
      </ns0:c>
    </ns0:row>
    <ns0:row r="1421">
      <ns0:c r="A1421" t="inlineStr">
        <ns0:is>
          <ns0:t>case_1420</ns0:t>
        </ns0:is>
      </ns0:c>
      <ns0:c r="B1421" t="inlineStr">
        <ns0:is>
          <ns0:t>function_0391</ns0:t>
        </ns0:is>
      </ns0:c>
      <ns0:c r="C1421" t="inlineStr">
        <ns0:is>
          <ns0:t>run_013</ns0:t>
        </ns0:is>
      </ns0:c>
      <ns0:c r="D1421" t="inlineStr">
        <ns0:is>
          <ns0:t>rand</ns0:t>
        </ns0:is>
      </ns0:c>
      <ns0:c r="E1421" t="inlineStr">
        <ns0:is>
          <ns0:t>gemini-2.5-flash-nothinking</ns0:t>
        </ns0:is>
      </ns0:c>
      <ns0:c r="F1421" t="inlineStr">
        <ns0:is>
          <ns0:t>E0425</ns0:t>
        </ns0:is>
      </ns0:c>
      <ns0:c r="G1421" t="n">
        <ns0:v>0</ns0:v>
      </ns0:c>
      <ns0:c r="H1421" t="n">
        <ns0:v>4151</ns0:v>
      </ns0:c>
      <ns0:c r="I1421" t="n">
        <ns0:v>834</ns0:v>
      </ns0:c>
      <ns0:c r="J1421" t="n">
        <ns0:v>4985</ns0:v>
      </ns0:c>
      <ns0:c r="K1421" t="n">
        <ns0:v>3</ns0:v>
      </ns0:c>
      <ns0:c r="L1421" t="n">
        <ns0:v>1</ns0:v>
      </ns0:c>
      <ns0:c r="M1421" t="n">
        <ns0:v>21742</ns0:v>
      </ns0:c>
      <ns0:c r="N1421" t="n">
        <ns0:v>345</ns0:v>
      </ns0:c>
      <ns0:c r="O1421" t="n">
        <ns0:v>22087</ns0:v>
      </ns0:c>
      <ns0:c r="P1421" t="n">
        <ns0:v>3</ns0:v>
      </ns0:c>
      <ns0:c r="Q1421">
        <ns0:f>IF(AND(L1421=1,O1421*Calculations!$B$2&lt;=Calculations!$B$10*Calculations!$B$4),1,0)</ns0:f>
        <ns0:v>1</ns0:v>
      </ns0:c>
      <ns0:c r="R1421">
        <ns0:f>IF(AND(L1421=1,O1421*Calculations!$B$2&lt;=Calculations!$B$11*Calculations!$B$4),1,0)</ns0:f>
        <ns0:v>1</ns0:v>
      </ns0:c>
    </ns0:row>
    <ns0:row r="1422">
      <ns0:c r="A1422" t="inlineStr">
        <ns0:is>
          <ns0:t>case_1421</ns0:t>
        </ns0:is>
      </ns0:c>
      <ns0:c r="B1422" t="inlineStr">
        <ns0:is>
          <ns0:t>function_0391</ns0:t>
        </ns0:is>
      </ns0:c>
      <ns0:c r="C1422" t="inlineStr">
        <ns0:is>
          <ns0:t>run_013</ns0:t>
        </ns0:is>
      </ns0:c>
      <ns0:c r="D1422" t="inlineStr">
        <ns0:is>
          <ns0:t>rand</ns0:t>
        </ns0:is>
      </ns0:c>
      <ns0:c r="E1422" t="inlineStr">
        <ns0:is>
          <ns0:t>gemini-2.5-flash-nothinking</ns0:t>
        </ns0:is>
      </ns0:c>
      <ns0:c r="F1422" t="inlineStr"/>
      <ns0:c r="G1422" t="n">
        <ns0:v>1</ns0:v>
      </ns0:c>
      <ns0:c r="H1422" t="n">
        <ns0:v>1079</ns0:v>
      </ns0:c>
      <ns0:c r="I1422" t="n">
        <ns0:v>225</ns0:v>
      </ns0:c>
      <ns0:c r="J1422" t="n">
        <ns0:v>1304</ns0:v>
      </ns0:c>
      <ns0:c r="K1422" t="n">
        <ns0:v>1</ns0:v>
      </ns0:c>
      <ns0:c r="L1422" t="n">
        <ns0:v>1</ns0:v>
      </ns0:c>
      <ns0:c r="M1422" t="n">
        <ns0:v>21399</ns0:v>
      </ns0:c>
      <ns0:c r="N1422" t="n">
        <ns0:v>253</ns0:v>
      </ns0:c>
      <ns0:c r="O1422" t="n">
        <ns0:v>21652</ns0:v>
      </ns0:c>
      <ns0:c r="P1422" t="n">
        <ns0:v>3</ns0:v>
      </ns0:c>
      <ns0:c r="Q1422">
        <ns0:f>IF(AND(L1422=1,O1422*Calculations!$B$2&lt;=Calculations!$B$10*Calculations!$B$4),1,0)</ns0:f>
        <ns0:v>1</ns0:v>
      </ns0:c>
      <ns0:c r="R1422">
        <ns0:f>IF(AND(L1422=1,O1422*Calculations!$B$2&lt;=Calculations!$B$11*Calculations!$B$4),1,0)</ns0:f>
        <ns0:v>1</ns0:v>
      </ns0:c>
    </ns0:row>
    <ns0:row r="1423">
      <ns0:c r="A1423" t="inlineStr">
        <ns0:is>
          <ns0:t>case_1422</ns0:t>
        </ns0:is>
      </ns0:c>
      <ns0:c r="B1423" t="inlineStr">
        <ns0:is>
          <ns0:t>function_0392</ns0:t>
        </ns0:is>
      </ns0:c>
      <ns0:c r="C1423" t="inlineStr">
        <ns0:is>
          <ns0:t>run_013</ns0:t>
        </ns0:is>
      </ns0:c>
      <ns0:c r="D1423" t="inlineStr">
        <ns0:is>
          <ns0:t>rand</ns0:t>
        </ns0:is>
      </ns0:c>
      <ns0:c r="E1423" t="inlineStr">
        <ns0:is>
          <ns0:t>gemini-2.5-flash-nothinking</ns0:t>
        </ns0:is>
      </ns0:c>
      <ns0:c r="F1423" t="inlineStr">
        <ns0:is>
          <ns0:t>E0433</ns0:t>
        </ns0:is>
      </ns0:c>
      <ns0:c r="G1423" t="n">
        <ns0:v>0</ns0:v>
      </ns0:c>
      <ns0:c r="H1423" t="n">
        <ns0:v>3404</ns0:v>
      </ns0:c>
      <ns0:c r="I1423" t="n">
        <ns0:v>915</ns0:v>
      </ns0:c>
      <ns0:c r="J1423" t="n">
        <ns0:v>4319</ns0:v>
      </ns0:c>
      <ns0:c r="K1423" t="n">
        <ns0:v>3</ns0:v>
      </ns0:c>
      <ns0:c r="L1423" t="n">
        <ns0:v>1</ns0:v>
      </ns0:c>
      <ns0:c r="M1423" t="n">
        <ns0:v>167132</ns0:v>
      </ns0:c>
      <ns0:c r="N1423" t="n">
        <ns0:v>2118</ns0:v>
      </ns0:c>
      <ns0:c r="O1423" t="n">
        <ns0:v>169250</ns0:v>
      </ns0:c>
      <ns0:c r="P1423" t="n">
        <ns0:v>20</ns0:v>
      </ns0:c>
      <ns0:c r="Q1423">
        <ns0:f>IF(AND(L1423=1,O1423*Calculations!$B$2&lt;=Calculations!$B$10*Calculations!$B$4),1,0)</ns0:f>
        <ns0:v>0</ns0:v>
      </ns0:c>
      <ns0:c r="R1423">
        <ns0:f>IF(AND(L1423=1,O1423*Calculations!$B$2&lt;=Calculations!$B$11*Calculations!$B$4),1,0)</ns0:f>
        <ns0:v>0</ns0:v>
      </ns0:c>
    </ns0:row>
    <ns0:row r="1424">
      <ns0:c r="A1424" t="inlineStr">
        <ns0:is>
          <ns0:t>case_1423</ns0:t>
        </ns0:is>
      </ns0:c>
      <ns0:c r="B1424" t="inlineStr">
        <ns0:is>
          <ns0:t>function_0392</ns0:t>
        </ns0:is>
      </ns0:c>
      <ns0:c r="C1424" t="inlineStr">
        <ns0:is>
          <ns0:t>run_013</ns0:t>
        </ns0:is>
      </ns0:c>
      <ns0:c r="D1424" t="inlineStr">
        <ns0:is>
          <ns0:t>rand</ns0:t>
        </ns0:is>
      </ns0:c>
      <ns0:c r="E1424" t="inlineStr">
        <ns0:is>
          <ns0:t>gemini-2.5-flash-nothinking</ns0:t>
        </ns0:is>
      </ns0:c>
      <ns0:c r="F1424" t="inlineStr"/>
      <ns0:c r="G1424" t="n">
        <ns0:v>1</ns0:v>
      </ns0:c>
      <ns0:c r="H1424" t="n">
        <ns0:v>869</ns0:v>
      </ns0:c>
      <ns0:c r="I1424" t="n">
        <ns0:v>81</ns0:v>
      </ns0:c>
      <ns0:c r="J1424" t="n">
        <ns0:v>950</ns0:v>
      </ns0:c>
      <ns0:c r="K1424" t="n">
        <ns0:v>1</ns0:v>
      </ns0:c>
      <ns0:c r="L1424" t="n">
        <ns0:v>1</ns0:v>
      </ns0:c>
      <ns0:c r="M1424" t="n">
        <ns0:v>20452</ns0:v>
      </ns0:c>
      <ns0:c r="N1424" t="n">
        <ns0:v>215</ns0:v>
      </ns0:c>
      <ns0:c r="O1424" t="n">
        <ns0:v>20667</ns0:v>
      </ns0:c>
      <ns0:c r="P1424" t="n">
        <ns0:v>3</ns0:v>
      </ns0:c>
      <ns0:c r="Q1424">
        <ns0:f>IF(AND(L1424=1,O1424*Calculations!$B$2&lt;=Calculations!$B$10*Calculations!$B$4),1,0)</ns0:f>
        <ns0:v>1</ns0:v>
      </ns0:c>
      <ns0:c r="R1424">
        <ns0:f>IF(AND(L1424=1,O1424*Calculations!$B$2&lt;=Calculations!$B$11*Calculations!$B$4),1,0)</ns0:f>
        <ns0:v>1</ns0:v>
      </ns0:c>
    </ns0:row>
    <ns0:row r="1425">
      <ns0:c r="A1425" t="inlineStr">
        <ns0:is>
          <ns0:t>case_1424</ns0:t>
        </ns0:is>
      </ns0:c>
      <ns0:c r="B1425" t="inlineStr">
        <ns0:is>
          <ns0:t>function_0393</ns0:t>
        </ns0:is>
      </ns0:c>
      <ns0:c r="C1425" t="inlineStr">
        <ns0:is>
          <ns0:t>run_013</ns0:t>
        </ns0:is>
      </ns0:c>
      <ns0:c r="D1425" t="inlineStr">
        <ns0:is>
          <ns0:t>rand</ns0:t>
        </ns0:is>
      </ns0:c>
      <ns0:c r="E1425" t="inlineStr">
        <ns0:is>
          <ns0:t>gemini-2.5-flash-nothinking</ns0:t>
        </ns0:is>
      </ns0:c>
      <ns0:c r="F1425" t="inlineStr">
        <ns0:is>
          <ns0:t>E0432</ns0:t>
        </ns0:is>
      </ns0:c>
      <ns0:c r="G1425" t="n">
        <ns0:v>0</ns0:v>
      </ns0:c>
      <ns0:c r="H1425" t="n">
        <ns0:v>6131</ns0:v>
      </ns0:c>
      <ns0:c r="I1425" t="n">
        <ns0:v>1002</ns0:v>
      </ns0:c>
      <ns0:c r="J1425" t="n">
        <ns0:v>7133</ns0:v>
      </ns0:c>
      <ns0:c r="K1425" t="n">
        <ns0:v>3</ns0:v>
      </ns0:c>
      <ns0:c r="L1425" t="n">
        <ns0:v>0</ns0:v>
      </ns0:c>
      <ns0:c r="M1425" t="n">
        <ns0:v>159448</ns0:v>
      </ns0:c>
      <ns0:c r="N1425" t="n">
        <ns0:v>1490</ns0:v>
      </ns0:c>
      <ns0:c r="O1425" t="n">
        <ns0:v>160938</ns0:v>
      </ns0:c>
      <ns0:c r="P1425" t="n">
        <ns0:v>20</ns0:v>
      </ns0:c>
      <ns0:c r="Q1425">
        <ns0:f>IF(AND(L1425=1,O1425*Calculations!$B$2&lt;=Calculations!$B$10*Calculations!$B$4),1,0)</ns0:f>
        <ns0:v>0</ns0:v>
      </ns0:c>
      <ns0:c r="R1425">
        <ns0:f>IF(AND(L1425=1,O1425*Calculations!$B$2&lt;=Calculations!$B$11*Calculations!$B$4),1,0)</ns0:f>
        <ns0:v>0</ns0:v>
      </ns0:c>
    </ns0:row>
    <ns0:row r="1426">
      <ns0:c r="A1426" t="inlineStr">
        <ns0:is>
          <ns0:t>case_1425</ns0:t>
        </ns0:is>
      </ns0:c>
      <ns0:c r="B1426" t="inlineStr">
        <ns0:is>
          <ns0:t>function_0393</ns0:t>
        </ns0:is>
      </ns0:c>
      <ns0:c r="C1426" t="inlineStr">
        <ns0:is>
          <ns0:t>run_013</ns0:t>
        </ns0:is>
      </ns0:c>
      <ns0:c r="D1426" t="inlineStr">
        <ns0:is>
          <ns0:t>rand</ns0:t>
        </ns0:is>
      </ns0:c>
      <ns0:c r="E1426" t="inlineStr">
        <ns0:is>
          <ns0:t>gemini-2.5-flash-nothinking</ns0:t>
        </ns0:is>
      </ns0:c>
      <ns0:c r="F1426" t="inlineStr">
        <ns0:is>
          <ns0:t>E0432,E0433</ns0:t>
        </ns0:is>
      </ns0:c>
      <ns0:c r="G1426" t="n">
        <ns0:v>0</ns0:v>
      </ns0:c>
      <ns0:c r="H1426" t="n">
        <ns0:v>7869</ns0:v>
      </ns0:c>
      <ns0:c r="I1426" t="n">
        <ns0:v>1538</ns0:v>
      </ns0:c>
      <ns0:c r="J1426" t="n">
        <ns0:v>9407</ns0:v>
      </ns0:c>
      <ns0:c r="K1426" t="n">
        <ns0:v>3</ns0:v>
      </ns0:c>
      <ns0:c r="L1426" t="n">
        <ns0:v>0</ns0:v>
      </ns0:c>
      <ns0:c r="M1426" t="n">
        <ns0:v>312877</ns0:v>
      </ns0:c>
      <ns0:c r="N1426" t="n">
        <ns0:v>2920</ns0:v>
      </ns0:c>
      <ns0:c r="O1426" t="n">
        <ns0:v>315797</ns0:v>
      </ns0:c>
      <ns0:c r="P1426" t="n">
        <ns0:v>20</ns0:v>
      </ns0:c>
      <ns0:c r="Q1426">
        <ns0:f>IF(AND(L1426=1,O1426*Calculations!$B$2&lt;=Calculations!$B$10*Calculations!$B$4),1,0)</ns0:f>
        <ns0:v>0</ns0:v>
      </ns0:c>
      <ns0:c r="R1426">
        <ns0:f>IF(AND(L1426=1,O1426*Calculations!$B$2&lt;=Calculations!$B$11*Calculations!$B$4),1,0)</ns0:f>
        <ns0:v>0</ns0:v>
      </ns0:c>
    </ns0:row>
    <ns0:row r="1427">
      <ns0:c r="A1427" t="inlineStr">
        <ns0:is>
          <ns0:t>case_1426</ns0:t>
        </ns0:is>
      </ns0:c>
      <ns0:c r="B1427" t="inlineStr">
        <ns0:is>
          <ns0:t>function_0394</ns0:t>
        </ns0:is>
      </ns0:c>
      <ns0:c r="C1427" t="inlineStr">
        <ns0:is>
          <ns0:t>run_013</ns0:t>
        </ns0:is>
      </ns0:c>
      <ns0:c r="D1427" t="inlineStr">
        <ns0:is>
          <ns0:t>rand</ns0:t>
        </ns0:is>
      </ns0:c>
      <ns0:c r="E1427" t="inlineStr">
        <ns0:is>
          <ns0:t>gemini-2.5-flash-nothinking</ns0:t>
        </ns0:is>
      </ns0:c>
      <ns0:c r="F1427" t="inlineStr">
        <ns0:is>
          <ns0:t>E0433</ns0:t>
        </ns0:is>
      </ns0:c>
      <ns0:c r="G1427" t="n">
        <ns0:v>0</ns0:v>
      </ns0:c>
      <ns0:c r="H1427" t="n">
        <ns0:v>6463</ns0:v>
      </ns0:c>
      <ns0:c r="I1427" t="n">
        <ns0:v>619</ns0:v>
      </ns0:c>
      <ns0:c r="J1427" t="n">
        <ns0:v>7082</ns0:v>
      </ns0:c>
      <ns0:c r="K1427" t="n">
        <ns0:v>3</ns0:v>
      </ns0:c>
      <ns0:c r="L1427" t="n">
        <ns0:v>0</ns0:v>
      </ns0:c>
      <ns0:c r="M1427" t="n">
        <ns0:v>245964</ns0:v>
      </ns0:c>
      <ns0:c r="N1427" t="n">
        <ns0:v>2743</ns0:v>
      </ns0:c>
      <ns0:c r="O1427" t="n">
        <ns0:v>248707</ns0:v>
      </ns0:c>
      <ns0:c r="P1427" t="n">
        <ns0:v>20</ns0:v>
      </ns0:c>
      <ns0:c r="Q1427">
        <ns0:f>IF(AND(L1427=1,O1427*Calculations!$B$2&lt;=Calculations!$B$10*Calculations!$B$4),1,0)</ns0:f>
        <ns0:v>0</ns0:v>
      </ns0:c>
      <ns0:c r="R1427">
        <ns0:f>IF(AND(L1427=1,O1427*Calculations!$B$2&lt;=Calculations!$B$11*Calculations!$B$4),1,0)</ns0:f>
        <ns0:v>0</ns0:v>
      </ns0:c>
    </ns0:row>
    <ns0:row r="1428">
      <ns0:c r="A1428" t="inlineStr">
        <ns0:is>
          <ns0:t>case_1427</ns0:t>
        </ns0:is>
      </ns0:c>
      <ns0:c r="B1428" t="inlineStr">
        <ns0:is>
          <ns0:t>function_0394</ns0:t>
        </ns0:is>
      </ns0:c>
      <ns0:c r="C1428" t="inlineStr">
        <ns0:is>
          <ns0:t>run_013</ns0:t>
        </ns0:is>
      </ns0:c>
      <ns0:c r="D1428" t="inlineStr">
        <ns0:is>
          <ns0:t>rand</ns0:t>
        </ns0:is>
      </ns0:c>
      <ns0:c r="E1428" t="inlineStr">
        <ns0:is>
          <ns0:t>gemini-2.5-flash-nothinking</ns0:t>
        </ns0:is>
      </ns0:c>
      <ns0:c r="F1428" t="inlineStr">
        <ns0:is>
          <ns0:t>E0433</ns0:t>
        </ns0:is>
      </ns0:c>
      <ns0:c r="G1428" t="n">
        <ns0:v>0</ns0:v>
      </ns0:c>
      <ns0:c r="H1428" t="n">
        <ns0:v>6468</ns0:v>
      </ns0:c>
      <ns0:c r="I1428" t="n">
        <ns0:v>444</ns0:v>
      </ns0:c>
      <ns0:c r="J1428" t="n">
        <ns0:v>6912</ns0:v>
      </ns0:c>
      <ns0:c r="K1428" t="n">
        <ns0:v>3</ns0:v>
      </ns0:c>
      <ns0:c r="L1428" t="n">
        <ns0:v>0</ns0:v>
      </ns0:c>
      <ns0:c r="M1428" t="n">
        <ns0:v>192786</ns0:v>
      </ns0:c>
      <ns0:c r="N1428" t="n">
        <ns0:v>2746</ns0:v>
      </ns0:c>
      <ns0:c r="O1428" t="n">
        <ns0:v>195532</ns0:v>
      </ns0:c>
      <ns0:c r="P1428" t="n">
        <ns0:v>20</ns0:v>
      </ns0:c>
      <ns0:c r="Q1428">
        <ns0:f>IF(AND(L1428=1,O1428*Calculations!$B$2&lt;=Calculations!$B$10*Calculations!$B$4),1,0)</ns0:f>
        <ns0:v>0</ns0:v>
      </ns0:c>
      <ns0:c r="R1428">
        <ns0:f>IF(AND(L1428=1,O1428*Calculations!$B$2&lt;=Calculations!$B$11*Calculations!$B$4),1,0)</ns0:f>
        <ns0:v>0</ns0:v>
      </ns0:c>
    </ns0:row>
    <ns0:row r="1429">
      <ns0:c r="A1429" t="inlineStr">
        <ns0:is>
          <ns0:t>case_1428</ns0:t>
        </ns0:is>
      </ns0:c>
      <ns0:c r="B1429" t="inlineStr">
        <ns0:is>
          <ns0:t>function_0395</ns0:t>
        </ns0:is>
      </ns0:c>
      <ns0:c r="C1429" t="inlineStr">
        <ns0:is>
          <ns0:t>run_013</ns0:t>
        </ns0:is>
      </ns0:c>
      <ns0:c r="D1429" t="inlineStr">
        <ns0:is>
          <ns0:t>rand</ns0:t>
        </ns0:is>
      </ns0:c>
      <ns0:c r="E1429" t="inlineStr">
        <ns0:is>
          <ns0:t>gemini-2.5-flash-nothinking</ns0:t>
        </ns0:is>
      </ns0:c>
      <ns0:c r="F1429" t="inlineStr">
        <ns0:is>
          <ns0:t>E0433</ns0:t>
        </ns0:is>
      </ns0:c>
      <ns0:c r="G1429" t="n">
        <ns0:v>1</ns0:v>
      </ns0:c>
      <ns0:c r="H1429" t="n">
        <ns0:v>4669</ns0:v>
      </ns0:c>
      <ns0:c r="I1429" t="n">
        <ns0:v>1006</ns0:v>
      </ns0:c>
      <ns0:c r="J1429" t="n">
        <ns0:v>5675</ns0:v>
      </ns0:c>
      <ns0:c r="K1429" t="n">
        <ns0:v>2</ns0:v>
      </ns0:c>
      <ns0:c r="L1429" t="n">
        <ns0:v>0</ns0:v>
      </ns0:c>
      <ns0:c r="M1429" t="n">
        <ns0:v>407658</ns0:v>
      </ns0:c>
      <ns0:c r="N1429" t="n">
        <ns0:v>2551</ns0:v>
      </ns0:c>
      <ns0:c r="O1429" t="n">
        <ns0:v>410209</ns0:v>
      </ns0:c>
      <ns0:c r="P1429" t="n">
        <ns0:v>20</ns0:v>
      </ns0:c>
      <ns0:c r="Q1429">
        <ns0:f>IF(AND(L1429=1,O1429*Calculations!$B$2&lt;=Calculations!$B$10*Calculations!$B$4),1,0)</ns0:f>
        <ns0:v>0</ns0:v>
      </ns0:c>
      <ns0:c r="R1429">
        <ns0:f>IF(AND(L1429=1,O1429*Calculations!$B$2&lt;=Calculations!$B$11*Calculations!$B$4),1,0)</ns0:f>
        <ns0:v>0</ns0:v>
      </ns0:c>
    </ns0:row>
    <ns0:row r="1430">
      <ns0:c r="A1430" t="inlineStr">
        <ns0:is>
          <ns0:t>case_1429</ns0:t>
        </ns0:is>
      </ns0:c>
      <ns0:c r="B1430" t="inlineStr">
        <ns0:is>
          <ns0:t>function_0395</ns0:t>
        </ns0:is>
      </ns0:c>
      <ns0:c r="C1430" t="inlineStr">
        <ns0:is>
          <ns0:t>run_013</ns0:t>
        </ns0:is>
      </ns0:c>
      <ns0:c r="D1430" t="inlineStr">
        <ns0:is>
          <ns0:t>rand</ns0:t>
        </ns0:is>
      </ns0:c>
      <ns0:c r="E1430" t="inlineStr">
        <ns0:is>
          <ns0:t>gemini-2.5-flash-nothinking</ns0:t>
        </ns0:is>
      </ns0:c>
      <ns0:c r="F1430" t="inlineStr">
        <ns0:is>
          <ns0:t>E0432</ns0:t>
        </ns0:is>
      </ns0:c>
      <ns0:c r="G1430" t="n">
        <ns0:v>0</ns0:v>
      </ns0:c>
      <ns0:c r="H1430" t="n">
        <ns0:v>5325</ns0:v>
      </ns0:c>
      <ns0:c r="I1430" t="n">
        <ns0:v>657</ns0:v>
      </ns0:c>
      <ns0:c r="J1430" t="n">
        <ns0:v>5982</ns0:v>
      </ns0:c>
      <ns0:c r="K1430" t="n">
        <ns0:v>3</ns0:v>
      </ns0:c>
      <ns0:c r="L1430" t="n">
        <ns0:v>0</ns0:v>
      </ns0:c>
      <ns0:c r="M1430" t="n">
        <ns0:v>316337</ns0:v>
      </ns0:c>
      <ns0:c r="N1430" t="n">
        <ns0:v>7196</ns0:v>
      </ns0:c>
      <ns0:c r="O1430" t="n">
        <ns0:v>323533</ns0:v>
      </ns0:c>
      <ns0:c r="P1430" t="n">
        <ns0:v>21</ns0:v>
      </ns0:c>
      <ns0:c r="Q1430">
        <ns0:f>IF(AND(L1430=1,O1430*Calculations!$B$2&lt;=Calculations!$B$10*Calculations!$B$4),1,0)</ns0:f>
        <ns0:v>0</ns0:v>
      </ns0:c>
      <ns0:c r="R1430">
        <ns0:f>IF(AND(L1430=1,O1430*Calculations!$B$2&lt;=Calculations!$B$11*Calculations!$B$4),1,0)</ns0:f>
        <ns0:v>0</ns0:v>
      </ns0:c>
    </ns0:row>
    <ns0:row r="1431">
      <ns0:c r="A1431" t="inlineStr">
        <ns0:is>
          <ns0:t>case_1430</ns0:t>
        </ns0:is>
      </ns0:c>
      <ns0:c r="B1431" t="inlineStr">
        <ns0:is>
          <ns0:t>function_0396</ns0:t>
        </ns0:is>
      </ns0:c>
      <ns0:c r="C1431" t="inlineStr">
        <ns0:is>
          <ns0:t>run_013</ns0:t>
        </ns0:is>
      </ns0:c>
      <ns0:c r="D1431" t="inlineStr">
        <ns0:is>
          <ns0:t>rand</ns0:t>
        </ns0:is>
      </ns0:c>
      <ns0:c r="E1431" t="inlineStr">
        <ns0:is>
          <ns0:t>gemini-2.5-flash-nothinking</ns0:t>
        </ns0:is>
      </ns0:c>
      <ns0:c r="F1431" t="inlineStr">
        <ns0:is>
          <ns0:t>E0599</ns0:t>
        </ns0:is>
      </ns0:c>
      <ns0:c r="G1431" t="n">
        <ns0:v>0</ns0:v>
      </ns0:c>
      <ns0:c r="H1431" t="n">
        <ns0:v>3443</ns0:v>
      </ns0:c>
      <ns0:c r="I1431" t="n">
        <ns0:v>519</ns0:v>
      </ns0:c>
      <ns0:c r="J1431" t="n">
        <ns0:v>3962</ns0:v>
      </ns0:c>
      <ns0:c r="K1431" t="n">
        <ns0:v>3</ns0:v>
      </ns0:c>
      <ns0:c r="L1431" t="n">
        <ns0:v>1</ns0:v>
      </ns0:c>
      <ns0:c r="M1431" t="n">
        <ns0:v>77836</ns0:v>
      </ns0:c>
      <ns0:c r="N1431" t="n">
        <ns0:v>1082</ns0:v>
      </ns0:c>
      <ns0:c r="O1431" t="n">
        <ns0:v>78918</ns0:v>
      </ns0:c>
      <ns0:c r="P1431" t="n">
        <ns0:v>9</ns0:v>
      </ns0:c>
      <ns0:c r="Q1431">
        <ns0:f>IF(AND(L1431=1,O1431*Calculations!$B$2&lt;=Calculations!$B$10*Calculations!$B$4),1,0)</ns0:f>
        <ns0:v>0</ns0:v>
      </ns0:c>
      <ns0:c r="R1431">
        <ns0:f>IF(AND(L1431=1,O1431*Calculations!$B$2&lt;=Calculations!$B$11*Calculations!$B$4),1,0)</ns0:f>
        <ns0:v>0</ns0:v>
      </ns0:c>
    </ns0:row>
    <ns0:row r="1432">
      <ns0:c r="A1432" t="inlineStr">
        <ns0:is>
          <ns0:t>case_1431</ns0:t>
        </ns0:is>
      </ns0:c>
      <ns0:c r="B1432" t="inlineStr">
        <ns0:is>
          <ns0:t>function_0397</ns0:t>
        </ns0:is>
      </ns0:c>
      <ns0:c r="C1432" t="inlineStr">
        <ns0:is>
          <ns0:t>run_013</ns0:t>
        </ns0:is>
      </ns0:c>
      <ns0:c r="D1432" t="inlineStr">
        <ns0:is>
          <ns0:t>rand</ns0:t>
        </ns0:is>
      </ns0:c>
      <ns0:c r="E1432" t="inlineStr">
        <ns0:is>
          <ns0:t>gemini-2.5-flash-nothinking</ns0:t>
        </ns0:is>
      </ns0:c>
      <ns0:c r="F1432" t="inlineStr">
        <ns0:is>
          <ns0:t>E0599</ns0:t>
        </ns0:is>
      </ns0:c>
      <ns0:c r="G1432" t="n">
        <ns0:v>0</ns0:v>
      </ns0:c>
      <ns0:c r="H1432" t="n">
        <ns0:v>3604</ns0:v>
      </ns0:c>
      <ns0:c r="I1432" t="n">
        <ns0:v>600</ns0:v>
      </ns0:c>
      <ns0:c r="J1432" t="n">
        <ns0:v>4204</ns0:v>
      </ns0:c>
      <ns0:c r="K1432" t="n">
        <ns0:v>3</ns0:v>
      </ns0:c>
      <ns0:c r="L1432" t="n">
        <ns0:v>0</ns0:v>
      </ns0:c>
      <ns0:c r="M1432" t="n">
        <ns0:v>179631</ns0:v>
      </ns0:c>
      <ns0:c r="N1432" t="n">
        <ns0:v>1704</ns0:v>
      </ns0:c>
      <ns0:c r="O1432" t="n">
        <ns0:v>181335</ns0:v>
      </ns0:c>
      <ns0:c r="P1432" t="n">
        <ns0:v>11</ns0:v>
      </ns0:c>
      <ns0:c r="Q1432">
        <ns0:f>IF(AND(L1432=1,O1432*Calculations!$B$2&lt;=Calculations!$B$10*Calculations!$B$4),1,0)</ns0:f>
        <ns0:v>0</ns0:v>
      </ns0:c>
      <ns0:c r="R1432">
        <ns0:f>IF(AND(L1432=1,O1432*Calculations!$B$2&lt;=Calculations!$B$11*Calculations!$B$4),1,0)</ns0:f>
        <ns0:v>0</ns0:v>
      </ns0:c>
    </ns0:row>
    <ns0:row r="1433">
      <ns0:c r="A1433" t="inlineStr">
        <ns0:is>
          <ns0:t>case_1432</ns0:t>
        </ns0:is>
      </ns0:c>
      <ns0:c r="B1433" t="inlineStr">
        <ns0:is>
          <ns0:t>function_0398</ns0:t>
        </ns0:is>
      </ns0:c>
      <ns0:c r="C1433" t="inlineStr">
        <ns0:is>
          <ns0:t>run_013</ns0:t>
        </ns0:is>
      </ns0:c>
      <ns0:c r="D1433" t="inlineStr">
        <ns0:is>
          <ns0:t>rand</ns0:t>
        </ns0:is>
      </ns0:c>
      <ns0:c r="E1433" t="inlineStr">
        <ns0:is>
          <ns0:t>gemini-2.5-flash-nothinking</ns0:t>
        </ns0:is>
      </ns0:c>
      <ns0:c r="F1433" t="inlineStr">
        <ns0:is>
          <ns0:t>E0433</ns0:t>
        </ns0:is>
      </ns0:c>
      <ns0:c r="G1433" t="n">
        <ns0:v>1</ns0:v>
      </ns0:c>
      <ns0:c r="H1433" t="n">
        <ns0:v>0</ns0:v>
      </ns0:c>
      <ns0:c r="I1433" t="n">
        <ns0:v>0</ns0:v>
      </ns0:c>
      <ns0:c r="J1433" t="n">
        <ns0:v>0</ns0:v>
      </ns0:c>
      <ns0:c r="K1433" t="n">
        <ns0:v>0</ns0:v>
      </ns0:c>
      <ns0:c r="L1433" t="n">
        <ns0:v>1</ns0:v>
      </ns0:c>
      <ns0:c r="M1433" t="n">
        <ns0:v>54236</ns0:v>
      </ns0:c>
      <ns0:c r="N1433" t="n">
        <ns0:v>741</ns0:v>
      </ns0:c>
      <ns0:c r="O1433" t="n">
        <ns0:v>54977</ns0:v>
      </ns0:c>
      <ns0:c r="P1433" t="n">
        <ns0:v>5</ns0:v>
      </ns0:c>
      <ns0:c r="Q1433">
        <ns0:f>IF(AND(L1433=1,O1433*Calculations!$B$2&lt;=Calculations!$B$10*Calculations!$B$4),1,0)</ns0:f>
        <ns0:v>0</ns0:v>
      </ns0:c>
      <ns0:c r="R1433">
        <ns0:f>IF(AND(L1433=1,O1433*Calculations!$B$2&lt;=Calculations!$B$11*Calculations!$B$4),1,0)</ns0:f>
        <ns0:v>0</ns0:v>
      </ns0:c>
    </ns0:row>
    <ns0:row r="1434">
      <ns0:c r="A1434" t="inlineStr">
        <ns0:is>
          <ns0:t>case_1433</ns0:t>
        </ns0:is>
      </ns0:c>
      <ns0:c r="B1434" t="inlineStr">
        <ns0:is>
          <ns0:t>function_0399</ns0:t>
        </ns0:is>
      </ns0:c>
      <ns0:c r="C1434" t="inlineStr">
        <ns0:is>
          <ns0:t>run_013</ns0:t>
        </ns0:is>
      </ns0:c>
      <ns0:c r="D1434" t="inlineStr">
        <ns0:is>
          <ns0:t>rand</ns0:t>
        </ns0:is>
      </ns0:c>
      <ns0:c r="E1434" t="inlineStr">
        <ns0:is>
          <ns0:t>gemini-2.5-flash-nothinking</ns0:t>
        </ns0:is>
      </ns0:c>
      <ns0:c r="F1434" t="inlineStr">
        <ns0:is>
          <ns0:t>E0308</ns0:t>
        </ns0:is>
      </ns0:c>
      <ns0:c r="G1434" t="n">
        <ns0:v>1</ns0:v>
      </ns0:c>
      <ns0:c r="H1434" t="n">
        <ns0:v>1342</ns0:v>
      </ns0:c>
      <ns0:c r="I1434" t="n">
        <ns0:v>168</ns0:v>
      </ns0:c>
      <ns0:c r="J1434" t="n">
        <ns0:v>1510</ns0:v>
      </ns0:c>
      <ns0:c r="K1434" t="n">
        <ns0:v>2</ns0:v>
      </ns0:c>
      <ns0:c r="L1434" t="n">
        <ns0:v>1</ns0:v>
      </ns0:c>
      <ns0:c r="M1434" t="n">
        <ns0:v>37856</ns0:v>
      </ns0:c>
      <ns0:c r="N1434" t="n">
        <ns0:v>513</ns0:v>
      </ns0:c>
      <ns0:c r="O1434" t="n">
        <ns0:v>38369</ns0:v>
      </ns0:c>
      <ns0:c r="P1434" t="n">
        <ns0:v>5</ns0:v>
      </ns0:c>
      <ns0:c r="Q1434">
        <ns0:f>IF(AND(L1434=1,O1434*Calculations!$B$2&lt;=Calculations!$B$10*Calculations!$B$4),1,0)</ns0:f>
        <ns0:v>0</ns0:v>
      </ns0:c>
      <ns0:c r="R1434">
        <ns0:f>IF(AND(L1434=1,O1434*Calculations!$B$2&lt;=Calculations!$B$11*Calculations!$B$4),1,0)</ns0:f>
        <ns0:v>1</ns0:v>
      </ns0:c>
    </ns0:row>
    <ns0:row r="1435">
      <ns0:c r="A1435" t="inlineStr">
        <ns0:is>
          <ns0:t>case_1434</ns0:t>
        </ns0:is>
      </ns0:c>
      <ns0:c r="B1435" t="inlineStr">
        <ns0:is>
          <ns0:t>function_0399</ns0:t>
        </ns0:is>
      </ns0:c>
      <ns0:c r="C1435" t="inlineStr">
        <ns0:is>
          <ns0:t>run_013</ns0:t>
        </ns0:is>
      </ns0:c>
      <ns0:c r="D1435" t="inlineStr">
        <ns0:is>
          <ns0:t>rand</ns0:t>
        </ns0:is>
      </ns0:c>
      <ns0:c r="E1435" t="inlineStr">
        <ns0:is>
          <ns0:t>gemini-2.5-flash-nothinking</ns0:t>
        </ns0:is>
      </ns0:c>
      <ns0:c r="F1435" t="inlineStr">
        <ns0:is>
          <ns0:t>E0433</ns0:t>
        </ns0:is>
      </ns0:c>
      <ns0:c r="G1435" t="n">
        <ns0:v>1</ns0:v>
      </ns0:c>
      <ns0:c r="H1435" t="n">
        <ns0:v>2522</ns0:v>
      </ns0:c>
      <ns0:c r="I1435" t="n">
        <ns0:v>160</ns0:v>
      </ns0:c>
      <ns0:c r="J1435" t="n">
        <ns0:v>2682</ns0:v>
      </ns0:c>
      <ns0:c r="K1435" t="n">
        <ns0:v>2</ns0:v>
      </ns0:c>
      <ns0:c r="L1435" t="n">
        <ns0:v>1</ns0:v>
      </ns0:c>
      <ns0:c r="M1435" t="n">
        <ns0:v>56895</ns0:v>
      </ns0:c>
      <ns0:c r="N1435" t="n">
        <ns0:v>693</ns0:v>
      </ns0:c>
      <ns0:c r="O1435" t="n">
        <ns0:v>57588</ns0:v>
      </ns0:c>
      <ns0:c r="P1435" t="n">
        <ns0:v>7</ns0:v>
      </ns0:c>
      <ns0:c r="Q1435">
        <ns0:f>IF(AND(L1435=1,O1435*Calculations!$B$2&lt;=Calculations!$B$10*Calculations!$B$4),1,0)</ns0:f>
        <ns0:v>0</ns0:v>
      </ns0:c>
      <ns0:c r="R1435">
        <ns0:f>IF(AND(L1435=1,O1435*Calculations!$B$2&lt;=Calculations!$B$11*Calculations!$B$4),1,0)</ns0:f>
        <ns0:v>0</ns0:v>
      </ns0:c>
    </ns0:row>
    <ns0:row r="1436">
      <ns0:c r="A1436" t="inlineStr">
        <ns0:is>
          <ns0:t>case_1435</ns0:t>
        </ns0:is>
      </ns0:c>
      <ns0:c r="B1436" t="inlineStr">
        <ns0:is>
          <ns0:t>function_0400</ns0:t>
        </ns0:is>
      </ns0:c>
      <ns0:c r="C1436" t="inlineStr">
        <ns0:is>
          <ns0:t>run_013</ns0:t>
        </ns0:is>
      </ns0:c>
      <ns0:c r="D1436" t="inlineStr">
        <ns0:is>
          <ns0:t>rand</ns0:t>
        </ns0:is>
      </ns0:c>
      <ns0:c r="E1436" t="inlineStr">
        <ns0:is>
          <ns0:t>gemini-2.5-flash-nothinking</ns0:t>
        </ns0:is>
      </ns0:c>
      <ns0:c r="F1436" t="inlineStr">
        <ns0:is>
          <ns0:t>E0432,E0433</ns0:t>
        </ns0:is>
      </ns0:c>
      <ns0:c r="G1436" t="n">
        <ns0:v>0</ns0:v>
      </ns0:c>
      <ns0:c r="H1436" t="n">
        <ns0:v>4512</ns0:v>
      </ns0:c>
      <ns0:c r="I1436" t="n">
        <ns0:v>238</ns0:v>
      </ns0:c>
      <ns0:c r="J1436" t="n">
        <ns0:v>4750</ns0:v>
      </ns0:c>
      <ns0:c r="K1436" t="n">
        <ns0:v>3</ns0:v>
      </ns0:c>
      <ns0:c r="L1436" t="n">
        <ns0:v>1</ns0:v>
      </ns0:c>
      <ns0:c r="M1436" t="n">
        <ns0:v>27690</ns0:v>
      </ns0:c>
      <ns0:c r="N1436" t="n">
        <ns0:v>704</ns0:v>
      </ns0:c>
      <ns0:c r="O1436" t="n">
        <ns0:v>28394</ns0:v>
      </ns0:c>
      <ns0:c r="P1436" t="n">
        <ns0:v>4</ns0:v>
      </ns0:c>
      <ns0:c r="Q1436">
        <ns0:f>IF(AND(L1436=1,O1436*Calculations!$B$2&lt;=Calculations!$B$10*Calculations!$B$4),1,0)</ns0:f>
        <ns0:v>0</ns0:v>
      </ns0:c>
      <ns0:c r="R1436">
        <ns0:f>IF(AND(L1436=1,O1436*Calculations!$B$2&lt;=Calculations!$B$11*Calculations!$B$4),1,0)</ns0:f>
        <ns0:v>1</ns0:v>
      </ns0:c>
    </ns0:row>
    <ns0:row r="1437">
      <ns0:c r="A1437" t="inlineStr">
        <ns0:is>
          <ns0:t>case_1436</ns0:t>
        </ns0:is>
      </ns0:c>
      <ns0:c r="B1437" t="inlineStr">
        <ns0:is>
          <ns0:t>function_0400</ns0:t>
        </ns0:is>
      </ns0:c>
      <ns0:c r="C1437" t="inlineStr">
        <ns0:is>
          <ns0:t>run_013</ns0:t>
        </ns0:is>
      </ns0:c>
      <ns0:c r="D1437" t="inlineStr">
        <ns0:is>
          <ns0:t>rand</ns0:t>
        </ns0:is>
      </ns0:c>
      <ns0:c r="E1437" t="inlineStr">
        <ns0:is>
          <ns0:t>gemini-2.5-flash-nothinking</ns0:t>
        </ns0:is>
      </ns0:c>
      <ns0:c r="F1437" t="inlineStr">
        <ns0:is>
          <ns0:t>E0432,E0433</ns0:t>
        </ns0:is>
      </ns0:c>
      <ns0:c r="G1437" t="n">
        <ns0:v>0</ns0:v>
      </ns0:c>
      <ns0:c r="H1437" t="n">
        <ns0:v>7446</ns0:v>
      </ns0:c>
      <ns0:c r="I1437" t="n">
        <ns0:v>352</ns0:v>
      </ns0:c>
      <ns0:c r="J1437" t="n">
        <ns0:v>7798</ns0:v>
      </ns0:c>
      <ns0:c r="K1437" t="n">
        <ns0:v>3</ns0:v>
      </ns0:c>
      <ns0:c r="L1437" t="n">
        <ns0:v>1</ns0:v>
      </ns0:c>
      <ns0:c r="M1437" t="n">
        <ns0:v>78025</ns0:v>
      </ns0:c>
      <ns0:c r="N1437" t="n">
        <ns0:v>2043</ns0:v>
      </ns0:c>
      <ns0:c r="O1437" t="n">
        <ns0:v>80068</ns0:v>
      </ns0:c>
      <ns0:c r="P1437" t="n">
        <ns0:v>9</ns0:v>
      </ns0:c>
      <ns0:c r="Q1437">
        <ns0:f>IF(AND(L1437=1,O1437*Calculations!$B$2&lt;=Calculations!$B$10*Calculations!$B$4),1,0)</ns0:f>
        <ns0:v>0</ns0:v>
      </ns0:c>
      <ns0:c r="R1437">
        <ns0:f>IF(AND(L1437=1,O1437*Calculations!$B$2&lt;=Calculations!$B$11*Calculations!$B$4),1,0)</ns0:f>
        <ns0:v>0</ns0:v>
      </ns0:c>
    </ns0:row>
    <ns0:row r="1438">
      <ns0:c r="A1438" t="inlineStr">
        <ns0:is>
          <ns0:t>case_1437</ns0:t>
        </ns0:is>
      </ns0:c>
      <ns0:c r="B1438" t="inlineStr">
        <ns0:is>
          <ns0:t>function_0400</ns0:t>
        </ns0:is>
      </ns0:c>
      <ns0:c r="C1438" t="inlineStr">
        <ns0:is>
          <ns0:t>run_013</ns0:t>
        </ns0:is>
      </ns0:c>
      <ns0:c r="D1438" t="inlineStr">
        <ns0:is>
          <ns0:t>rand</ns0:t>
        </ns0:is>
      </ns0:c>
      <ns0:c r="E1438" t="inlineStr">
        <ns0:is>
          <ns0:t>gemini-2.5-flash-nothinking</ns0:t>
        </ns0:is>
      </ns0:c>
      <ns0:c r="F1438" t="inlineStr">
        <ns0:is>
          <ns0:t>E0432,E0433</ns0:t>
        </ns0:is>
      </ns0:c>
      <ns0:c r="G1438" t="n">
        <ns0:v>0</ns0:v>
      </ns0:c>
      <ns0:c r="H1438" t="n">
        <ns0:v>5043</ns0:v>
      </ns0:c>
      <ns0:c r="I1438" t="n">
        <ns0:v>210</ns0:v>
      </ns0:c>
      <ns0:c r="J1438" t="n">
        <ns0:v>5253</ns0:v>
      </ns0:c>
      <ns0:c r="K1438" t="n">
        <ns0:v>3</ns0:v>
      </ns0:c>
      <ns0:c r="L1438" t="n">
        <ns0:v>0</ns0:v>
      </ns0:c>
      <ns0:c r="M1438" t="n">
        <ns0:v>218167</ns0:v>
      </ns0:c>
      <ns0:c r="N1438" t="n">
        <ns0:v>3323</ns0:v>
      </ns0:c>
      <ns0:c r="O1438" t="n">
        <ns0:v>221490</ns0:v>
      </ns0:c>
      <ns0:c r="P1438" t="n">
        <ns0:v>22</ns0:v>
      </ns0:c>
      <ns0:c r="Q1438">
        <ns0:f>IF(AND(L1438=1,O1438*Calculations!$B$2&lt;=Calculations!$B$10*Calculations!$B$4),1,0)</ns0:f>
        <ns0:v>0</ns0:v>
      </ns0:c>
      <ns0:c r="R1438">
        <ns0:f>IF(AND(L1438=1,O1438*Calculations!$B$2&lt;=Calculations!$B$11*Calculations!$B$4),1,0)</ns0:f>
        <ns0:v>0</ns0:v>
      </ns0:c>
    </ns0:row>
    <ns0:row r="1439">
      <ns0:c r="A1439" t="inlineStr">
        <ns0:is>
          <ns0:t>case_1438</ns0:t>
        </ns0:is>
      </ns0:c>
      <ns0:c r="B1439" t="inlineStr">
        <ns0:is>
          <ns0:t>function_0401</ns0:t>
        </ns0:is>
      </ns0:c>
      <ns0:c r="C1439" t="inlineStr">
        <ns0:is>
          <ns0:t>run_013</ns0:t>
        </ns0:is>
      </ns0:c>
      <ns0:c r="D1439" t="inlineStr">
        <ns0:is>
          <ns0:t>rand</ns0:t>
        </ns0:is>
      </ns0:c>
      <ns0:c r="E1439" t="inlineStr">
        <ns0:is>
          <ns0:t>gemini-2.5-flash-nothinking</ns0:t>
        </ns0:is>
      </ns0:c>
      <ns0:c r="F1439" t="inlineStr">
        <ns0:is>
          <ns0:t>E0433</ns0:t>
        </ns0:is>
      </ns0:c>
      <ns0:c r="G1439" t="n">
        <ns0:v>1</ns0:v>
      </ns0:c>
      <ns0:c r="H1439" t="n">
        <ns0:v>1408</ns0:v>
      </ns0:c>
      <ns0:c r="I1439" t="n">
        <ns0:v>83</ns0:v>
      </ns0:c>
      <ns0:c r="J1439" t="n">
        <ns0:v>1491</ns0:v>
      </ns0:c>
      <ns0:c r="K1439" t="n">
        <ns0:v>1</ns0:v>
      </ns0:c>
      <ns0:c r="L1439" t="n">
        <ns0:v>1</ns0:v>
      </ns0:c>
      <ns0:c r="M1439" t="n">
        <ns0:v>51498</ns0:v>
      </ns0:c>
      <ns0:c r="N1439" t="n">
        <ns0:v>517</ns0:v>
      </ns0:c>
      <ns0:c r="O1439" t="n">
        <ns0:v>52015</ns0:v>
      </ns0:c>
      <ns0:c r="P1439" t="n">
        <ns0:v>7</ns0:v>
      </ns0:c>
      <ns0:c r="Q1439">
        <ns0:f>IF(AND(L1439=1,O1439*Calculations!$B$2&lt;=Calculations!$B$10*Calculations!$B$4),1,0)</ns0:f>
        <ns0:v>0</ns0:v>
      </ns0:c>
      <ns0:c r="R1439">
        <ns0:f>IF(AND(L1439=1,O1439*Calculations!$B$2&lt;=Calculations!$B$11*Calculations!$B$4),1,0)</ns0:f>
        <ns0:v>0</ns0:v>
      </ns0:c>
    </ns0:row>
    <ns0:row r="1440">
      <ns0:c r="A1440" t="inlineStr">
        <ns0:is>
          <ns0:t>case_1439</ns0:t>
        </ns0:is>
      </ns0:c>
      <ns0:c r="B1440" t="inlineStr">
        <ns0:is>
          <ns0:t>function_0401</ns0:t>
        </ns0:is>
      </ns0:c>
      <ns0:c r="C1440" t="inlineStr">
        <ns0:is>
          <ns0:t>run_013</ns0:t>
        </ns0:is>
      </ns0:c>
      <ns0:c r="D1440" t="inlineStr">
        <ns0:is>
          <ns0:t>rand</ns0:t>
        </ns0:is>
      </ns0:c>
      <ns0:c r="E1440" t="inlineStr">
        <ns0:is>
          <ns0:t>gemini-2.5-flash-nothinking</ns0:t>
        </ns0:is>
      </ns0:c>
      <ns0:c r="F1440" t="inlineStr">
        <ns0:is>
          <ns0:t>E0433,E0603</ns0:t>
        </ns0:is>
      </ns0:c>
      <ns0:c r="G1440" t="n">
        <ns0:v>1</ns0:v>
      </ns0:c>
      <ns0:c r="H1440" t="n">
        <ns0:v>1551</ns0:v>
      </ns0:c>
      <ns0:c r="I1440" t="n">
        <ns0:v>177</ns0:v>
      </ns0:c>
      <ns0:c r="J1440" t="n">
        <ns0:v>1728</ns0:v>
      </ns0:c>
      <ns0:c r="K1440" t="n">
        <ns0:v>2</ns0:v>
      </ns0:c>
      <ns0:c r="L1440" t="n">
        <ns0:v>1</ns0:v>
      </ns0:c>
      <ns0:c r="M1440" t="n">
        <ns0:v>149035</ns0:v>
      </ns0:c>
      <ns0:c r="N1440" t="n">
        <ns0:v>1797</ns0:v>
      </ns0:c>
      <ns0:c r="O1440" t="n">
        <ns0:v>150832</ns0:v>
      </ns0:c>
      <ns0:c r="P1440" t="n">
        <ns0:v>16</ns0:v>
      </ns0:c>
      <ns0:c r="Q1440">
        <ns0:f>IF(AND(L1440=1,O1440*Calculations!$B$2&lt;=Calculations!$B$10*Calculations!$B$4),1,0)</ns0:f>
        <ns0:v>0</ns0:v>
      </ns0:c>
      <ns0:c r="R1440">
        <ns0:f>IF(AND(L1440=1,O1440*Calculations!$B$2&lt;=Calculations!$B$11*Calculations!$B$4),1,0)</ns0:f>
        <ns0:v>0</ns0:v>
      </ns0:c>
    </ns0:row>
    <ns0:row r="1441">
      <ns0:c r="A1441" t="inlineStr">
        <ns0:is>
          <ns0:t>case_1440</ns0:t>
        </ns0:is>
      </ns0:c>
      <ns0:c r="B1441" t="inlineStr">
        <ns0:is>
          <ns0:t>function_0402</ns0:t>
        </ns0:is>
      </ns0:c>
      <ns0:c r="C1441" t="inlineStr">
        <ns0:is>
          <ns0:t>run_013</ns0:t>
        </ns0:is>
      </ns0:c>
      <ns0:c r="D1441" t="inlineStr">
        <ns0:is>
          <ns0:t>rand</ns0:t>
        </ns0:is>
      </ns0:c>
      <ns0:c r="E1441" t="inlineStr">
        <ns0:is>
          <ns0:t>gemini-2.5-flash-nothinking</ns0:t>
        </ns0:is>
      </ns0:c>
      <ns0:c r="F1441" t="inlineStr">
        <ns0:is>
          <ns0:t>E0282</ns0:t>
        </ns0:is>
      </ns0:c>
      <ns0:c r="G1441" t="n">
        <ns0:v>1</ns0:v>
      </ns0:c>
      <ns0:c r="H1441" t="n">
        <ns0:v>559</ns0:v>
      </ns0:c>
      <ns0:c r="I1441" t="n">
        <ns0:v>71</ns0:v>
      </ns0:c>
      <ns0:c r="J1441" t="n">
        <ns0:v>630</ns0:v>
      </ns0:c>
      <ns0:c r="K1441" t="n">
        <ns0:v>1</ns0:v>
      </ns0:c>
      <ns0:c r="L1441" t="n">
        <ns0:v>1</ns0:v>
      </ns0:c>
      <ns0:c r="M1441" t="n">
        <ns0:v>51574</ns0:v>
      </ns0:c>
      <ns0:c r="N1441" t="n">
        <ns0:v>724</ns0:v>
      </ns0:c>
      <ns0:c r="O1441" t="n">
        <ns0:v>52298</ns0:v>
      </ns0:c>
      <ns0:c r="P1441" t="n">
        <ns0:v>7</ns0:v>
      </ns0:c>
      <ns0:c r="Q1441">
        <ns0:f>IF(AND(L1441=1,O1441*Calculations!$B$2&lt;=Calculations!$B$10*Calculations!$B$4),1,0)</ns0:f>
        <ns0:v>0</ns0:v>
      </ns0:c>
      <ns0:c r="R1441">
        <ns0:f>IF(AND(L1441=1,O1441*Calculations!$B$2&lt;=Calculations!$B$11*Calculations!$B$4),1,0)</ns0:f>
        <ns0:v>0</ns0:v>
      </ns0:c>
    </ns0:row>
    <ns0:row r="1442">
      <ns0:c r="A1442" t="inlineStr">
        <ns0:is>
          <ns0:t>case_1441</ns0:t>
        </ns0:is>
      </ns0:c>
      <ns0:c r="B1442" t="inlineStr">
        <ns0:is>
          <ns0:t>function_0402</ns0:t>
        </ns0:is>
      </ns0:c>
      <ns0:c r="C1442" t="inlineStr">
        <ns0:is>
          <ns0:t>run_013</ns0:t>
        </ns0:is>
      </ns0:c>
      <ns0:c r="D1442" t="inlineStr">
        <ns0:is>
          <ns0:t>rand</ns0:t>
        </ns0:is>
      </ns0:c>
      <ns0:c r="E1442" t="inlineStr">
        <ns0:is>
          <ns0:t>gemini-2.5-flash-nothinking</ns0:t>
        </ns0:is>
      </ns0:c>
      <ns0:c r="F1442" t="inlineStr">
        <ns0:is>
          <ns0:t>E0433,E0603</ns0:t>
        </ns0:is>
      </ns0:c>
      <ns0:c r="G1442" t="n">
        <ns0:v>0</ns0:v>
      </ns0:c>
      <ns0:c r="H1442" t="n">
        <ns0:v>4738</ns0:v>
      </ns0:c>
      <ns0:c r="I1442" t="n">
        <ns0:v>252</ns0:v>
      </ns0:c>
      <ns0:c r="J1442" t="n">
        <ns0:v>4990</ns0:v>
      </ns0:c>
      <ns0:c r="K1442" t="n">
        <ns0:v>3</ns0:v>
      </ns0:c>
      <ns0:c r="L1442" t="n">
        <ns0:v>1</ns0:v>
      </ns0:c>
      <ns0:c r="M1442" t="n">
        <ns0:v>125182</ns0:v>
      </ns0:c>
      <ns0:c r="N1442" t="n">
        <ns0:v>1319</ns0:v>
      </ns0:c>
      <ns0:c r="O1442" t="n">
        <ns0:v>126501</ns0:v>
      </ns0:c>
      <ns0:c r="P1442" t="n">
        <ns0:v>14</ns0:v>
      </ns0:c>
      <ns0:c r="Q1442">
        <ns0:f>IF(AND(L1442=1,O1442*Calculations!$B$2&lt;=Calculations!$B$10*Calculations!$B$4),1,0)</ns0:f>
        <ns0:v>0</ns0:v>
      </ns0:c>
      <ns0:c r="R1442">
        <ns0:f>IF(AND(L1442=1,O1442*Calculations!$B$2&lt;=Calculations!$B$11*Calculations!$B$4),1,0)</ns0:f>
        <ns0:v>0</ns0:v>
      </ns0:c>
    </ns0:row>
    <ns0:row r="1443">
      <ns0:c r="A1443" t="inlineStr">
        <ns0:is>
          <ns0:t>case_1442</ns0:t>
        </ns0:is>
      </ns0:c>
      <ns0:c r="B1443" t="inlineStr">
        <ns0:is>
          <ns0:t>function_0403</ns0:t>
        </ns0:is>
      </ns0:c>
      <ns0:c r="C1443" t="inlineStr">
        <ns0:is>
          <ns0:t>run_013</ns0:t>
        </ns0:is>
      </ns0:c>
      <ns0:c r="D1443" t="inlineStr">
        <ns0:is>
          <ns0:t>rand</ns0:t>
        </ns0:is>
      </ns0:c>
      <ns0:c r="E1443" t="inlineStr">
        <ns0:is>
          <ns0:t>gemini-2.5-flash-nothinking</ns0:t>
        </ns0:is>
      </ns0:c>
      <ns0:c r="F1443" t="inlineStr">
        <ns0:is>
          <ns0:t>E0433</ns0:t>
        </ns0:is>
      </ns0:c>
      <ns0:c r="G1443" t="n">
        <ns0:v>1</ns0:v>
      </ns0:c>
      <ns0:c r="H1443" t="n">
        <ns0:v>1250</ns0:v>
      </ns0:c>
      <ns0:c r="I1443" t="n">
        <ns0:v>77</ns0:v>
      </ns0:c>
      <ns0:c r="J1443" t="n">
        <ns0:v>1327</ns0:v>
      </ns0:c>
      <ns0:c r="K1443" t="n">
        <ns0:v>1</ns0:v>
      </ns0:c>
      <ns0:c r="L1443" t="n">
        <ns0:v>1</ns0:v>
      </ns0:c>
      <ns0:c r="M1443" t="n">
        <ns0:v>36169</ns0:v>
      </ns0:c>
      <ns0:c r="N1443" t="n">
        <ns0:v>303</ns0:v>
      </ns0:c>
      <ns0:c r="O1443" t="n">
        <ns0:v>36472</ns0:v>
      </ns0:c>
      <ns0:c r="P1443" t="n">
        <ns0:v>5</ns0:v>
      </ns0:c>
      <ns0:c r="Q1443">
        <ns0:f>IF(AND(L1443=1,O1443*Calculations!$B$2&lt;=Calculations!$B$10*Calculations!$B$4),1,0)</ns0:f>
        <ns0:v>0</ns0:v>
      </ns0:c>
      <ns0:c r="R1443">
        <ns0:f>IF(AND(L1443=1,O1443*Calculations!$B$2&lt;=Calculations!$B$11*Calculations!$B$4),1,0)</ns0:f>
        <ns0:v>1</ns0:v>
      </ns0:c>
    </ns0:row>
    <ns0:row r="1444">
      <ns0:c r="A1444" t="inlineStr">
        <ns0:is>
          <ns0:t>case_1443</ns0:t>
        </ns0:is>
      </ns0:c>
      <ns0:c r="B1444" t="inlineStr">
        <ns0:is>
          <ns0:t>function_0403</ns0:t>
        </ns0:is>
      </ns0:c>
      <ns0:c r="C1444" t="inlineStr">
        <ns0:is>
          <ns0:t>run_013</ns0:t>
        </ns0:is>
      </ns0:c>
      <ns0:c r="D1444" t="inlineStr">
        <ns0:is>
          <ns0:t>rand</ns0:t>
        </ns0:is>
      </ns0:c>
      <ns0:c r="E1444" t="inlineStr">
        <ns0:is>
          <ns0:t>gemini-2.5-flash-nothinking</ns0:t>
        </ns0:is>
      </ns0:c>
      <ns0:c r="F1444" t="inlineStr">
        <ns0:is>
          <ns0:t>E0282</ns0:t>
        </ns0:is>
      </ns0:c>
      <ns0:c r="G1444" t="n">
        <ns0:v>1</ns0:v>
      </ns0:c>
      <ns0:c r="H1444" t="n">
        <ns0:v>555</ns0:v>
      </ns0:c>
      <ns0:c r="I1444" t="n">
        <ns0:v>72</ns0:v>
      </ns0:c>
      <ns0:c r="J1444" t="n">
        <ns0:v>627</ns0:v>
      </ns0:c>
      <ns0:c r="K1444" t="n">
        <ns0:v>1</ns0:v>
      </ns0:c>
      <ns0:c r="L1444" t="n">
        <ns0:v>1</ns0:v>
      </ns0:c>
      <ns0:c r="M1444" t="n">
        <ns0:v>196407</ns0:v>
      </ns0:c>
      <ns0:c r="N1444" t="n">
        <ns0:v>4147</ns0:v>
      </ns0:c>
      <ns0:c r="O1444" t="n">
        <ns0:v>200554</ns0:v>
      </ns0:c>
      <ns0:c r="P1444" t="n">
        <ns0:v>14</ns0:v>
      </ns0:c>
      <ns0:c r="Q1444">
        <ns0:f>IF(AND(L1444=1,O1444*Calculations!$B$2&lt;=Calculations!$B$10*Calculations!$B$4),1,0)</ns0:f>
        <ns0:v>0</ns0:v>
      </ns0:c>
      <ns0:c r="R1444">
        <ns0:f>IF(AND(L1444=1,O1444*Calculations!$B$2&lt;=Calculations!$B$11*Calculations!$B$4),1,0)</ns0:f>
        <ns0:v>0</ns0:v>
      </ns0:c>
    </ns0:row>
    <ns0:row r="1445">
      <ns0:c r="A1445" t="inlineStr">
        <ns0:is>
          <ns0:t>case_1444</ns0:t>
        </ns0:is>
      </ns0:c>
      <ns0:c r="B1445" t="inlineStr">
        <ns0:is>
          <ns0:t>function_0404</ns0:t>
        </ns0:is>
      </ns0:c>
      <ns0:c r="C1445" t="inlineStr">
        <ns0:is>
          <ns0:t>run_013</ns0:t>
        </ns0:is>
      </ns0:c>
      <ns0:c r="D1445" t="inlineStr">
        <ns0:is>
          <ns0:t>rand</ns0:t>
        </ns0:is>
      </ns0:c>
      <ns0:c r="E1445" t="inlineStr">
        <ns0:is>
          <ns0:t>gemini-2.5-flash-nothinking</ns0:t>
        </ns0:is>
      </ns0:c>
      <ns0:c r="F1445" t="inlineStr">
        <ns0:is>
          <ns0:t>E0433</ns0:t>
        </ns0:is>
      </ns0:c>
      <ns0:c r="G1445" t="n">
        <ns0:v>1</ns0:v>
      </ns0:c>
      <ns0:c r="H1445" t="n">
        <ns0:v>1527</ns0:v>
      </ns0:c>
      <ns0:c r="I1445" t="n">
        <ns0:v>87</ns0:v>
      </ns0:c>
      <ns0:c r="J1445" t="n">
        <ns0:v>1614</ns0:v>
      </ns0:c>
      <ns0:c r="K1445" t="n">
        <ns0:v>1</ns0:v>
      </ns0:c>
      <ns0:c r="L1445" t="n">
        <ns0:v>1</ns0:v>
      </ns0:c>
      <ns0:c r="M1445" t="n">
        <ns0:v>36877</ns0:v>
      </ns0:c>
      <ns0:c r="N1445" t="n">
        <ns0:v>403</ns0:v>
      </ns0:c>
      <ns0:c r="O1445" t="n">
        <ns0:v>37280</ns0:v>
      </ns0:c>
      <ns0:c r="P1445" t="n">
        <ns0:v>5</ns0:v>
      </ns0:c>
      <ns0:c r="Q1445">
        <ns0:f>IF(AND(L1445=1,O1445*Calculations!$B$2&lt;=Calculations!$B$10*Calculations!$B$4),1,0)</ns0:f>
        <ns0:v>0</ns0:v>
      </ns0:c>
      <ns0:c r="R1445">
        <ns0:f>IF(AND(L1445=1,O1445*Calculations!$B$2&lt;=Calculations!$B$11*Calculations!$B$4),1,0)</ns0:f>
        <ns0:v>1</ns0:v>
      </ns0:c>
    </ns0:row>
    <ns0:row r="1446">
      <ns0:c r="A1446" t="inlineStr">
        <ns0:is>
          <ns0:t>case_1445</ns0:t>
        </ns0:is>
      </ns0:c>
      <ns0:c r="B1446" t="inlineStr">
        <ns0:is>
          <ns0:t>function_0404</ns0:t>
        </ns0:is>
      </ns0:c>
      <ns0:c r="C1446" t="inlineStr">
        <ns0:is>
          <ns0:t>run_013</ns0:t>
        </ns0:is>
      </ns0:c>
      <ns0:c r="D1446" t="inlineStr">
        <ns0:is>
          <ns0:t>rand</ns0:t>
        </ns0:is>
      </ns0:c>
      <ns0:c r="E1446" t="inlineStr">
        <ns0:is>
          <ns0:t>gemini-2.5-flash-nothinking</ns0:t>
        </ns0:is>
      </ns0:c>
      <ns0:c r="F1446" t="inlineStr">
        <ns0:is>
          <ns0:t>E0308</ns0:t>
        </ns0:is>
      </ns0:c>
      <ns0:c r="G1446" t="n">
        <ns0:v>0</ns0:v>
      </ns0:c>
      <ns0:c r="H1446" t="n">
        <ns0:v>2401</ns0:v>
      </ns0:c>
      <ns0:c r="I1446" t="n">
        <ns0:v>240</ns0:v>
      </ns0:c>
      <ns0:c r="J1446" t="n">
        <ns0:v>2641</ns0:v>
      </ns0:c>
      <ns0:c r="K1446" t="n">
        <ns0:v>3</ns0:v>
      </ns0:c>
      <ns0:c r="L1446" t="n">
        <ns0:v>1</ns0:v>
      </ns0:c>
      <ns0:c r="M1446" t="n">
        <ns0:v>28031</ns0:v>
      </ns0:c>
      <ns0:c r="N1446" t="n">
        <ns0:v>694</ns0:v>
      </ns0:c>
      <ns0:c r="O1446" t="n">
        <ns0:v>28725</ns0:v>
      </ns0:c>
      <ns0:c r="P1446" t="n">
        <ns0:v>4</ns0:v>
      </ns0:c>
      <ns0:c r="Q1446">
        <ns0:f>IF(AND(L1446=1,O1446*Calculations!$B$2&lt;=Calculations!$B$10*Calculations!$B$4),1,0)</ns0:f>
        <ns0:v>0</ns0:v>
      </ns0:c>
      <ns0:c r="R1446">
        <ns0:f>IF(AND(L1446=1,O1446*Calculations!$B$2&lt;=Calculations!$B$11*Calculations!$B$4),1,0)</ns0:f>
        <ns0:v>1</ns0:v>
      </ns0:c>
    </ns0:row>
    <ns0:row r="1447">
      <ns0:c r="A1447" t="inlineStr">
        <ns0:is>
          <ns0:t>case_1446</ns0:t>
        </ns0:is>
      </ns0:c>
      <ns0:c r="B1447" t="inlineStr">
        <ns0:is>
          <ns0:t>function_0405</ns0:t>
        </ns0:is>
      </ns0:c>
      <ns0:c r="C1447" t="inlineStr">
        <ns0:is>
          <ns0:t>run_013</ns0:t>
        </ns0:is>
      </ns0:c>
      <ns0:c r="D1447" t="inlineStr">
        <ns0:is>
          <ns0:t>rand</ns0:t>
        </ns0:is>
      </ns0:c>
      <ns0:c r="E1447" t="inlineStr">
        <ns0:is>
          <ns0:t>gemini-2.5-flash-nothinking</ns0:t>
        </ns0:is>
      </ns0:c>
      <ns0:c r="F1447" t="inlineStr">
        <ns0:is>
          <ns0:t>E0433</ns0:t>
        </ns0:is>
      </ns0:c>
      <ns0:c r="G1447" t="n">
        <ns0:v>1</ns0:v>
      </ns0:c>
      <ns0:c r="H1447" t="n">
        <ns0:v>1030</ns0:v>
      </ns0:c>
      <ns0:c r="I1447" t="n">
        <ns0:v>76</ns0:v>
      </ns0:c>
      <ns0:c r="J1447" t="n">
        <ns0:v>1106</ns0:v>
      </ns0:c>
      <ns0:c r="K1447" t="n">
        <ns0:v>1</ns0:v>
      </ns0:c>
      <ns0:c r="L1447" t="n">
        <ns0:v>1</ns0:v>
      </ns0:c>
      <ns0:c r="M1447" t="n">
        <ns0:v>42516</ns0:v>
      </ns0:c>
      <ns0:c r="N1447" t="n">
        <ns0:v>561</ns0:v>
      </ns0:c>
      <ns0:c r="O1447" t="n">
        <ns0:v>43077</ns0:v>
      </ns0:c>
      <ns0:c r="P1447" t="n">
        <ns0:v>4</ns0:v>
      </ns0:c>
      <ns0:c r="Q1447">
        <ns0:f>IF(AND(L1447=1,O1447*Calculations!$B$2&lt;=Calculations!$B$10*Calculations!$B$4),1,0)</ns0:f>
        <ns0:v>0</ns0:v>
      </ns0:c>
      <ns0:c r="R1447">
        <ns0:f>IF(AND(L1447=1,O1447*Calculations!$B$2&lt;=Calculations!$B$11*Calculations!$B$4),1,0)</ns0:f>
        <ns0:v>1</ns0:v>
      </ns0:c>
    </ns0:row>
    <ns0:row r="1448">
      <ns0:c r="A1448" t="inlineStr">
        <ns0:is>
          <ns0:t>case_1447</ns0:t>
        </ns0:is>
      </ns0:c>
      <ns0:c r="B1448" t="inlineStr">
        <ns0:is>
          <ns0:t>function_0405</ns0:t>
        </ns0:is>
      </ns0:c>
      <ns0:c r="C1448" t="inlineStr">
        <ns0:is>
          <ns0:t>run_013</ns0:t>
        </ns0:is>
      </ns0:c>
      <ns0:c r="D1448" t="inlineStr">
        <ns0:is>
          <ns0:t>rand</ns0:t>
        </ns0:is>
      </ns0:c>
      <ns0:c r="E1448" t="inlineStr">
        <ns0:is>
          <ns0:t>gemini-2.5-flash-nothinking</ns0:t>
        </ns0:is>
      </ns0:c>
      <ns0:c r="F1448" t="inlineStr">
        <ns0:is>
          <ns0:t>E0282</ns0:t>
        </ns0:is>
      </ns0:c>
      <ns0:c r="G1448" t="n">
        <ns0:v>1</ns0:v>
      </ns0:c>
      <ns0:c r="H1448" t="n">
        <ns0:v>1329</ns0:v>
      </ns0:c>
      <ns0:c r="I1448" t="n">
        <ns0:v>146</ns0:v>
      </ns0:c>
      <ns0:c r="J1448" t="n">
        <ns0:v>1475</ns0:v>
      </ns0:c>
      <ns0:c r="K1448" t="n">
        <ns0:v>2</ns0:v>
      </ns0:c>
      <ns0:c r="L1448" t="n">
        <ns0:v>1</ns0:v>
      </ns0:c>
      <ns0:c r="M1448" t="n">
        <ns0:v>67501</ns0:v>
      </ns0:c>
      <ns0:c r="N1448" t="n">
        <ns0:v>904</ns0:v>
      </ns0:c>
      <ns0:c r="O1448" t="n">
        <ns0:v>68405</ns0:v>
      </ns0:c>
      <ns0:c r="P1448" t="n">
        <ns0:v>9</ns0:v>
      </ns0:c>
      <ns0:c r="Q1448">
        <ns0:f>IF(AND(L1448=1,O1448*Calculations!$B$2&lt;=Calculations!$B$10*Calculations!$B$4),1,0)</ns0:f>
        <ns0:v>0</ns0:v>
      </ns0:c>
      <ns0:c r="R1448">
        <ns0:f>IF(AND(L1448=1,O1448*Calculations!$B$2&lt;=Calculations!$B$11*Calculations!$B$4),1,0)</ns0:f>
        <ns0:v>0</ns0:v>
      </ns0:c>
    </ns0:row>
    <ns0:row r="1449">
      <ns0:c r="A1449" t="inlineStr">
        <ns0:is>
          <ns0:t>case_1448</ns0:t>
        </ns0:is>
      </ns0:c>
      <ns0:c r="B1449" t="inlineStr">
        <ns0:is>
          <ns0:t>function_0406</ns0:t>
        </ns0:is>
      </ns0:c>
      <ns0:c r="C1449" t="inlineStr">
        <ns0:is>
          <ns0:t>run_013</ns0:t>
        </ns0:is>
      </ns0:c>
      <ns0:c r="D1449" t="inlineStr">
        <ns0:is>
          <ns0:t>rand</ns0:t>
        </ns0:is>
      </ns0:c>
      <ns0:c r="E1449" t="inlineStr">
        <ns0:is>
          <ns0:t>gemini-2.5-flash-nothinking</ns0:t>
        </ns0:is>
      </ns0:c>
      <ns0:c r="F1449" t="inlineStr">
        <ns0:is>
          <ns0:t>E0433</ns0:t>
        </ns0:is>
      </ns0:c>
      <ns0:c r="G1449" t="n">
        <ns0:v>1</ns0:v>
      </ns0:c>
      <ns0:c r="H1449" t="n">
        <ns0:v>2256</ns0:v>
      </ns0:c>
      <ns0:c r="I1449" t="n">
        <ns0:v>129</ns0:v>
      </ns0:c>
      <ns0:c r="J1449" t="n">
        <ns0:v>2385</ns0:v>
      </ns0:c>
      <ns0:c r="K1449" t="n">
        <ns0:v>2</ns0:v>
      </ns0:c>
      <ns0:c r="L1449" t="n">
        <ns0:v>1</ns0:v>
      </ns0:c>
      <ns0:c r="M1449" t="n">
        <ns0:v>209242</ns0:v>
      </ns0:c>
      <ns0:c r="N1449" t="n">
        <ns0:v>1420</ns0:v>
      </ns0:c>
      <ns0:c r="O1449" t="n">
        <ns0:v>210662</ns0:v>
      </ns0:c>
      <ns0:c r="P1449" t="n">
        <ns0:v>15</ns0:v>
      </ns0:c>
      <ns0:c r="Q1449">
        <ns0:f>IF(AND(L1449=1,O1449*Calculations!$B$2&lt;=Calculations!$B$10*Calculations!$B$4),1,0)</ns0:f>
        <ns0:v>0</ns0:v>
      </ns0:c>
      <ns0:c r="R1449">
        <ns0:f>IF(AND(L1449=1,O1449*Calculations!$B$2&lt;=Calculations!$B$11*Calculations!$B$4),1,0)</ns0:f>
        <ns0:v>0</ns0:v>
      </ns0:c>
    </ns0:row>
    <ns0:row r="1450">
      <ns0:c r="A1450" t="inlineStr">
        <ns0:is>
          <ns0:t>case_1449</ns0:t>
        </ns0:is>
      </ns0:c>
      <ns0:c r="B1450" t="inlineStr">
        <ns0:is>
          <ns0:t>function_0407</ns0:t>
        </ns0:is>
      </ns0:c>
      <ns0:c r="C1450" t="inlineStr">
        <ns0:is>
          <ns0:t>run_013</ns0:t>
        </ns0:is>
      </ns0:c>
      <ns0:c r="D1450" t="inlineStr">
        <ns0:is>
          <ns0:t>rand</ns0:t>
        </ns0:is>
      </ns0:c>
      <ns0:c r="E1450" t="inlineStr">
        <ns0:is>
          <ns0:t>gemini-2.5-flash-nothinking</ns0:t>
        </ns0:is>
      </ns0:c>
      <ns0:c r="F1450" t="inlineStr">
        <ns0:is>
          <ns0:t>E0308</ns0:t>
        </ns0:is>
      </ns0:c>
      <ns0:c r="G1450" t="n">
        <ns0:v>1</ns0:v>
      </ns0:c>
      <ns0:c r="H1450" t="n">
        <ns0:v>659</ns0:v>
      </ns0:c>
      <ns0:c r="I1450" t="n">
        <ns0:v>73</ns0:v>
      </ns0:c>
      <ns0:c r="J1450" t="n">
        <ns0:v>732</ns0:v>
      </ns0:c>
      <ns0:c r="K1450" t="n">
        <ns0:v>1</ns0:v>
      </ns0:c>
      <ns0:c r="L1450" t="n">
        <ns0:v>1</ns0:v>
      </ns0:c>
      <ns0:c r="M1450" t="n">
        <ns0:v>20616</ns0:v>
      </ns0:c>
      <ns0:c r="N1450" t="n">
        <ns0:v>193</ns0:v>
      </ns0:c>
      <ns0:c r="O1450" t="n">
        <ns0:v>20809</ns0:v>
      </ns0:c>
      <ns0:c r="P1450" t="n">
        <ns0:v>3</ns0:v>
      </ns0:c>
      <ns0:c r="Q1450">
        <ns0:f>IF(AND(L1450=1,O1450*Calculations!$B$2&lt;=Calculations!$B$10*Calculations!$B$4),1,0)</ns0:f>
        <ns0:v>1</ns0:v>
      </ns0:c>
      <ns0:c r="R1450">
        <ns0:f>IF(AND(L1450=1,O1450*Calculations!$B$2&lt;=Calculations!$B$11*Calculations!$B$4),1,0)</ns0:f>
        <ns0:v>1</ns0:v>
      </ns0:c>
    </ns0:row>
    <ns0:row r="1451">
      <ns0:c r="A1451" t="inlineStr">
        <ns0:is>
          <ns0:t>case_1450</ns0:t>
        </ns0:is>
      </ns0:c>
      <ns0:c r="B1451" t="inlineStr">
        <ns0:is>
          <ns0:t>function_0407</ns0:t>
        </ns0:is>
      </ns0:c>
      <ns0:c r="C1451" t="inlineStr">
        <ns0:is>
          <ns0:t>run_013</ns0:t>
        </ns0:is>
      </ns0:c>
      <ns0:c r="D1451" t="inlineStr">
        <ns0:is>
          <ns0:t>rand</ns0:t>
        </ns0:is>
      </ns0:c>
      <ns0:c r="E1451" t="inlineStr">
        <ns0:is>
          <ns0:t>gemini-2.5-flash-nothinking</ns0:t>
        </ns0:is>
      </ns0:c>
      <ns0:c r="F1451" t="inlineStr">
        <ns0:is>
          <ns0:t>E0282</ns0:t>
        </ns0:is>
      </ns0:c>
      <ns0:c r="G1451" t="n">
        <ns0:v>1</ns0:v>
      </ns0:c>
      <ns0:c r="H1451" t="n">
        <ns0:v>544</ns0:v>
      </ns0:c>
      <ns0:c r="I1451" t="n">
        <ns0:v>66</ns0:v>
      </ns0:c>
      <ns0:c r="J1451" t="n">
        <ns0:v>610</ns0:v>
      </ns0:c>
      <ns0:c r="K1451" t="n">
        <ns0:v>1</ns0:v>
      </ns0:c>
      <ns0:c r="L1451" t="n">
        <ns0:v>1</ns0:v>
      </ns0:c>
      <ns0:c r="M1451" t="n">
        <ns0:v>20378</ns0:v>
      </ns0:c>
      <ns0:c r="N1451" t="n">
        <ns0:v>312</ns0:v>
      </ns0:c>
      <ns0:c r="O1451" t="n">
        <ns0:v>20690</ns0:v>
      </ns0:c>
      <ns0:c r="P1451" t="n">
        <ns0:v>3</ns0:v>
      </ns0:c>
      <ns0:c r="Q1451">
        <ns0:f>IF(AND(L1451=1,O1451*Calculations!$B$2&lt;=Calculations!$B$10*Calculations!$B$4),1,0)</ns0:f>
        <ns0:v>1</ns0:v>
      </ns0:c>
      <ns0:c r="R1451">
        <ns0:f>IF(AND(L1451=1,O1451*Calculations!$B$2&lt;=Calculations!$B$11*Calculations!$B$4),1,0)</ns0:f>
        <ns0:v>1</ns0:v>
      </ns0:c>
    </ns0:row>
    <ns0:row r="1452">
      <ns0:c r="A1452" t="inlineStr">
        <ns0:is>
          <ns0:t>case_1451</ns0:t>
        </ns0:is>
      </ns0:c>
      <ns0:c r="B1452" t="inlineStr">
        <ns0:is>
          <ns0:t>function_0408</ns0:t>
        </ns0:is>
      </ns0:c>
      <ns0:c r="C1452" t="inlineStr">
        <ns0:is>
          <ns0:t>run_013</ns0:t>
        </ns0:is>
      </ns0:c>
      <ns0:c r="D1452" t="inlineStr">
        <ns0:is>
          <ns0:t>rand</ns0:t>
        </ns0:is>
      </ns0:c>
      <ns0:c r="E1452" t="inlineStr">
        <ns0:is>
          <ns0:t>gemini-2.5-flash-nothinking</ns0:t>
        </ns0:is>
      </ns0:c>
      <ns0:c r="F1452" t="inlineStr">
        <ns0:is>
          <ns0:t>E0433</ns0:t>
        </ns0:is>
      </ns0:c>
      <ns0:c r="G1452" t="n">
        <ns0:v>1</ns0:v>
      </ns0:c>
      <ns0:c r="H1452" t="n">
        <ns0:v>1286</ns0:v>
      </ns0:c>
      <ns0:c r="I1452" t="n">
        <ns0:v>81</ns0:v>
      </ns0:c>
      <ns0:c r="J1452" t="n">
        <ns0:v>1367</ns0:v>
      </ns0:c>
      <ns0:c r="K1452" t="n">
        <ns0:v>1</ns0:v>
      </ns0:c>
      <ns0:c r="L1452" t="n">
        <ns0:v>1</ns0:v>
      </ns0:c>
      <ns0:c r="M1452" t="n">
        <ns0:v>65850</ns0:v>
      </ns0:c>
      <ns0:c r="N1452" t="n">
        <ns0:v>415</ns0:v>
      </ns0:c>
      <ns0:c r="O1452" t="n">
        <ns0:v>66265</ns0:v>
      </ns0:c>
      <ns0:c r="P1452" t="n">
        <ns0:v>9</ns0:v>
      </ns0:c>
      <ns0:c r="Q1452">
        <ns0:f>IF(AND(L1452=1,O1452*Calculations!$B$2&lt;=Calculations!$B$10*Calculations!$B$4),1,0)</ns0:f>
        <ns0:v>0</ns0:v>
      </ns0:c>
      <ns0:c r="R1452">
        <ns0:f>IF(AND(L1452=1,O1452*Calculations!$B$2&lt;=Calculations!$B$11*Calculations!$B$4),1,0)</ns0:f>
        <ns0:v>0</ns0:v>
      </ns0:c>
    </ns0:row>
    <ns0:row r="1453">
      <ns0:c r="A1453" t="inlineStr">
        <ns0:is>
          <ns0:t>case_1452</ns0:t>
        </ns0:is>
      </ns0:c>
      <ns0:c r="B1453" t="inlineStr">
        <ns0:is>
          <ns0:t>function_0408</ns0:t>
        </ns0:is>
      </ns0:c>
      <ns0:c r="C1453" t="inlineStr">
        <ns0:is>
          <ns0:t>run_013</ns0:t>
        </ns0:is>
      </ns0:c>
      <ns0:c r="D1453" t="inlineStr">
        <ns0:is>
          <ns0:t>rand</ns0:t>
        </ns0:is>
      </ns0:c>
      <ns0:c r="E1453" t="inlineStr">
        <ns0:is>
          <ns0:t>gemini-2.5-flash-nothinking</ns0:t>
        </ns0:is>
      </ns0:c>
      <ns0:c r="F1453" t="inlineStr">
        <ns0:is>
          <ns0:t>E0433</ns0:t>
        </ns0:is>
      </ns0:c>
      <ns0:c r="G1453" t="n">
        <ns0:v>0</ns0:v>
      </ns0:c>
      <ns0:c r="H1453" t="n">
        <ns0:v>4439</ns0:v>
      </ns0:c>
      <ns0:c r="I1453" t="n">
        <ns0:v>240</ns0:v>
      </ns0:c>
      <ns0:c r="J1453" t="n">
        <ns0:v>4679</ns0:v>
      </ns0:c>
      <ns0:c r="K1453" t="n">
        <ns0:v>3</ns0:v>
      </ns0:c>
      <ns0:c r="L1453" t="n">
        <ns0:v>1</ns0:v>
      </ns0:c>
      <ns0:c r="M1453" t="n">
        <ns0:v>87579</ns0:v>
      </ns0:c>
      <ns0:c r="N1453" t="n">
        <ns0:v>679</ns0:v>
      </ns0:c>
      <ns0:c r="O1453" t="n">
        <ns0:v>88258</ns0:v>
      </ns0:c>
      <ns0:c r="P1453" t="n">
        <ns0:v>11</ns0:v>
      </ns0:c>
      <ns0:c r="Q1453">
        <ns0:f>IF(AND(L1453=1,O1453*Calculations!$B$2&lt;=Calculations!$B$10*Calculations!$B$4),1,0)</ns0:f>
        <ns0:v>0</ns0:v>
      </ns0:c>
      <ns0:c r="R1453">
        <ns0:f>IF(AND(L1453=1,O1453*Calculations!$B$2&lt;=Calculations!$B$11*Calculations!$B$4),1,0)</ns0:f>
        <ns0:v>0</ns0:v>
      </ns0:c>
    </ns0:row>
    <ns0:row r="1454">
      <ns0:c r="A1454" t="inlineStr">
        <ns0:is>
          <ns0:t>case_1453</ns0:t>
        </ns0:is>
      </ns0:c>
      <ns0:c r="B1454" t="inlineStr">
        <ns0:is>
          <ns0:t>function_0409</ns0:t>
        </ns0:is>
      </ns0:c>
      <ns0:c r="C1454" t="inlineStr">
        <ns0:is>
          <ns0:t>run_013</ns0:t>
        </ns0:is>
      </ns0:c>
      <ns0:c r="D1454" t="inlineStr">
        <ns0:is>
          <ns0:t>rand</ns0:t>
        </ns0:is>
      </ns0:c>
      <ns0:c r="E1454" t="inlineStr">
        <ns0:is>
          <ns0:t>gemini-2.5-flash-nothinking</ns0:t>
        </ns0:is>
      </ns0:c>
      <ns0:c r="F1454" t="inlineStr">
        <ns0:is>
          <ns0:t>E0433</ns0:t>
        </ns0:is>
      </ns0:c>
      <ns0:c r="G1454" t="n">
        <ns0:v>1</ns0:v>
      </ns0:c>
      <ns0:c r="H1454" t="n">
        <ns0:v>0</ns0:v>
      </ns0:c>
      <ns0:c r="I1454" t="n">
        <ns0:v>0</ns0:v>
      </ns0:c>
      <ns0:c r="J1454" t="n">
        <ns0:v>0</ns0:v>
      </ns0:c>
      <ns0:c r="K1454" t="n">
        <ns0:v>0</ns0:v>
      </ns0:c>
      <ns0:c r="L1454" t="n">
        <ns0:v>1</ns0:v>
      </ns0:c>
      <ns0:c r="M1454" t="n">
        <ns0:v>21130</ns0:v>
      </ns0:c>
      <ns0:c r="N1454" t="n">
        <ns0:v>164</ns0:v>
      </ns0:c>
      <ns0:c r="O1454" t="n">
        <ns0:v>21294</ns0:v>
      </ns0:c>
      <ns0:c r="P1454" t="n">
        <ns0:v>3</ns0:v>
      </ns0:c>
      <ns0:c r="Q1454">
        <ns0:f>IF(AND(L1454=1,O1454*Calculations!$B$2&lt;=Calculations!$B$10*Calculations!$B$4),1,0)</ns0:f>
        <ns0:v>1</ns0:v>
      </ns0:c>
      <ns0:c r="R1454">
        <ns0:f>IF(AND(L1454=1,O1454*Calculations!$B$2&lt;=Calculations!$B$11*Calculations!$B$4),1,0)</ns0:f>
        <ns0:v>1</ns0:v>
      </ns0:c>
    </ns0:row>
    <ns0:row r="1455">
      <ns0:c r="A1455" t="inlineStr">
        <ns0:is>
          <ns0:t>case_1454</ns0:t>
        </ns0:is>
      </ns0:c>
      <ns0:c r="B1455" t="inlineStr">
        <ns0:is>
          <ns0:t>function_0409</ns0:t>
        </ns0:is>
      </ns0:c>
      <ns0:c r="C1455" t="inlineStr">
        <ns0:is>
          <ns0:t>run_013</ns0:t>
        </ns0:is>
      </ns0:c>
      <ns0:c r="D1455" t="inlineStr">
        <ns0:is>
          <ns0:t>rand</ns0:t>
        </ns0:is>
      </ns0:c>
      <ns0:c r="E1455" t="inlineStr">
        <ns0:is>
          <ns0:t>gemini-2.5-flash-nothinking</ns0:t>
        </ns0:is>
      </ns0:c>
      <ns0:c r="F1455" t="inlineStr">
        <ns0:is>
          <ns0:t>E0308</ns0:t>
        </ns0:is>
      </ns0:c>
      <ns0:c r="G1455" t="n">
        <ns0:v>1</ns0:v>
      </ns0:c>
      <ns0:c r="H1455" t="n">
        <ns0:v>1304</ns0:v>
      </ns0:c>
      <ns0:c r="I1455" t="n">
        <ns0:v>128</ns0:v>
      </ns0:c>
      <ns0:c r="J1455" t="n">
        <ns0:v>1432</ns0:v>
      </ns0:c>
      <ns0:c r="K1455" t="n">
        <ns0:v>2</ns0:v>
      </ns0:c>
      <ns0:c r="L1455" t="n">
        <ns0:v>1</ns0:v>
      </ns0:c>
      <ns0:c r="M1455" t="n">
        <ns0:v>83944</ns0:v>
      </ns0:c>
      <ns0:c r="N1455" t="n">
        <ns0:v>815</ns0:v>
      </ns0:c>
      <ns0:c r="O1455" t="n">
        <ns0:v>84759</ns0:v>
      </ns0:c>
      <ns0:c r="P1455" t="n">
        <ns0:v>11</ns0:v>
      </ns0:c>
      <ns0:c r="Q1455">
        <ns0:f>IF(AND(L1455=1,O1455*Calculations!$B$2&lt;=Calculations!$B$10*Calculations!$B$4),1,0)</ns0:f>
        <ns0:v>0</ns0:v>
      </ns0:c>
      <ns0:c r="R1455">
        <ns0:f>IF(AND(L1455=1,O1455*Calculations!$B$2&lt;=Calculations!$B$11*Calculations!$B$4),1,0)</ns0:f>
        <ns0:v>0</ns0:v>
      </ns0:c>
    </ns0:row>
    <ns0:row r="1456">
      <ns0:c r="A1456" t="inlineStr">
        <ns0:is>
          <ns0:t>case_1455</ns0:t>
        </ns0:is>
      </ns0:c>
      <ns0:c r="B1456" t="inlineStr">
        <ns0:is>
          <ns0:t>function_0410</ns0:t>
        </ns0:is>
      </ns0:c>
      <ns0:c r="C1456" t="inlineStr">
        <ns0:is>
          <ns0:t>run_013</ns0:t>
        </ns0:is>
      </ns0:c>
      <ns0:c r="D1456" t="inlineStr">
        <ns0:is>
          <ns0:t>rand</ns0:t>
        </ns0:is>
      </ns0:c>
      <ns0:c r="E1456" t="inlineStr">
        <ns0:is>
          <ns0:t>gemini-2.5-flash-nothinking</ns0:t>
        </ns0:is>
      </ns0:c>
      <ns0:c r="F1456" t="inlineStr">
        <ns0:is>
          <ns0:t>E0282</ns0:t>
        </ns0:is>
      </ns0:c>
      <ns0:c r="G1456" t="n">
        <ns0:v>1</ns0:v>
      </ns0:c>
      <ns0:c r="H1456" t="n">
        <ns0:v>572</ns0:v>
      </ns0:c>
      <ns0:c r="I1456" t="n">
        <ns0:v>100</ns0:v>
      </ns0:c>
      <ns0:c r="J1456" t="n">
        <ns0:v>672</ns0:v>
      </ns0:c>
      <ns0:c r="K1456" t="n">
        <ns0:v>1</ns0:v>
      </ns0:c>
      <ns0:c r="L1456" t="n">
        <ns0:v>1</ns0:v>
      </ns0:c>
      <ns0:c r="M1456" t="n">
        <ns0:v>29888</ns0:v>
      </ns0:c>
      <ns0:c r="N1456" t="n">
        <ns0:v>357</ns0:v>
      </ns0:c>
      <ns0:c r="O1456" t="n">
        <ns0:v>30245</ns0:v>
      </ns0:c>
      <ns0:c r="P1456" t="n">
        <ns0:v>4</ns0:v>
      </ns0:c>
      <ns0:c r="Q1456">
        <ns0:f>IF(AND(L1456=1,O1456*Calculations!$B$2&lt;=Calculations!$B$10*Calculations!$B$4),1,0)</ns0:f>
        <ns0:v>0</ns0:v>
      </ns0:c>
      <ns0:c r="R1456">
        <ns0:f>IF(AND(L1456=1,O1456*Calculations!$B$2&lt;=Calculations!$B$11*Calculations!$B$4),1,0)</ns0:f>
        <ns0:v>1</ns0:v>
      </ns0:c>
    </ns0:row>
    <ns0:row r="1457">
      <ns0:c r="A1457" t="inlineStr">
        <ns0:is>
          <ns0:t>case_1456</ns0:t>
        </ns0:is>
      </ns0:c>
      <ns0:c r="B1457" t="inlineStr">
        <ns0:is>
          <ns0:t>function_0410</ns0:t>
        </ns0:is>
      </ns0:c>
      <ns0:c r="C1457" t="inlineStr">
        <ns0:is>
          <ns0:t>run_013</ns0:t>
        </ns0:is>
      </ns0:c>
      <ns0:c r="D1457" t="inlineStr">
        <ns0:is>
          <ns0:t>rand</ns0:t>
        </ns0:is>
      </ns0:c>
      <ns0:c r="E1457" t="inlineStr">
        <ns0:is>
          <ns0:t>gemini-2.5-flash-nothinking</ns0:t>
        </ns0:is>
      </ns0:c>
      <ns0:c r="F1457" t="inlineStr">
        <ns0:is>
          <ns0:t>E0433</ns0:t>
        </ns0:is>
      </ns0:c>
      <ns0:c r="G1457" t="n">
        <ns0:v>0</ns0:v>
      </ns0:c>
      <ns0:c r="H1457" t="n">
        <ns0:v>3693</ns0:v>
      </ns0:c>
      <ns0:c r="I1457" t="n">
        <ns0:v>201</ns0:v>
      </ns0:c>
      <ns0:c r="J1457" t="n">
        <ns0:v>3894</ns0:v>
      </ns0:c>
      <ns0:c r="K1457" t="n">
        <ns0:v>3</ns0:v>
      </ns0:c>
      <ns0:c r="L1457" t="n">
        <ns0:v>0</ns0:v>
      </ns0:c>
      <ns0:c r="M1457" t="n">
        <ns0:v>80349</ns0:v>
      </ns0:c>
      <ns0:c r="N1457" t="n">
        <ns0:v>931</ns0:v>
      </ns0:c>
      <ns0:c r="O1457" t="n">
        <ns0:v>81280</ns0:v>
      </ns0:c>
      <ns0:c r="P1457" t="n">
        <ns0:v>7</ns0:v>
      </ns0:c>
      <ns0:c r="Q1457">
        <ns0:f>IF(AND(L1457=1,O1457*Calculations!$B$2&lt;=Calculations!$B$10*Calculations!$B$4),1,0)</ns0:f>
        <ns0:v>0</ns0:v>
      </ns0:c>
      <ns0:c r="R1457">
        <ns0:f>IF(AND(L1457=1,O1457*Calculations!$B$2&lt;=Calculations!$B$11*Calculations!$B$4),1,0)</ns0:f>
        <ns0:v>0</ns0:v>
      </ns0:c>
    </ns0:row>
    <ns0:row r="1458">
      <ns0:c r="A1458" t="inlineStr">
        <ns0:is>
          <ns0:t>case_1457</ns0:t>
        </ns0:is>
      </ns0:c>
      <ns0:c r="B1458" t="inlineStr">
        <ns0:is>
          <ns0:t>function_0411</ns0:t>
        </ns0:is>
      </ns0:c>
      <ns0:c r="C1458" t="inlineStr">
        <ns0:is>
          <ns0:t>run_013</ns0:t>
        </ns0:is>
      </ns0:c>
      <ns0:c r="D1458" t="inlineStr">
        <ns0:is>
          <ns0:t>rand</ns0:t>
        </ns0:is>
      </ns0:c>
      <ns0:c r="E1458" t="inlineStr">
        <ns0:is>
          <ns0:t>gemini-2.5-flash-nothinking</ns0:t>
        </ns0:is>
      </ns0:c>
      <ns0:c r="F1458" t="inlineStr">
        <ns0:is>
          <ns0:t>E0433</ns0:t>
        </ns0:is>
      </ns0:c>
      <ns0:c r="G1458" t="n">
        <ns0:v>0</ns0:v>
      </ns0:c>
      <ns0:c r="H1458" t="n">
        <ns0:v>3449</ns0:v>
      </ns0:c>
      <ns0:c r="I1458" t="n">
        <ns0:v>195</ns0:v>
      </ns0:c>
      <ns0:c r="J1458" t="n">
        <ns0:v>3644</ns0:v>
      </ns0:c>
      <ns0:c r="K1458" t="n">
        <ns0:v>3</ns0:v>
      </ns0:c>
      <ns0:c r="L1458" t="n">
        <ns0:v>0</ns0:v>
      </ns0:c>
      <ns0:c r="M1458" t="n">
        <ns0:v>195911</ns0:v>
      </ns0:c>
      <ns0:c r="N1458" t="n">
        <ns0:v>2380</ns0:v>
      </ns0:c>
      <ns0:c r="O1458" t="n">
        <ns0:v>198291</ns0:v>
      </ns0:c>
      <ns0:c r="P1458" t="n">
        <ns0:v>20</ns0:v>
      </ns0:c>
      <ns0:c r="Q1458">
        <ns0:f>IF(AND(L1458=1,O1458*Calculations!$B$2&lt;=Calculations!$B$10*Calculations!$B$4),1,0)</ns0:f>
        <ns0:v>0</ns0:v>
      </ns0:c>
      <ns0:c r="R1458">
        <ns0:f>IF(AND(L1458=1,O1458*Calculations!$B$2&lt;=Calculations!$B$11*Calculations!$B$4),1,0)</ns0:f>
        <ns0:v>0</ns0:v>
      </ns0:c>
    </ns0:row>
    <ns0:row r="1459">
      <ns0:c r="A1459" t="inlineStr">
        <ns0:is>
          <ns0:t>case_1458</ns0:t>
        </ns0:is>
      </ns0:c>
      <ns0:c r="B1459" t="inlineStr">
        <ns0:is>
          <ns0:t>function_0411</ns0:t>
        </ns0:is>
      </ns0:c>
      <ns0:c r="C1459" t="inlineStr">
        <ns0:is>
          <ns0:t>run_013</ns0:t>
        </ns0:is>
      </ns0:c>
      <ns0:c r="D1459" t="inlineStr">
        <ns0:is>
          <ns0:t>rand</ns0:t>
        </ns0:is>
      </ns0:c>
      <ns0:c r="E1459" t="inlineStr">
        <ns0:is>
          <ns0:t>gemini-2.5-flash-nothinking</ns0:t>
        </ns0:is>
      </ns0:c>
      <ns0:c r="F1459" t="inlineStr">
        <ns0:is>
          <ns0:t>E0282</ns0:t>
        </ns0:is>
      </ns0:c>
      <ns0:c r="G1459" t="n">
        <ns0:v>0</ns0:v>
      </ns0:c>
      <ns0:c r="H1459" t="n">
        <ns0:v>2201</ns0:v>
      </ns0:c>
      <ns0:c r="I1459" t="n">
        <ns0:v>358</ns0:v>
      </ns0:c>
      <ns0:c r="J1459" t="n">
        <ns0:v>2559</ns0:v>
      </ns0:c>
      <ns0:c r="K1459" t="n">
        <ns0:v>3</ns0:v>
      </ns0:c>
      <ns0:c r="L1459" t="n">
        <ns0:v>1</ns0:v>
      </ns0:c>
      <ns0:c r="M1459" t="n">
        <ns0:v>61863</ns0:v>
      </ns0:c>
      <ns0:c r="N1459" t="n">
        <ns0:v>1353</ns0:v>
      </ns0:c>
      <ns0:c r="O1459" t="n">
        <ns0:v>63216</ns0:v>
      </ns0:c>
      <ns0:c r="P1459" t="n">
        <ns0:v>6</ns0:v>
      </ns0:c>
      <ns0:c r="Q1459">
        <ns0:f>IF(AND(L1459=1,O1459*Calculations!$B$2&lt;=Calculations!$B$10*Calculations!$B$4),1,0)</ns0:f>
        <ns0:v>0</ns0:v>
      </ns0:c>
      <ns0:c r="R1459">
        <ns0:f>IF(AND(L1459=1,O1459*Calculations!$B$2&lt;=Calculations!$B$11*Calculations!$B$4),1,0)</ns0:f>
        <ns0:v>0</ns0:v>
      </ns0:c>
    </ns0:row>
    <ns0:row r="1460">
      <ns0:c r="A1460" t="inlineStr">
        <ns0:is>
          <ns0:t>case_1459</ns0:t>
        </ns0:is>
      </ns0:c>
      <ns0:c r="B1460" t="inlineStr">
        <ns0:is>
          <ns0:t>function_0412</ns0:t>
        </ns0:is>
      </ns0:c>
      <ns0:c r="C1460" t="inlineStr">
        <ns0:is>
          <ns0:t>run_013</ns0:t>
        </ns0:is>
      </ns0:c>
      <ns0:c r="D1460" t="inlineStr">
        <ns0:is>
          <ns0:t>rand</ns0:t>
        </ns0:is>
      </ns0:c>
      <ns0:c r="E1460" t="inlineStr">
        <ns0:is>
          <ns0:t>gemini-2.5-flash-nothinking</ns0:t>
        </ns0:is>
      </ns0:c>
      <ns0:c r="F1460" t="inlineStr">
        <ns0:is>
          <ns0:t>E0433</ns0:t>
        </ns0:is>
      </ns0:c>
      <ns0:c r="G1460" t="n">
        <ns0:v>0</ns0:v>
      </ns0:c>
      <ns0:c r="H1460" t="n">
        <ns0:v>5290</ns0:v>
      </ns0:c>
      <ns0:c r="I1460" t="n">
        <ns0:v>270</ns0:v>
      </ns0:c>
      <ns0:c r="J1460" t="n">
        <ns0:v>5560</ns0:v>
      </ns0:c>
      <ns0:c r="K1460" t="n">
        <ns0:v>3</ns0:v>
      </ns0:c>
      <ns0:c r="L1460" t="n">
        <ns0:v>1</ns0:v>
      </ns0:c>
      <ns0:c r="M1460" t="n">
        <ns0:v>54236</ns0:v>
      </ns0:c>
      <ns0:c r="N1460" t="n">
        <ns0:v>307</ns0:v>
      </ns0:c>
      <ns0:c r="O1460" t="n">
        <ns0:v>54543</ns0:v>
      </ns0:c>
      <ns0:c r="P1460" t="n">
        <ns0:v>7</ns0:v>
      </ns0:c>
      <ns0:c r="Q1460">
        <ns0:f>IF(AND(L1460=1,O1460*Calculations!$B$2&lt;=Calculations!$B$10*Calculations!$B$4),1,0)</ns0:f>
        <ns0:v>0</ns0:v>
      </ns0:c>
      <ns0:c r="R1460">
        <ns0:f>IF(AND(L1460=1,O1460*Calculations!$B$2&lt;=Calculations!$B$11*Calculations!$B$4),1,0)</ns0:f>
        <ns0:v>0</ns0:v>
      </ns0:c>
    </ns0:row>
    <ns0:row r="1461">
      <ns0:c r="A1461" t="inlineStr">
        <ns0:is>
          <ns0:t>case_1460</ns0:t>
        </ns0:is>
      </ns0:c>
      <ns0:c r="B1461" t="inlineStr">
        <ns0:is>
          <ns0:t>function_0412</ns0:t>
        </ns0:is>
      </ns0:c>
      <ns0:c r="C1461" t="inlineStr">
        <ns0:is>
          <ns0:t>run_013</ns0:t>
        </ns0:is>
      </ns0:c>
      <ns0:c r="D1461" t="inlineStr">
        <ns0:is>
          <ns0:t>rand</ns0:t>
        </ns0:is>
      </ns0:c>
      <ns0:c r="E1461" t="inlineStr">
        <ns0:is>
          <ns0:t>gemini-2.5-flash-nothinking</ns0:t>
        </ns0:is>
      </ns0:c>
      <ns0:c r="F1461" t="inlineStr">
        <ns0:is>
          <ns0:t>E0433</ns0:t>
        </ns0:is>
      </ns0:c>
      <ns0:c r="G1461" t="n">
        <ns0:v>1</ns0:v>
      </ns0:c>
      <ns0:c r="H1461" t="n">
        <ns0:v>2298</ns0:v>
      </ns0:c>
      <ns0:c r="I1461" t="n">
        <ns0:v>145</ns0:v>
      </ns0:c>
      <ns0:c r="J1461" t="n">
        <ns0:v>2443</ns0:v>
      </ns0:c>
      <ns0:c r="K1461" t="n">
        <ns0:v>2</ns0:v>
      </ns0:c>
      <ns0:c r="L1461" t="n">
        <ns0:v>1</ns0:v>
      </ns0:c>
      <ns0:c r="M1461" t="n">
        <ns0:v>155790</ns0:v>
      </ns0:c>
      <ns0:c r="N1461" t="n">
        <ns0:v>1615</ns0:v>
      </ns0:c>
      <ns0:c r="O1461" t="n">
        <ns0:v>157405</ns0:v>
      </ns0:c>
      <ns0:c r="P1461" t="n">
        <ns0:v>14</ns0:v>
      </ns0:c>
      <ns0:c r="Q1461">
        <ns0:f>IF(AND(L1461=1,O1461*Calculations!$B$2&lt;=Calculations!$B$10*Calculations!$B$4),1,0)</ns0:f>
        <ns0:v>0</ns0:v>
      </ns0:c>
      <ns0:c r="R1461">
        <ns0:f>IF(AND(L1461=1,O1461*Calculations!$B$2&lt;=Calculations!$B$11*Calculations!$B$4),1,0)</ns0:f>
        <ns0:v>0</ns0:v>
      </ns0:c>
    </ns0:row>
    <ns0:row r="1462">
      <ns0:c r="A1462" t="inlineStr">
        <ns0:is>
          <ns0:t>case_1461</ns0:t>
        </ns0:is>
      </ns0:c>
      <ns0:c r="B1462" t="inlineStr">
        <ns0:is>
          <ns0:t>function_0413</ns0:t>
        </ns0:is>
      </ns0:c>
      <ns0:c r="C1462" t="inlineStr">
        <ns0:is>
          <ns0:t>run_013</ns0:t>
        </ns0:is>
      </ns0:c>
      <ns0:c r="D1462" t="inlineStr">
        <ns0:is>
          <ns0:t>rand</ns0:t>
        </ns0:is>
      </ns0:c>
      <ns0:c r="E1462" t="inlineStr">
        <ns0:is>
          <ns0:t>gemini-2.5-flash-nothinking</ns0:t>
        </ns0:is>
      </ns0:c>
      <ns0:c r="F1462" t="inlineStr">
        <ns0:is>
          <ns0:t>E0308</ns0:t>
        </ns0:is>
      </ns0:c>
      <ns0:c r="G1462" t="n">
        <ns0:v>0</ns0:v>
      </ns0:c>
      <ns0:c r="H1462" t="n">
        <ns0:v>2407</ns0:v>
      </ns0:c>
      <ns0:c r="I1462" t="n">
        <ns0:v>213</ns0:v>
      </ns0:c>
      <ns0:c r="J1462" t="n">
        <ns0:v>2620</ns0:v>
      </ns0:c>
      <ns0:c r="K1462" t="n">
        <ns0:v>3</ns0:v>
      </ns0:c>
      <ns0:c r="L1462" t="n">
        <ns0:v>1</ns0:v>
      </ns0:c>
      <ns0:c r="M1462" t="n">
        <ns0:v>35372</ns0:v>
      </ns0:c>
      <ns0:c r="N1462" t="n">
        <ns0:v>336</ns0:v>
      </ns0:c>
      <ns0:c r="O1462" t="n">
        <ns0:v>35708</ns0:v>
      </ns0:c>
      <ns0:c r="P1462" t="n">
        <ns0:v>5</ns0:v>
      </ns0:c>
      <ns0:c r="Q1462">
        <ns0:f>IF(AND(L1462=1,O1462*Calculations!$B$2&lt;=Calculations!$B$10*Calculations!$B$4),1,0)</ns0:f>
        <ns0:v>0</ns0:v>
      </ns0:c>
      <ns0:c r="R1462">
        <ns0:f>IF(AND(L1462=1,O1462*Calculations!$B$2&lt;=Calculations!$B$11*Calculations!$B$4),1,0)</ns0:f>
        <ns0:v>1</ns0:v>
      </ns0:c>
    </ns0:row>
    <ns0:row r="1463">
      <ns0:c r="A1463" t="inlineStr">
        <ns0:is>
          <ns0:t>case_1462</ns0:t>
        </ns0:is>
      </ns0:c>
      <ns0:c r="B1463" t="inlineStr">
        <ns0:is>
          <ns0:t>function_0413</ns0:t>
        </ns0:is>
      </ns0:c>
      <ns0:c r="C1463" t="inlineStr">
        <ns0:is>
          <ns0:t>run_013</ns0:t>
        </ns0:is>
      </ns0:c>
      <ns0:c r="D1463" t="inlineStr">
        <ns0:is>
          <ns0:t>rand</ns0:t>
        </ns0:is>
      </ns0:c>
      <ns0:c r="E1463" t="inlineStr">
        <ns0:is>
          <ns0:t>gemini-2.5-flash-nothinking</ns0:t>
        </ns0:is>
      </ns0:c>
      <ns0:c r="F1463" t="inlineStr">
        <ns0:is>
          <ns0:t>E0282</ns0:t>
        </ns0:is>
      </ns0:c>
      <ns0:c r="G1463" t="n">
        <ns0:v>1</ns0:v>
      </ns0:c>
      <ns0:c r="H1463" t="n">
        <ns0:v>551</ns0:v>
      </ns0:c>
      <ns0:c r="I1463" t="n">
        <ns0:v>73</ns0:v>
      </ns0:c>
      <ns0:c r="J1463" t="n">
        <ns0:v>624</ns0:v>
      </ns0:c>
      <ns0:c r="K1463" t="n">
        <ns0:v>1</ns0:v>
      </ns0:c>
      <ns0:c r="L1463" t="n">
        <ns0:v>1</ns0:v>
      </ns0:c>
      <ns0:c r="M1463" t="n">
        <ns0:v>106328</ns0:v>
      </ns0:c>
      <ns0:c r="N1463" t="n">
        <ns0:v>963</ns0:v>
      </ns0:c>
      <ns0:c r="O1463" t="n">
        <ns0:v>107291</ns0:v>
      </ns0:c>
      <ns0:c r="P1463" t="n">
        <ns0:v>13</ns0:v>
      </ns0:c>
      <ns0:c r="Q1463">
        <ns0:f>IF(AND(L1463=1,O1463*Calculations!$B$2&lt;=Calculations!$B$10*Calculations!$B$4),1,0)</ns0:f>
        <ns0:v>0</ns0:v>
      </ns0:c>
      <ns0:c r="R1463">
        <ns0:f>IF(AND(L1463=1,O1463*Calculations!$B$2&lt;=Calculations!$B$11*Calculations!$B$4),1,0)</ns0:f>
        <ns0:v>0</ns0:v>
      </ns0:c>
    </ns0:row>
    <ns0:row r="1464">
      <ns0:c r="A1464" t="inlineStr">
        <ns0:is>
          <ns0:t>case_1463</ns0:t>
        </ns0:is>
      </ns0:c>
      <ns0:c r="B1464" t="inlineStr">
        <ns0:is>
          <ns0:t>function_0414</ns0:t>
        </ns0:is>
      </ns0:c>
      <ns0:c r="C1464" t="inlineStr">
        <ns0:is>
          <ns0:t>run_013</ns0:t>
        </ns0:is>
      </ns0:c>
      <ns0:c r="D1464" t="inlineStr">
        <ns0:is>
          <ns0:t>rand</ns0:t>
        </ns0:is>
      </ns0:c>
      <ns0:c r="E1464" t="inlineStr">
        <ns0:is>
          <ns0:t>gemini-2.5-flash-nothinking</ns0:t>
        </ns0:is>
      </ns0:c>
      <ns0:c r="F1464" t="inlineStr">
        <ns0:is>
          <ns0:t>E0433</ns0:t>
        </ns0:is>
      </ns0:c>
      <ns0:c r="G1464" t="n">
        <ns0:v>1</ns0:v>
      </ns0:c>
      <ns0:c r="H1464" t="n">
        <ns0:v>2289</ns0:v>
      </ns0:c>
      <ns0:c r="I1464" t="n">
        <ns0:v>142</ns0:v>
      </ns0:c>
      <ns0:c r="J1464" t="n">
        <ns0:v>2431</ns0:v>
      </ns0:c>
      <ns0:c r="K1464" t="n">
        <ns0:v>2</ns0:v>
      </ns0:c>
      <ns0:c r="L1464" t="n">
        <ns0:v>1</ns0:v>
      </ns0:c>
      <ns0:c r="M1464" t="n">
        <ns0:v>52197</ns0:v>
      </ns0:c>
      <ns0:c r="N1464" t="n">
        <ns0:v>1662</ns0:v>
      </ns0:c>
      <ns0:c r="O1464" t="n">
        <ns0:v>53859</ns0:v>
      </ns0:c>
      <ns0:c r="P1464" t="n">
        <ns0:v>7</ns0:v>
      </ns0:c>
      <ns0:c r="Q1464">
        <ns0:f>IF(AND(L1464=1,O1464*Calculations!$B$2&lt;=Calculations!$B$10*Calculations!$B$4),1,0)</ns0:f>
        <ns0:v>0</ns0:v>
      </ns0:c>
      <ns0:c r="R1464">
        <ns0:f>IF(AND(L1464=1,O1464*Calculations!$B$2&lt;=Calculations!$B$11*Calculations!$B$4),1,0)</ns0:f>
        <ns0:v>0</ns0:v>
      </ns0:c>
    </ns0:row>
    <ns0:row r="1465">
      <ns0:c r="A1465" t="inlineStr">
        <ns0:is>
          <ns0:t>case_1464</ns0:t>
        </ns0:is>
      </ns0:c>
      <ns0:c r="B1465" t="inlineStr">
        <ns0:is>
          <ns0:t>function_0414</ns0:t>
        </ns0:is>
      </ns0:c>
      <ns0:c r="C1465" t="inlineStr">
        <ns0:is>
          <ns0:t>run_013</ns0:t>
        </ns0:is>
      </ns0:c>
      <ns0:c r="D1465" t="inlineStr">
        <ns0:is>
          <ns0:t>rand</ns0:t>
        </ns0:is>
      </ns0:c>
      <ns0:c r="E1465" t="inlineStr">
        <ns0:is>
          <ns0:t>gemini-2.5-flash-nothinking</ns0:t>
        </ns0:is>
      </ns0:c>
      <ns0:c r="F1465" t="inlineStr">
        <ns0:is>
          <ns0:t>E0282</ns0:t>
        </ns0:is>
      </ns0:c>
      <ns0:c r="G1465" t="n">
        <ns0:v>1</ns0:v>
      </ns0:c>
      <ns0:c r="H1465" t="n">
        <ns0:v>555</ns0:v>
      </ns0:c>
      <ns0:c r="I1465" t="n">
        <ns0:v>68</ns0:v>
      </ns0:c>
      <ns0:c r="J1465" t="n">
        <ns0:v>623</ns0:v>
      </ns0:c>
      <ns0:c r="K1465" t="n">
        <ns0:v>1</ns0:v>
      </ns0:c>
      <ns0:c r="L1465" t="n">
        <ns0:v>1</ns0:v>
      </ns0:c>
      <ns0:c r="M1465" t="n">
        <ns0:v>20878</ns0:v>
      </ns0:c>
      <ns0:c r="N1465" t="n">
        <ns0:v>527</ns0:v>
      </ns0:c>
      <ns0:c r="O1465" t="n">
        <ns0:v>21405</ns0:v>
      </ns0:c>
      <ns0:c r="P1465" t="n">
        <ns0:v>3</ns0:v>
      </ns0:c>
      <ns0:c r="Q1465">
        <ns0:f>IF(AND(L1465=1,O1465*Calculations!$B$2&lt;=Calculations!$B$10*Calculations!$B$4),1,0)</ns0:f>
        <ns0:v>1</ns0:v>
      </ns0:c>
      <ns0:c r="R1465">
        <ns0:f>IF(AND(L1465=1,O1465*Calculations!$B$2&lt;=Calculations!$B$11*Calculations!$B$4),1,0)</ns0:f>
        <ns0:v>1</ns0:v>
      </ns0:c>
    </ns0:row>
    <ns0:row r="1466">
      <ns0:c r="A1466" t="inlineStr">
        <ns0:is>
          <ns0:t>case_1465</ns0:t>
        </ns0:is>
      </ns0:c>
      <ns0:c r="B1466" t="inlineStr">
        <ns0:is>
          <ns0:t>function_0415</ns0:t>
        </ns0:is>
      </ns0:c>
      <ns0:c r="C1466" t="inlineStr">
        <ns0:is>
          <ns0:t>run_013</ns0:t>
        </ns0:is>
      </ns0:c>
      <ns0:c r="D1466" t="inlineStr">
        <ns0:is>
          <ns0:t>rand</ns0:t>
        </ns0:is>
      </ns0:c>
      <ns0:c r="E1466" t="inlineStr">
        <ns0:is>
          <ns0:t>gemini-2.5-flash-nothinking</ns0:t>
        </ns0:is>
      </ns0:c>
      <ns0:c r="F1466" t="inlineStr">
        <ns0:is>
          <ns0:t>E0433</ns0:t>
        </ns0:is>
      </ns0:c>
      <ns0:c r="G1466" t="n">
        <ns0:v>0</ns0:v>
      </ns0:c>
      <ns0:c r="H1466" t="n">
        <ns0:v>4564</ns0:v>
      </ns0:c>
      <ns0:c r="I1466" t="n">
        <ns0:v>252</ns0:v>
      </ns0:c>
      <ns0:c r="J1466" t="n">
        <ns0:v>4816</ns0:v>
      </ns0:c>
      <ns0:c r="K1466" t="n">
        <ns0:v>3</ns0:v>
      </ns0:c>
      <ns0:c r="L1466" t="n">
        <ns0:v>1</ns0:v>
      </ns0:c>
      <ns0:c r="M1466" t="n">
        <ns0:v>76077</ns0:v>
      </ns0:c>
      <ns0:c r="N1466" t="n">
        <ns0:v>507</ns0:v>
      </ns0:c>
      <ns0:c r="O1466" t="n">
        <ns0:v>76584</ns0:v>
      </ns0:c>
      <ns0:c r="P1466" t="n">
        <ns0:v>10</ns0:v>
      </ns0:c>
      <ns0:c r="Q1466">
        <ns0:f>IF(AND(L1466=1,O1466*Calculations!$B$2&lt;=Calculations!$B$10*Calculations!$B$4),1,0)</ns0:f>
        <ns0:v>0</ns0:v>
      </ns0:c>
      <ns0:c r="R1466">
        <ns0:f>IF(AND(L1466=1,O1466*Calculations!$B$2&lt;=Calculations!$B$11*Calculations!$B$4),1,0)</ns0:f>
        <ns0:v>0</ns0:v>
      </ns0:c>
    </ns0:row>
    <ns0:row r="1467">
      <ns0:c r="A1467" t="inlineStr">
        <ns0:is>
          <ns0:t>case_1466</ns0:t>
        </ns0:is>
      </ns0:c>
      <ns0:c r="B1467" t="inlineStr">
        <ns0:is>
          <ns0:t>function_0415</ns0:t>
        </ns0:is>
      </ns0:c>
      <ns0:c r="C1467" t="inlineStr">
        <ns0:is>
          <ns0:t>run_013</ns0:t>
        </ns0:is>
      </ns0:c>
      <ns0:c r="D1467" t="inlineStr">
        <ns0:is>
          <ns0:t>rand</ns0:t>
        </ns0:is>
      </ns0:c>
      <ns0:c r="E1467" t="inlineStr">
        <ns0:is>
          <ns0:t>gemini-2.5-flash-nothinking</ns0:t>
        </ns0:is>
      </ns0:c>
      <ns0:c r="F1467" t="inlineStr">
        <ns0:is>
          <ns0:t>E0308</ns0:t>
        </ns0:is>
      </ns0:c>
      <ns0:c r="G1467" t="n">
        <ns0:v>1</ns0:v>
      </ns0:c>
      <ns0:c r="H1467" t="n">
        <ns0:v>557</ns0:v>
      </ns0:c>
      <ns0:c r="I1467" t="n">
        <ns0:v>79</ns0:v>
      </ns0:c>
      <ns0:c r="J1467" t="n">
        <ns0:v>636</ns0:v>
      </ns0:c>
      <ns0:c r="K1467" t="n">
        <ns0:v>1</ns0:v>
      </ns0:c>
      <ns0:c r="L1467" t="n">
        <ns0:v>1</ns0:v>
      </ns0:c>
      <ns0:c r="M1467" t="n">
        <ns0:v>66767</ns0:v>
      </ns0:c>
      <ns0:c r="N1467" t="n">
        <ns0:v>431</ns0:v>
      </ns0:c>
      <ns0:c r="O1467" t="n">
        <ns0:v>67198</ns0:v>
      </ns0:c>
      <ns0:c r="P1467" t="n">
        <ns0:v>9</ns0:v>
      </ns0:c>
      <ns0:c r="Q1467">
        <ns0:f>IF(AND(L1467=1,O1467*Calculations!$B$2&lt;=Calculations!$B$10*Calculations!$B$4),1,0)</ns0:f>
        <ns0:v>0</ns0:v>
      </ns0:c>
      <ns0:c r="R1467">
        <ns0:f>IF(AND(L1467=1,O1467*Calculations!$B$2&lt;=Calculations!$B$11*Calculations!$B$4),1,0)</ns0:f>
        <ns0:v>0</ns0:v>
      </ns0:c>
    </ns0:row>
    <ns0:row r="1468">
      <ns0:c r="A1468" t="inlineStr">
        <ns0:is>
          <ns0:t>case_1467</ns0:t>
        </ns0:is>
      </ns0:c>
      <ns0:c r="B1468" t="inlineStr">
        <ns0:is>
          <ns0:t>function_0416</ns0:t>
        </ns0:is>
      </ns0:c>
      <ns0:c r="C1468" t="inlineStr">
        <ns0:is>
          <ns0:t>run_013</ns0:t>
        </ns0:is>
      </ns0:c>
      <ns0:c r="D1468" t="inlineStr">
        <ns0:is>
          <ns0:t>rand</ns0:t>
        </ns0:is>
      </ns0:c>
      <ns0:c r="E1468" t="inlineStr">
        <ns0:is>
          <ns0:t>gemini-2.5-flash-nothinking</ns0:t>
        </ns0:is>
      </ns0:c>
      <ns0:c r="F1468" t="inlineStr">
        <ns0:is>
          <ns0:t>E0433</ns0:t>
        </ns0:is>
      </ns0:c>
      <ns0:c r="G1468" t="n">
        <ns0:v>0</ns0:v>
      </ns0:c>
      <ns0:c r="H1468" t="n">
        <ns0:v>5310</ns0:v>
      </ns0:c>
      <ns0:c r="I1468" t="n">
        <ns0:v>270</ns0:v>
      </ns0:c>
      <ns0:c r="J1468" t="n">
        <ns0:v>5580</ns0:v>
      </ns0:c>
      <ns0:c r="K1468" t="n">
        <ns0:v>3</ns0:v>
      </ns0:c>
      <ns0:c r="L1468" t="n">
        <ns0:v>1</ns0:v>
      </ns0:c>
      <ns0:c r="M1468" t="n">
        <ns0:v>54342</ns0:v>
      </ns0:c>
      <ns0:c r="N1468" t="n">
        <ns0:v>432</ns0:v>
      </ns0:c>
      <ns0:c r="O1468" t="n">
        <ns0:v>54774</ns0:v>
      </ns0:c>
      <ns0:c r="P1468" t="n">
        <ns0:v>7</ns0:v>
      </ns0:c>
      <ns0:c r="Q1468">
        <ns0:f>IF(AND(L1468=1,O1468*Calculations!$B$2&lt;=Calculations!$B$10*Calculations!$B$4),1,0)</ns0:f>
        <ns0:v>0</ns0:v>
      </ns0:c>
      <ns0:c r="R1468">
        <ns0:f>IF(AND(L1468=1,O1468*Calculations!$B$2&lt;=Calculations!$B$11*Calculations!$B$4),1,0)</ns0:f>
        <ns0:v>0</ns0:v>
      </ns0:c>
    </ns0:row>
    <ns0:row r="1469">
      <ns0:c r="A1469" t="inlineStr">
        <ns0:is>
          <ns0:t>case_1468</ns0:t>
        </ns0:is>
      </ns0:c>
      <ns0:c r="B1469" t="inlineStr">
        <ns0:is>
          <ns0:t>function_0416</ns0:t>
        </ns0:is>
      </ns0:c>
      <ns0:c r="C1469" t="inlineStr">
        <ns0:is>
          <ns0:t>run_013</ns0:t>
        </ns0:is>
      </ns0:c>
      <ns0:c r="D1469" t="inlineStr">
        <ns0:is>
          <ns0:t>rand</ns0:t>
        </ns0:is>
      </ns0:c>
      <ns0:c r="E1469" t="inlineStr">
        <ns0:is>
          <ns0:t>gemini-2.5-flash-nothinking</ns0:t>
        </ns0:is>
      </ns0:c>
      <ns0:c r="F1469" t="inlineStr">
        <ns0:is>
          <ns0:t>E0308</ns0:t>
        </ns0:is>
      </ns0:c>
      <ns0:c r="G1469" t="n">
        <ns0:v>1</ns0:v>
      </ns0:c>
      <ns0:c r="H1469" t="n">
        <ns0:v>557</ns0:v>
      </ns0:c>
      <ns0:c r="I1469" t="n">
        <ns0:v>77</ns0:v>
      </ns0:c>
      <ns0:c r="J1469" t="n">
        <ns0:v>634</ns0:v>
      </ns0:c>
      <ns0:c r="K1469" t="n">
        <ns0:v>1</ns0:v>
      </ns0:c>
      <ns0:c r="L1469" t="n">
        <ns0:v>1</ns0:v>
      </ns0:c>
      <ns0:c r="M1469" t="n">
        <ns0:v>74716</ns0:v>
      </ns0:c>
      <ns0:c r="N1469" t="n">
        <ns0:v>1026</ns0:v>
      </ns0:c>
      <ns0:c r="O1469" t="n">
        <ns0:v>75742</ns0:v>
      </ns0:c>
      <ns0:c r="P1469" t="n">
        <ns0:v>10</ns0:v>
      </ns0:c>
      <ns0:c r="Q1469">
        <ns0:f>IF(AND(L1469=1,O1469*Calculations!$B$2&lt;=Calculations!$B$10*Calculations!$B$4),1,0)</ns0:f>
        <ns0:v>0</ns0:v>
      </ns0:c>
      <ns0:c r="R1469">
        <ns0:f>IF(AND(L1469=1,O1469*Calculations!$B$2&lt;=Calculations!$B$11*Calculations!$B$4),1,0)</ns0:f>
        <ns0:v>0</ns0:v>
      </ns0:c>
    </ns0:row>
    <ns0:row r="1470">
      <ns0:c r="A1470" t="inlineStr">
        <ns0:is>
          <ns0:t>case_1469</ns0:t>
        </ns0:is>
      </ns0:c>
      <ns0:c r="B1470" t="inlineStr">
        <ns0:is>
          <ns0:t>function_0417</ns0:t>
        </ns0:is>
      </ns0:c>
      <ns0:c r="C1470" t="inlineStr">
        <ns0:is>
          <ns0:t>run_013</ns0:t>
        </ns0:is>
      </ns0:c>
      <ns0:c r="D1470" t="inlineStr">
        <ns0:is>
          <ns0:t>rand</ns0:t>
        </ns0:is>
      </ns0:c>
      <ns0:c r="E1470" t="inlineStr">
        <ns0:is>
          <ns0:t>gemini-2.5-flash-nothinking</ns0:t>
        </ns0:is>
      </ns0:c>
      <ns0:c r="F1470" t="inlineStr">
        <ns0:is>
          <ns0:t>E0433</ns0:t>
        </ns0:is>
      </ns0:c>
      <ns0:c r="G1470" t="n">
        <ns0:v>0</ns0:v>
      </ns0:c>
      <ns0:c r="H1470" t="n">
        <ns0:v>4564</ns0:v>
      </ns0:c>
      <ns0:c r="I1470" t="n">
        <ns0:v>231</ns0:v>
      </ns0:c>
      <ns0:c r="J1470" t="n">
        <ns0:v>4795</ns0:v>
      </ns0:c>
      <ns0:c r="K1470" t="n">
        <ns0:v>3</ns0:v>
      </ns0:c>
      <ns0:c r="L1470" t="n">
        <ns0:v>1</ns0:v>
      </ns0:c>
      <ns0:c r="M1470" t="n">
        <ns0:v>155762</ns0:v>
      </ns0:c>
      <ns0:c r="N1470" t="n">
        <ns0:v>2129</ns0:v>
      </ns0:c>
      <ns0:c r="O1470" t="n">
        <ns0:v>157891</ns0:v>
      </ns0:c>
      <ns0:c r="P1470" t="n">
        <ns0:v>17</ns0:v>
      </ns0:c>
      <ns0:c r="Q1470">
        <ns0:f>IF(AND(L1470=1,O1470*Calculations!$B$2&lt;=Calculations!$B$10*Calculations!$B$4),1,0)</ns0:f>
        <ns0:v>0</ns0:v>
      </ns0:c>
      <ns0:c r="R1470">
        <ns0:f>IF(AND(L1470=1,O1470*Calculations!$B$2&lt;=Calculations!$B$11*Calculations!$B$4),1,0)</ns0:f>
        <ns0:v>0</ns0:v>
      </ns0:c>
    </ns0:row>
    <ns0:row r="1471">
      <ns0:c r="A1471" t="inlineStr">
        <ns0:is>
          <ns0:t>case_1470</ns0:t>
        </ns0:is>
      </ns0:c>
      <ns0:c r="B1471" t="inlineStr">
        <ns0:is>
          <ns0:t>function_0417</ns0:t>
        </ns0:is>
      </ns0:c>
      <ns0:c r="C1471" t="inlineStr">
        <ns0:is>
          <ns0:t>run_013</ns0:t>
        </ns0:is>
      </ns0:c>
      <ns0:c r="D1471" t="inlineStr">
        <ns0:is>
          <ns0:t>rand</ns0:t>
        </ns0:is>
      </ns0:c>
      <ns0:c r="E1471" t="inlineStr">
        <ns0:is>
          <ns0:t>gemini-2.5-flash-nothinking</ns0:t>
        </ns0:is>
      </ns0:c>
      <ns0:c r="F1471" t="inlineStr">
        <ns0:is>
          <ns0:t>E0308</ns0:t>
        </ns0:is>
      </ns0:c>
      <ns0:c r="G1471" t="n">
        <ns0:v>1</ns0:v>
      </ns0:c>
      <ns0:c r="H1471" t="n">
        <ns0:v>549</ns0:v>
      </ns0:c>
      <ns0:c r="I1471" t="n">
        <ns0:v>74</ns0:v>
      </ns0:c>
      <ns0:c r="J1471" t="n">
        <ns0:v>623</ns0:v>
      </ns0:c>
      <ns0:c r="K1471" t="n">
        <ns0:v>1</ns0:v>
      </ns0:c>
      <ns0:c r="L1471" t="n">
        <ns0:v>1</ns0:v>
      </ns0:c>
      <ns0:c r="M1471" t="n">
        <ns0:v>50499</ns0:v>
      </ns0:c>
      <ns0:c r="N1471" t="n">
        <ns0:v>371</ns0:v>
      </ns0:c>
      <ns0:c r="O1471" t="n">
        <ns0:v>50870</ns0:v>
      </ns0:c>
      <ns0:c r="P1471" t="n">
        <ns0:v>7</ns0:v>
      </ns0:c>
      <ns0:c r="Q1471">
        <ns0:f>IF(AND(L1471=1,O1471*Calculations!$B$2&lt;=Calculations!$B$10*Calculations!$B$4),1,0)</ns0:f>
        <ns0:v>0</ns0:v>
      </ns0:c>
      <ns0:c r="R1471">
        <ns0:f>IF(AND(L1471=1,O1471*Calculations!$B$2&lt;=Calculations!$B$11*Calculations!$B$4),1,0)</ns0:f>
        <ns0:v>0</ns0:v>
      </ns0:c>
    </ns0:row>
    <ns0:row r="1472">
      <ns0:c r="A1472" t="inlineStr">
        <ns0:is>
          <ns0:t>case_1471</ns0:t>
        </ns0:is>
      </ns0:c>
      <ns0:c r="B1472" t="inlineStr">
        <ns0:is>
          <ns0:t>function_0418</ns0:t>
        </ns0:is>
      </ns0:c>
      <ns0:c r="C1472" t="inlineStr">
        <ns0:is>
          <ns0:t>run_013</ns0:t>
        </ns0:is>
      </ns0:c>
      <ns0:c r="D1472" t="inlineStr">
        <ns0:is>
          <ns0:t>rand</ns0:t>
        </ns0:is>
      </ns0:c>
      <ns0:c r="E1472" t="inlineStr">
        <ns0:is>
          <ns0:t>gemini-2.5-flash-nothinking</ns0:t>
        </ns0:is>
      </ns0:c>
      <ns0:c r="F1472" t="inlineStr">
        <ns0:is>
          <ns0:t>E0433</ns0:t>
        </ns0:is>
      </ns0:c>
      <ns0:c r="G1472" t="n">
        <ns0:v>1</ns0:v>
      </ns0:c>
      <ns0:c r="H1472" t="n">
        <ns0:v>0</ns0:v>
      </ns0:c>
      <ns0:c r="I1472" t="n">
        <ns0:v>0</ns0:v>
      </ns0:c>
      <ns0:c r="J1472" t="n">
        <ns0:v>0</ns0:v>
      </ns0:c>
      <ns0:c r="K1472" t="n">
        <ns0:v>0</ns0:v>
      </ns0:c>
      <ns0:c r="L1472" t="n">
        <ns0:v>1</ns0:v>
      </ns0:c>
      <ns0:c r="M1472" t="n">
        <ns0:v>27953</ns0:v>
      </ns0:c>
      <ns0:c r="N1472" t="n">
        <ns0:v>326</ns0:v>
      </ns0:c>
      <ns0:c r="O1472" t="n">
        <ns0:v>28279</ns0:v>
      </ns0:c>
      <ns0:c r="P1472" t="n">
        <ns0:v>4</ns0:v>
      </ns0:c>
      <ns0:c r="Q1472">
        <ns0:f>IF(AND(L1472=1,O1472*Calculations!$B$2&lt;=Calculations!$B$10*Calculations!$B$4),1,0)</ns0:f>
        <ns0:v>0</ns0:v>
      </ns0:c>
      <ns0:c r="R1472">
        <ns0:f>IF(AND(L1472=1,O1472*Calculations!$B$2&lt;=Calculations!$B$11*Calculations!$B$4),1,0)</ns0:f>
        <ns0:v>1</ns0:v>
      </ns0:c>
    </ns0:row>
    <ns0:row r="1473">
      <ns0:c r="A1473" t="inlineStr">
        <ns0:is>
          <ns0:t>case_1472</ns0:t>
        </ns0:is>
      </ns0:c>
      <ns0:c r="B1473" t="inlineStr">
        <ns0:is>
          <ns0:t>function_0419</ns0:t>
        </ns0:is>
      </ns0:c>
      <ns0:c r="C1473" t="inlineStr">
        <ns0:is>
          <ns0:t>run_013</ns0:t>
        </ns0:is>
      </ns0:c>
      <ns0:c r="D1473" t="inlineStr">
        <ns0:is>
          <ns0:t>rand</ns0:t>
        </ns0:is>
      </ns0:c>
      <ns0:c r="E1473" t="inlineStr">
        <ns0:is>
          <ns0:t>gemini-2.5-flash-nothinking</ns0:t>
        </ns0:is>
      </ns0:c>
      <ns0:c r="F1473" t="inlineStr">
        <ns0:is>
          <ns0:t>E0433</ns0:t>
        </ns0:is>
      </ns0:c>
      <ns0:c r="G1473" t="n">
        <ns0:v>1</ns0:v>
      </ns0:c>
      <ns0:c r="H1473" t="n">
        <ns0:v>1534</ns0:v>
      </ns0:c>
      <ns0:c r="I1473" t="n">
        <ns0:v>98</ns0:v>
      </ns0:c>
      <ns0:c r="J1473" t="n">
        <ns0:v>1632</ns0:v>
      </ns0:c>
      <ns0:c r="K1473" t="n">
        <ns0:v>1</ns0:v>
      </ns0:c>
      <ns0:c r="L1473" t="n">
        <ns0:v>1</ns0:v>
      </ns0:c>
      <ns0:c r="M1473" t="n">
        <ns0:v>37370</ns0:v>
      </ns0:c>
      <ns0:c r="N1473" t="n">
        <ns0:v>506</ns0:v>
      </ns0:c>
      <ns0:c r="O1473" t="n">
        <ns0:v>37876</ns0:v>
      </ns0:c>
      <ns0:c r="P1473" t="n">
        <ns0:v>5</ns0:v>
      </ns0:c>
      <ns0:c r="Q1473">
        <ns0:f>IF(AND(L1473=1,O1473*Calculations!$B$2&lt;=Calculations!$B$10*Calculations!$B$4),1,0)</ns0:f>
        <ns0:v>0</ns0:v>
      </ns0:c>
      <ns0:c r="R1473">
        <ns0:f>IF(AND(L1473=1,O1473*Calculations!$B$2&lt;=Calculations!$B$11*Calculations!$B$4),1,0)</ns0:f>
        <ns0:v>1</ns0:v>
      </ns0:c>
    </ns0:row>
    <ns0:row r="1474">
      <ns0:c r="A1474" t="inlineStr">
        <ns0:is>
          <ns0:t>case_1473</ns0:t>
        </ns0:is>
      </ns0:c>
      <ns0:c r="B1474" t="inlineStr">
        <ns0:is>
          <ns0:t>function_0419</ns0:t>
        </ns0:is>
      </ns0:c>
      <ns0:c r="C1474" t="inlineStr">
        <ns0:is>
          <ns0:t>run_013</ns0:t>
        </ns0:is>
      </ns0:c>
      <ns0:c r="D1474" t="inlineStr">
        <ns0:is>
          <ns0:t>rand</ns0:t>
        </ns0:is>
      </ns0:c>
      <ns0:c r="E1474" t="inlineStr">
        <ns0:is>
          <ns0:t>gemini-2.5-flash-nothinking</ns0:t>
        </ns0:is>
      </ns0:c>
      <ns0:c r="F1474" t="inlineStr">
        <ns0:is>
          <ns0:t>E0308</ns0:t>
        </ns0:is>
      </ns0:c>
      <ns0:c r="G1474" t="n">
        <ns0:v>1</ns0:v>
      </ns0:c>
      <ns0:c r="H1474" t="n">
        <ns0:v>2063</ns0:v>
      </ns0:c>
      <ns0:c r="I1474" t="n">
        <ns0:v>210</ns0:v>
      </ns0:c>
      <ns0:c r="J1474" t="n">
        <ns0:v>2273</ns0:v>
      </ns0:c>
      <ns0:c r="K1474" t="n">
        <ns0:v>3</ns0:v>
      </ns0:c>
      <ns0:c r="L1474" t="n">
        <ns0:v>1</ns0:v>
      </ns0:c>
      <ns0:c r="M1474" t="n">
        <ns0:v>128593</ns0:v>
      </ns0:c>
      <ns0:c r="N1474" t="n">
        <ns0:v>1162</ns0:v>
      </ns0:c>
      <ns0:c r="O1474" t="n">
        <ns0:v>129755</ns0:v>
      </ns0:c>
      <ns0:c r="P1474" t="n">
        <ns0:v>16</ns0:v>
      </ns0:c>
      <ns0:c r="Q1474">
        <ns0:f>IF(AND(L1474=1,O1474*Calculations!$B$2&lt;=Calculations!$B$10*Calculations!$B$4),1,0)</ns0:f>
        <ns0:v>0</ns0:v>
      </ns0:c>
      <ns0:c r="R1474">
        <ns0:f>IF(AND(L1474=1,O1474*Calculations!$B$2&lt;=Calculations!$B$11*Calculations!$B$4),1,0)</ns0:f>
        <ns0:v>0</ns0:v>
      </ns0:c>
    </ns0:row>
    <ns0:row r="1475">
      <ns0:c r="A1475" t="inlineStr">
        <ns0:is>
          <ns0:t>case_1474</ns0:t>
        </ns0:is>
      </ns0:c>
      <ns0:c r="B1475" t="inlineStr">
        <ns0:is>
          <ns0:t>function_0420</ns0:t>
        </ns0:is>
      </ns0:c>
      <ns0:c r="C1475" t="inlineStr">
        <ns0:is>
          <ns0:t>run_013</ns0:t>
        </ns0:is>
      </ns0:c>
      <ns0:c r="D1475" t="inlineStr">
        <ns0:is>
          <ns0:t>rand</ns0:t>
        </ns0:is>
      </ns0:c>
      <ns0:c r="E1475" t="inlineStr">
        <ns0:is>
          <ns0:t>gemini-2.5-flash-nothinking</ns0:t>
        </ns0:is>
      </ns0:c>
      <ns0:c r="F1475" t="inlineStr">
        <ns0:is>
          <ns0:t>E0433</ns0:t>
        </ns0:is>
      </ns0:c>
      <ns0:c r="G1475" t="n">
        <ns0:v>1</ns0:v>
      </ns0:c>
      <ns0:c r="H1475" t="n">
        <ns0:v>1194</ns0:v>
      </ns0:c>
      <ns0:c r="I1475" t="n">
        <ns0:v>74</ns0:v>
      </ns0:c>
      <ns0:c r="J1475" t="n">
        <ns0:v>1268</ns0:v>
      </ns0:c>
      <ns0:c r="K1475" t="n">
        <ns0:v>1</ns0:v>
      </ns0:c>
      <ns0:c r="L1475" t="n">
        <ns0:v>1</ns0:v>
      </ns0:c>
      <ns0:c r="M1475" t="n">
        <ns0:v>36406</ns0:v>
      </ns0:c>
      <ns0:c r="N1475" t="n">
        <ns0:v>1348</ns0:v>
      </ns0:c>
      <ns0:c r="O1475" t="n">
        <ns0:v>37754</ns0:v>
      </ns0:c>
      <ns0:c r="P1475" t="n">
        <ns0:v>5</ns0:v>
      </ns0:c>
      <ns0:c r="Q1475">
        <ns0:f>IF(AND(L1475=1,O1475*Calculations!$B$2&lt;=Calculations!$B$10*Calculations!$B$4),1,0)</ns0:f>
        <ns0:v>0</ns0:v>
      </ns0:c>
      <ns0:c r="R1475">
        <ns0:f>IF(AND(L1475=1,O1475*Calculations!$B$2&lt;=Calculations!$B$11*Calculations!$B$4),1,0)</ns0:f>
        <ns0:v>1</ns0:v>
      </ns0:c>
    </ns0:row>
    <ns0:row r="1476">
      <ns0:c r="A1476" t="inlineStr">
        <ns0:is>
          <ns0:t>case_1475</ns0:t>
        </ns0:is>
      </ns0:c>
      <ns0:c r="B1476" t="inlineStr">
        <ns0:is>
          <ns0:t>function_0420</ns0:t>
        </ns0:is>
      </ns0:c>
      <ns0:c r="C1476" t="inlineStr">
        <ns0:is>
          <ns0:t>run_013</ns0:t>
        </ns0:is>
      </ns0:c>
      <ns0:c r="D1476" t="inlineStr">
        <ns0:is>
          <ns0:t>rand</ns0:t>
        </ns0:is>
      </ns0:c>
      <ns0:c r="E1476" t="inlineStr">
        <ns0:is>
          <ns0:t>gemini-2.5-flash-nothinking</ns0:t>
        </ns0:is>
      </ns0:c>
      <ns0:c r="F1476" t="inlineStr">
        <ns0:is>
          <ns0:t>E0277,E0308,E0599</ns0:t>
        </ns0:is>
      </ns0:c>
      <ns0:c r="G1476" t="n">
        <ns0:v>0</ns0:v>
      </ns0:c>
      <ns0:c r="H1476" t="n">
        <ns0:v>3479</ns0:v>
      </ns0:c>
      <ns0:c r="I1476" t="n">
        <ns0:v>556</ns0:v>
      </ns0:c>
      <ns0:c r="J1476" t="n">
        <ns0:v>4035</ns0:v>
      </ns0:c>
      <ns0:c r="K1476" t="n">
        <ns0:v>3</ns0:v>
      </ns0:c>
      <ns0:c r="L1476" t="n">
        <ns0:v>1</ns0:v>
      </ns0:c>
      <ns0:c r="M1476" t="n">
        <ns0:v>41997</ns0:v>
      </ns0:c>
      <ns0:c r="N1476" t="n">
        <ns0:v>1018</ns0:v>
      </ns0:c>
      <ns0:c r="O1476" t="n">
        <ns0:v>43015</ns0:v>
      </ns0:c>
      <ns0:c r="P1476" t="n">
        <ns0:v>5</ns0:v>
      </ns0:c>
      <ns0:c r="Q1476">
        <ns0:f>IF(AND(L1476=1,O1476*Calculations!$B$2&lt;=Calculations!$B$10*Calculations!$B$4),1,0)</ns0:f>
        <ns0:v>0</ns0:v>
      </ns0:c>
      <ns0:c r="R1476">
        <ns0:f>IF(AND(L1476=1,O1476*Calculations!$B$2&lt;=Calculations!$B$11*Calculations!$B$4),1,0)</ns0:f>
        <ns0:v>1</ns0:v>
      </ns0:c>
    </ns0:row>
    <ns0:row r="1477">
      <ns0:c r="A1477" t="inlineStr">
        <ns0:is>
          <ns0:t>case_1476</ns0:t>
        </ns0:is>
      </ns0:c>
      <ns0:c r="B1477" t="inlineStr">
        <ns0:is>
          <ns0:t>function_0421</ns0:t>
        </ns0:is>
      </ns0:c>
      <ns0:c r="C1477" t="inlineStr">
        <ns0:is>
          <ns0:t>run_013</ns0:t>
        </ns0:is>
      </ns0:c>
      <ns0:c r="D1477" t="inlineStr">
        <ns0:is>
          <ns0:t>rand</ns0:t>
        </ns0:is>
      </ns0:c>
      <ns0:c r="E1477" t="inlineStr">
        <ns0:is>
          <ns0:t>gemini-2.5-flash-nothinking</ns0:t>
        </ns0:is>
      </ns0:c>
      <ns0:c r="F1477" t="inlineStr">
        <ns0:is>
          <ns0:t>E0107,E0433</ns0:t>
        </ns0:is>
      </ns0:c>
      <ns0:c r="G1477" t="n">
        <ns0:v>0</ns0:v>
      </ns0:c>
      <ns0:c r="H1477" t="n">
        <ns0:v>2572</ns0:v>
      </ns0:c>
      <ns0:c r="I1477" t="n">
        <ns0:v>374</ns0:v>
      </ns0:c>
      <ns0:c r="J1477" t="n">
        <ns0:v>2946</ns0:v>
      </ns0:c>
      <ns0:c r="K1477" t="n">
        <ns0:v>3</ns0:v>
      </ns0:c>
      <ns0:c r="L1477" t="n">
        <ns0:v>1</ns0:v>
      </ns0:c>
      <ns0:c r="M1477" t="n">
        <ns0:v>39499</ns0:v>
      </ns0:c>
      <ns0:c r="N1477" t="n">
        <ns0:v>1456</ns0:v>
      </ns0:c>
      <ns0:c r="O1477" t="n">
        <ns0:v>40955</ns0:v>
      </ns0:c>
      <ns0:c r="P1477" t="n">
        <ns0:v>5</ns0:v>
      </ns0:c>
      <ns0:c r="Q1477">
        <ns0:f>IF(AND(L1477=1,O1477*Calculations!$B$2&lt;=Calculations!$B$10*Calculations!$B$4),1,0)</ns0:f>
        <ns0:v>0</ns0:v>
      </ns0:c>
      <ns0:c r="R1477">
        <ns0:f>IF(AND(L1477=1,O1477*Calculations!$B$2&lt;=Calculations!$B$11*Calculations!$B$4),1,0)</ns0:f>
        <ns0:v>1</ns0:v>
      </ns0:c>
    </ns0:row>
    <ns0:row r="1478">
      <ns0:c r="A1478" t="inlineStr">
        <ns0:is>
          <ns0:t>case_1477</ns0:t>
        </ns0:is>
      </ns0:c>
      <ns0:c r="B1478" t="inlineStr">
        <ns0:is>
          <ns0:t>function_0421</ns0:t>
        </ns0:is>
      </ns0:c>
      <ns0:c r="C1478" t="inlineStr">
        <ns0:is>
          <ns0:t>run_013</ns0:t>
        </ns0:is>
      </ns0:c>
      <ns0:c r="D1478" t="inlineStr">
        <ns0:is>
          <ns0:t>rand</ns0:t>
        </ns0:is>
      </ns0:c>
      <ns0:c r="E1478" t="inlineStr">
        <ns0:is>
          <ns0:t>gemini-2.5-flash-nothinking</ns0:t>
        </ns0:is>
      </ns0:c>
      <ns0:c r="F1478" t="inlineStr">
        <ns0:is>
          <ns0:t>E0107,E0433,E0603</ns0:t>
        </ns0:is>
      </ns0:c>
      <ns0:c r="G1478" t="n">
        <ns0:v>0</ns0:v>
      </ns0:c>
      <ns0:c r="H1478" t="n">
        <ns0:v>2804</ns0:v>
      </ns0:c>
      <ns0:c r="I1478" t="n">
        <ns0:v>354</ns0:v>
      </ns0:c>
      <ns0:c r="J1478" t="n">
        <ns0:v>3158</ns0:v>
      </ns0:c>
      <ns0:c r="K1478" t="n">
        <ns0:v>3</ns0:v>
      </ns0:c>
      <ns0:c r="L1478" t="n">
        <ns0:v>1</ns0:v>
      </ns0:c>
      <ns0:c r="M1478" t="n">
        <ns0:v>75610</ns0:v>
      </ns0:c>
      <ns0:c r="N1478" t="n">
        <ns0:v>1547</ns0:v>
      </ns0:c>
      <ns0:c r="O1478" t="n">
        <ns0:v>77157</ns0:v>
      </ns0:c>
      <ns0:c r="P1478" t="n">
        <ns0:v>9</ns0:v>
      </ns0:c>
      <ns0:c r="Q1478">
        <ns0:f>IF(AND(L1478=1,O1478*Calculations!$B$2&lt;=Calculations!$B$10*Calculations!$B$4),1,0)</ns0:f>
        <ns0:v>0</ns0:v>
      </ns0:c>
      <ns0:c r="R1478">
        <ns0:f>IF(AND(L1478=1,O1478*Calculations!$B$2&lt;=Calculations!$B$11*Calculations!$B$4),1,0)</ns0:f>
        <ns0:v>0</ns0:v>
      </ns0:c>
    </ns0:row>
    <ns0:row r="1479">
      <ns0:c r="A1479" t="inlineStr">
        <ns0:is>
          <ns0:t>case_1478</ns0:t>
        </ns0:is>
      </ns0:c>
      <ns0:c r="B1479" t="inlineStr">
        <ns0:is>
          <ns0:t>function_0422</ns0:t>
        </ns0:is>
      </ns0:c>
      <ns0:c r="C1479" t="inlineStr">
        <ns0:is>
          <ns0:t>run_013</ns0:t>
        </ns0:is>
      </ns0:c>
      <ns0:c r="D1479" t="inlineStr">
        <ns0:is>
          <ns0:t>rand</ns0:t>
        </ns0:is>
      </ns0:c>
      <ns0:c r="E1479" t="inlineStr">
        <ns0:is>
          <ns0:t>gemini-2.5-flash-nothinking</ns0:t>
        </ns0:is>
      </ns0:c>
      <ns0:c r="F1479" t="inlineStr">
        <ns0:is>
          <ns0:t>E0308,E0433</ns0:t>
        </ns0:is>
      </ns0:c>
      <ns0:c r="G1479" t="n">
        <ns0:v>0</ns0:v>
      </ns0:c>
      <ns0:c r="H1479" t="n">
        <ns0:v>2926</ns0:v>
      </ns0:c>
      <ns0:c r="I1479" t="n">
        <ns0:v>282</ns0:v>
      </ns0:c>
      <ns0:c r="J1479" t="n">
        <ns0:v>3208</ns0:v>
      </ns0:c>
      <ns0:c r="K1479" t="n">
        <ns0:v>3</ns0:v>
      </ns0:c>
      <ns0:c r="L1479" t="n">
        <ns0:v>1</ns0:v>
      </ns0:c>
      <ns0:c r="M1479" t="n">
        <ns0:v>14138</ns0:v>
      </ns0:c>
      <ns0:c r="N1479" t="n">
        <ns0:v>2716</ns0:v>
      </ns0:c>
      <ns0:c r="O1479" t="n">
        <ns0:v>16854</ns0:v>
      </ns0:c>
      <ns0:c r="P1479" t="n">
        <ns0:v>2</ns0:v>
      </ns0:c>
      <ns0:c r="Q1479">
        <ns0:f>IF(AND(L1479=1,O1479*Calculations!$B$2&lt;=Calculations!$B$10*Calculations!$B$4),1,0)</ns0:f>
        <ns0:v>1</ns0:v>
      </ns0:c>
      <ns0:c r="R1479">
        <ns0:f>IF(AND(L1479=1,O1479*Calculations!$B$2&lt;=Calculations!$B$11*Calculations!$B$4),1,0)</ns0:f>
        <ns0:v>1</ns0:v>
      </ns0:c>
    </ns0:row>
    <ns0:row r="1480">
      <ns0:c r="A1480" t="inlineStr">
        <ns0:is>
          <ns0:t>case_1479</ns0:t>
        </ns0:is>
      </ns0:c>
      <ns0:c r="B1480" t="inlineStr">
        <ns0:is>
          <ns0:t>function_0422</ns0:t>
        </ns0:is>
      </ns0:c>
      <ns0:c r="C1480" t="inlineStr">
        <ns0:is>
          <ns0:t>run_013</ns0:t>
        </ns0:is>
      </ns0:c>
      <ns0:c r="D1480" t="inlineStr">
        <ns0:is>
          <ns0:t>rand</ns0:t>
        </ns0:is>
      </ns0:c>
      <ns0:c r="E1480" t="inlineStr">
        <ns0:is>
          <ns0:t>gemini-2.5-flash-nothinking</ns0:t>
        </ns0:is>
      </ns0:c>
      <ns0:c r="F1480" t="inlineStr">
        <ns0:is>
          <ns0:t>E0107</ns0:t>
        </ns0:is>
      </ns0:c>
      <ns0:c r="G1480" t="n">
        <ns0:v>0</ns0:v>
      </ns0:c>
      <ns0:c r="H1480" t="n">
        <ns0:v>2354</ns0:v>
      </ns0:c>
      <ns0:c r="I1480" t="n">
        <ns0:v>349</ns0:v>
      </ns0:c>
      <ns0:c r="J1480" t="n">
        <ns0:v>2703</ns0:v>
      </ns0:c>
      <ns0:c r="K1480" t="n">
        <ns0:v>3</ns0:v>
      </ns0:c>
      <ns0:c r="L1480" t="n">
        <ns0:v>1</ns0:v>
      </ns0:c>
      <ns0:c r="M1480" t="n">
        <ns0:v>62084</ns0:v>
      </ns0:c>
      <ns0:c r="N1480" t="n">
        <ns0:v>794</ns0:v>
      </ns0:c>
      <ns0:c r="O1480" t="n">
        <ns0:v>62878</ns0:v>
      </ns0:c>
      <ns0:c r="P1480" t="n">
        <ns0:v>6</ns0:v>
      </ns0:c>
      <ns0:c r="Q1480">
        <ns0:f>IF(AND(L1480=1,O1480*Calculations!$B$2&lt;=Calculations!$B$10*Calculations!$B$4),1,0)</ns0:f>
        <ns0:v>0</ns0:v>
      </ns0:c>
      <ns0:c r="R1480">
        <ns0:f>IF(AND(L1480=1,O1480*Calculations!$B$2&lt;=Calculations!$B$11*Calculations!$B$4),1,0)</ns0:f>
        <ns0:v>0</ns0:v>
      </ns0:c>
    </ns0:row>
    <ns0:row r="1481">
      <ns0:c r="A1481" t="inlineStr">
        <ns0:is>
          <ns0:t>case_1480</ns0:t>
        </ns0:is>
      </ns0:c>
      <ns0:c r="B1481" t="inlineStr">
        <ns0:is>
          <ns0:t>function_0423</ns0:t>
        </ns0:is>
      </ns0:c>
      <ns0:c r="C1481" t="inlineStr">
        <ns0:is>
          <ns0:t>run_013</ns0:t>
        </ns0:is>
      </ns0:c>
      <ns0:c r="D1481" t="inlineStr">
        <ns0:is>
          <ns0:t>rand</ns0:t>
        </ns0:is>
      </ns0:c>
      <ns0:c r="E1481" t="inlineStr">
        <ns0:is>
          <ns0:t>gemini-2.5-flash-nothinking</ns0:t>
        </ns0:is>
      </ns0:c>
      <ns0:c r="F1481" t="inlineStr">
        <ns0:is>
          <ns0:t>E0433</ns0:t>
        </ns0:is>
      </ns0:c>
      <ns0:c r="G1481" t="n">
        <ns0:v>1</ns0:v>
      </ns0:c>
      <ns0:c r="H1481" t="n">
        <ns0:v>1213</ns0:v>
      </ns0:c>
      <ns0:c r="I1481" t="n">
        <ns0:v>82</ns0:v>
      </ns0:c>
      <ns0:c r="J1481" t="n">
        <ns0:v>1295</ns0:v>
      </ns0:c>
      <ns0:c r="K1481" t="n">
        <ns0:v>1</ns0:v>
      </ns0:c>
      <ns0:c r="L1481" t="n">
        <ns0:v>1</ns0:v>
      </ns0:c>
      <ns0:c r="M1481" t="n">
        <ns0:v>36075</ns0:v>
      </ns0:c>
      <ns0:c r="N1481" t="n">
        <ns0:v>626</ns0:v>
      </ns0:c>
      <ns0:c r="O1481" t="n">
        <ns0:v>36701</ns0:v>
      </ns0:c>
      <ns0:c r="P1481" t="n">
        <ns0:v>5</ns0:v>
      </ns0:c>
      <ns0:c r="Q1481">
        <ns0:f>IF(AND(L1481=1,O1481*Calculations!$B$2&lt;=Calculations!$B$10*Calculations!$B$4),1,0)</ns0:f>
        <ns0:v>0</ns0:v>
      </ns0:c>
      <ns0:c r="R1481">
        <ns0:f>IF(AND(L1481=1,O1481*Calculations!$B$2&lt;=Calculations!$B$11*Calculations!$B$4),1,0)</ns0:f>
        <ns0:v>1</ns0:v>
      </ns0:c>
    </ns0:row>
    <ns0:row r="1482">
      <ns0:c r="A1482" t="inlineStr">
        <ns0:is>
          <ns0:t>case_1481</ns0:t>
        </ns0:is>
      </ns0:c>
      <ns0:c r="B1482" t="inlineStr">
        <ns0:is>
          <ns0:t>function_0423</ns0:t>
        </ns0:is>
      </ns0:c>
      <ns0:c r="C1482" t="inlineStr">
        <ns0:is>
          <ns0:t>run_013</ns0:t>
        </ns0:is>
      </ns0:c>
      <ns0:c r="D1482" t="inlineStr">
        <ns0:is>
          <ns0:t>rand</ns0:t>
        </ns0:is>
      </ns0:c>
      <ns0:c r="E1482" t="inlineStr">
        <ns0:is>
          <ns0:t>gemini-2.5-flash-nothinking</ns0:t>
        </ns0:is>
      </ns0:c>
      <ns0:c r="F1482" t="inlineStr">
        <ns0:is>
          <ns0:t>E0308,E0432,E0603</ns0:t>
        </ns0:is>
      </ns0:c>
      <ns0:c r="G1482" t="n">
        <ns0:v>0</ns0:v>
      </ns0:c>
      <ns0:c r="H1482" t="n">
        <ns0:v>4659</ns0:v>
      </ns0:c>
      <ns0:c r="I1482" t="n">
        <ns0:v>218</ns0:v>
      </ns0:c>
      <ns0:c r="J1482" t="n">
        <ns0:v>4877</ns0:v>
      </ns0:c>
      <ns0:c r="K1482" t="n">
        <ns0:v>3</ns0:v>
      </ns0:c>
      <ns0:c r="L1482" t="n">
        <ns0:v>1</ns0:v>
      </ns0:c>
      <ns0:c r="M1482" t="n">
        <ns0:v>92636</ns0:v>
      </ns0:c>
      <ns0:c r="N1482" t="n">
        <ns0:v>1448</ns0:v>
      </ns0:c>
      <ns0:c r="O1482" t="n">
        <ns0:v>94084</ns0:v>
      </ns0:c>
      <ns0:c r="P1482" t="n">
        <ns0:v>10</ns0:v>
      </ns0:c>
      <ns0:c r="Q1482">
        <ns0:f>IF(AND(L1482=1,O1482*Calculations!$B$2&lt;=Calculations!$B$10*Calculations!$B$4),1,0)</ns0:f>
        <ns0:v>0</ns0:v>
      </ns0:c>
      <ns0:c r="R1482">
        <ns0:f>IF(AND(L1482=1,O1482*Calculations!$B$2&lt;=Calculations!$B$11*Calculations!$B$4),1,0)</ns0:f>
        <ns0:v>0</ns0:v>
      </ns0:c>
    </ns0:row>
    <ns0:row r="1483">
      <ns0:c r="A1483" t="inlineStr">
        <ns0:is>
          <ns0:t>case_1482</ns0:t>
        </ns0:is>
      </ns0:c>
      <ns0:c r="B1483" t="inlineStr">
        <ns0:is>
          <ns0:t>function_0424</ns0:t>
        </ns0:is>
      </ns0:c>
      <ns0:c r="C1483" t="inlineStr">
        <ns0:is>
          <ns0:t>run_013</ns0:t>
        </ns0:is>
      </ns0:c>
      <ns0:c r="D1483" t="inlineStr">
        <ns0:is>
          <ns0:t>rand</ns0:t>
        </ns0:is>
      </ns0:c>
      <ns0:c r="E1483" t="inlineStr">
        <ns0:is>
          <ns0:t>gemini-2.5-flash-nothinking</ns0:t>
        </ns0:is>
      </ns0:c>
      <ns0:c r="F1483" t="inlineStr">
        <ns0:is>
          <ns0:t>E0433</ns0:t>
        </ns0:is>
      </ns0:c>
      <ns0:c r="G1483" t="n">
        <ns0:v>1</ns0:v>
      </ns0:c>
      <ns0:c r="H1483" t="n">
        <ns0:v>0</ns0:v>
      </ns0:c>
      <ns0:c r="I1483" t="n">
        <ns0:v>0</ns0:v>
      </ns0:c>
      <ns0:c r="J1483" t="n">
        <ns0:v>0</ns0:v>
      </ns0:c>
      <ns0:c r="K1483" t="n">
        <ns0:v>0</ns0:v>
      </ns0:c>
      <ns0:c r="L1483" t="n">
        <ns0:v>1</ns0:v>
      </ns0:c>
      <ns0:c r="M1483" t="n">
        <ns0:v>53703</ns0:v>
      </ns0:c>
      <ns0:c r="N1483" t="n">
        <ns0:v>580</ns0:v>
      </ns0:c>
      <ns0:c r="O1483" t="n">
        <ns0:v>54283</ns0:v>
      </ns0:c>
      <ns0:c r="P1483" t="n">
        <ns0:v>7</ns0:v>
      </ns0:c>
      <ns0:c r="Q1483">
        <ns0:f>IF(AND(L1483=1,O1483*Calculations!$B$2&lt;=Calculations!$B$10*Calculations!$B$4),1,0)</ns0:f>
        <ns0:v>0</ns0:v>
      </ns0:c>
      <ns0:c r="R1483">
        <ns0:f>IF(AND(L1483=1,O1483*Calculations!$B$2&lt;=Calculations!$B$11*Calculations!$B$4),1,0)</ns0:f>
        <ns0:v>0</ns0:v>
      </ns0:c>
    </ns0:row>
    <ns0:row r="1484">
      <ns0:c r="A1484" t="inlineStr">
        <ns0:is>
          <ns0:t>case_1483</ns0:t>
        </ns0:is>
      </ns0:c>
      <ns0:c r="B1484" t="inlineStr">
        <ns0:is>
          <ns0:t>function_0424</ns0:t>
        </ns0:is>
      </ns0:c>
      <ns0:c r="C1484" t="inlineStr">
        <ns0:is>
          <ns0:t>run_013</ns0:t>
        </ns0:is>
      </ns0:c>
      <ns0:c r="D1484" t="inlineStr">
        <ns0:is>
          <ns0:t>rand</ns0:t>
        </ns0:is>
      </ns0:c>
      <ns0:c r="E1484" t="inlineStr">
        <ns0:is>
          <ns0:t>gemini-2.5-flash-nothinking</ns0:t>
        </ns0:is>
      </ns0:c>
      <ns0:c r="F1484" t="inlineStr">
        <ns0:is>
          <ns0:t>E0107</ns0:t>
        </ns0:is>
      </ns0:c>
      <ns0:c r="G1484" t="n">
        <ns0:v>0</ns0:v>
      </ns0:c>
      <ns0:c r="H1484" t="n">
        <ns0:v>2361</ns0:v>
      </ns0:c>
      <ns0:c r="I1484" t="n">
        <ns0:v>316</ns0:v>
      </ns0:c>
      <ns0:c r="J1484" t="n">
        <ns0:v>2677</ns0:v>
      </ns0:c>
      <ns0:c r="K1484" t="n">
        <ns0:v>3</ns0:v>
      </ns0:c>
      <ns0:c r="L1484" t="n">
        <ns0:v>1</ns0:v>
      </ns0:c>
      <ns0:c r="M1484" t="n">
        <ns0:v>177225</ns0:v>
      </ns0:c>
      <ns0:c r="N1484" t="n">
        <ns0:v>4459</ns0:v>
      </ns0:c>
      <ns0:c r="O1484" t="n">
        <ns0:v>181684</ns0:v>
      </ns0:c>
      <ns0:c r="P1484" t="n">
        <ns0:v>17</ns0:v>
      </ns0:c>
      <ns0:c r="Q1484">
        <ns0:f>IF(AND(L1484=1,O1484*Calculations!$B$2&lt;=Calculations!$B$10*Calculations!$B$4),1,0)</ns0:f>
        <ns0:v>0</ns0:v>
      </ns0:c>
      <ns0:c r="R1484">
        <ns0:f>IF(AND(L1484=1,O1484*Calculations!$B$2&lt;=Calculations!$B$11*Calculations!$B$4),1,0)</ns0:f>
        <ns0:v>0</ns0:v>
      </ns0:c>
    </ns0:row>
    <ns0:row r="1485">
      <ns0:c r="A1485" t="inlineStr">
        <ns0:is>
          <ns0:t>case_1484</ns0:t>
        </ns0:is>
      </ns0:c>
      <ns0:c r="B1485" t="inlineStr">
        <ns0:is>
          <ns0:t>function_0425</ns0:t>
        </ns0:is>
      </ns0:c>
      <ns0:c r="C1485" t="inlineStr">
        <ns0:is>
          <ns0:t>run_013</ns0:t>
        </ns0:is>
      </ns0:c>
      <ns0:c r="D1485" t="inlineStr">
        <ns0:is>
          <ns0:t>rand</ns0:t>
        </ns0:is>
      </ns0:c>
      <ns0:c r="E1485" t="inlineStr">
        <ns0:is>
          <ns0:t>gemini-2.5-flash-nothinking</ns0:t>
        </ns0:is>
      </ns0:c>
      <ns0:c r="F1485" t="inlineStr">
        <ns0:is>
          <ns0:t>E0107,E0433</ns0:t>
        </ns0:is>
      </ns0:c>
      <ns0:c r="G1485" t="n">
        <ns0:v>0</ns0:v>
      </ns0:c>
      <ns0:c r="H1485" t="n">
        <ns0:v>2543</ns0:v>
      </ns0:c>
      <ns0:c r="I1485" t="n">
        <ns0:v>366</ns0:v>
      </ns0:c>
      <ns0:c r="J1485" t="n">
        <ns0:v>2909</ns0:v>
      </ns0:c>
      <ns0:c r="K1485" t="n">
        <ns0:v>3</ns0:v>
      </ns0:c>
      <ns0:c r="L1485" t="n">
        <ns0:v>1</ns0:v>
      </ns0:c>
      <ns0:c r="M1485" t="n">
        <ns0:v>82569</ns0:v>
      </ns0:c>
      <ns0:c r="N1485" t="n">
        <ns0:v>2929</ns0:v>
      </ns0:c>
      <ns0:c r="O1485" t="n">
        <ns0:v>85498</ns0:v>
      </ns0:c>
      <ns0:c r="P1485" t="n">
        <ns0:v>10</ns0:v>
      </ns0:c>
      <ns0:c r="Q1485">
        <ns0:f>IF(AND(L1485=1,O1485*Calculations!$B$2&lt;=Calculations!$B$10*Calculations!$B$4),1,0)</ns0:f>
        <ns0:v>0</ns0:v>
      </ns0:c>
      <ns0:c r="R1485">
        <ns0:f>IF(AND(L1485=1,O1485*Calculations!$B$2&lt;=Calculations!$B$11*Calculations!$B$4),1,0)</ns0:f>
        <ns0:v>0</ns0:v>
      </ns0:c>
    </ns0:row>
    <ns0:row r="1486">
      <ns0:c r="A1486" t="inlineStr">
        <ns0:is>
          <ns0:t>case_1485</ns0:t>
        </ns0:is>
      </ns0:c>
      <ns0:c r="B1486" t="inlineStr">
        <ns0:is>
          <ns0:t>function_0425</ns0:t>
        </ns0:is>
      </ns0:c>
      <ns0:c r="C1486" t="inlineStr">
        <ns0:is>
          <ns0:t>run_013</ns0:t>
        </ns0:is>
      </ns0:c>
      <ns0:c r="D1486" t="inlineStr">
        <ns0:is>
          <ns0:t>rand</ns0:t>
        </ns0:is>
      </ns0:c>
      <ns0:c r="E1486" t="inlineStr">
        <ns0:is>
          <ns0:t>gemini-2.5-flash-nothinking</ns0:t>
        </ns0:is>
      </ns0:c>
      <ns0:c r="F1486" t="inlineStr">
        <ns0:is>
          <ns0:t>E0308</ns0:t>
        </ns0:is>
      </ns0:c>
      <ns0:c r="G1486" t="n">
        <ns0:v>1</ns0:v>
      </ns0:c>
      <ns0:c r="H1486" t="n">
        <ns0:v>647</ns0:v>
      </ns0:c>
      <ns0:c r="I1486" t="n">
        <ns0:v>83</ns0:v>
      </ns0:c>
      <ns0:c r="J1486" t="n">
        <ns0:v>730</ns0:v>
      </ns0:c>
      <ns0:c r="K1486" t="n">
        <ns0:v>1</ns0:v>
      </ns0:c>
      <ns0:c r="L1486" t="n">
        <ns0:v>1</ns0:v>
      </ns0:c>
      <ns0:c r="M1486" t="n">
        <ns0:v>38114</ns0:v>
      </ns0:c>
      <ns0:c r="N1486" t="n">
        <ns0:v>370</ns0:v>
      </ns0:c>
      <ns0:c r="O1486" t="n">
        <ns0:v>38484</ns0:v>
      </ns0:c>
      <ns0:c r="P1486" t="n">
        <ns0:v>4</ns0:v>
      </ns0:c>
      <ns0:c r="Q1486">
        <ns0:f>IF(AND(L1486=1,O1486*Calculations!$B$2&lt;=Calculations!$B$10*Calculations!$B$4),1,0)</ns0:f>
        <ns0:v>0</ns0:v>
      </ns0:c>
      <ns0:c r="R1486">
        <ns0:f>IF(AND(L1486=1,O1486*Calculations!$B$2&lt;=Calculations!$B$11*Calculations!$B$4),1,0)</ns0:f>
        <ns0:v>1</ns0:v>
      </ns0:c>
    </ns0:row>
    <ns0:row r="1487">
      <ns0:c r="A1487" t="inlineStr">
        <ns0:is>
          <ns0:t>case_1486</ns0:t>
        </ns0:is>
      </ns0:c>
      <ns0:c r="B1487" t="inlineStr">
        <ns0:is>
          <ns0:t>function_0426</ns0:t>
        </ns0:is>
      </ns0:c>
      <ns0:c r="C1487" t="inlineStr">
        <ns0:is>
          <ns0:t>run_013</ns0:t>
        </ns0:is>
      </ns0:c>
      <ns0:c r="D1487" t="inlineStr">
        <ns0:is>
          <ns0:t>rand</ns0:t>
        </ns0:is>
      </ns0:c>
      <ns0:c r="E1487" t="inlineStr">
        <ns0:is>
          <ns0:t>gemini-2.5-flash-nothinking</ns0:t>
        </ns0:is>
      </ns0:c>
      <ns0:c r="F1487" t="inlineStr">
        <ns0:is>
          <ns0:t>E0433,E0562,E0603</ns0:t>
        </ns0:is>
      </ns0:c>
      <ns0:c r="G1487" t="n">
        <ns0:v>0</ns0:v>
      </ns0:c>
      <ns0:c r="H1487" t="n">
        <ns0:v>6298</ns0:v>
      </ns0:c>
      <ns0:c r="I1487" t="n">
        <ns0:v>523</ns0:v>
      </ns0:c>
      <ns0:c r="J1487" t="n">
        <ns0:v>6821</ns0:v>
      </ns0:c>
      <ns0:c r="K1487" t="n">
        <ns0:v>3</ns0:v>
      </ns0:c>
      <ns0:c r="L1487" t="n">
        <ns0:v>1</ns0:v>
      </ns0:c>
      <ns0:c r="M1487" t="n">
        <ns0:v>44793</ns0:v>
      </ns0:c>
      <ns0:c r="N1487" t="n">
        <ns0:v>1379</ns0:v>
      </ns0:c>
      <ns0:c r="O1487" t="n">
        <ns0:v>46172</ns0:v>
      </ns0:c>
      <ns0:c r="P1487" t="n">
        <ns0:v>5</ns0:v>
      </ns0:c>
      <ns0:c r="Q1487">
        <ns0:f>IF(AND(L1487=1,O1487*Calculations!$B$2&lt;=Calculations!$B$10*Calculations!$B$4),1,0)</ns0:f>
        <ns0:v>0</ns0:v>
      </ns0:c>
      <ns0:c r="R1487">
        <ns0:f>IF(AND(L1487=1,O1487*Calculations!$B$2&lt;=Calculations!$B$11*Calculations!$B$4),1,0)</ns0:f>
        <ns0:v>1</ns0:v>
      </ns0:c>
    </ns0:row>
    <ns0:row r="1488">
      <ns0:c r="A1488" t="inlineStr">
        <ns0:is>
          <ns0:t>case_1487</ns0:t>
        </ns0:is>
      </ns0:c>
      <ns0:c r="B1488" t="inlineStr">
        <ns0:is>
          <ns0:t>function_0426</ns0:t>
        </ns0:is>
      </ns0:c>
      <ns0:c r="C1488" t="inlineStr">
        <ns0:is>
          <ns0:t>run_013</ns0:t>
        </ns0:is>
      </ns0:c>
      <ns0:c r="D1488" t="inlineStr">
        <ns0:is>
          <ns0:t>rand</ns0:t>
        </ns0:is>
      </ns0:c>
      <ns0:c r="E1488" t="inlineStr">
        <ns0:is>
          <ns0:t>gemini-2.5-flash-nothinking</ns0:t>
        </ns0:is>
      </ns0:c>
      <ns0:c r="F1488" t="inlineStr">
        <ns0:is>
          <ns0:t>E0432</ns0:t>
        </ns0:is>
      </ns0:c>
      <ns0:c r="G1488" t="n">
        <ns0:v>1</ns0:v>
      </ns0:c>
      <ns0:c r="H1488" t="n">
        <ns0:v>0</ns0:v>
      </ns0:c>
      <ns0:c r="I1488" t="n">
        <ns0:v>0</ns0:v>
      </ns0:c>
      <ns0:c r="J1488" t="n">
        <ns0:v>0</ns0:v>
      </ns0:c>
      <ns0:c r="K1488" t="n">
        <ns0:v>0</ns0:v>
      </ns0:c>
      <ns0:c r="L1488" t="n">
        <ns0:v>1</ns0:v>
      </ns0:c>
      <ns0:c r="M1488" t="n">
        <ns0:v>20364</ns0:v>
      </ns0:c>
      <ns0:c r="N1488" t="n">
        <ns0:v>427</ns0:v>
      </ns0:c>
      <ns0:c r="O1488" t="n">
        <ns0:v>20791</ns0:v>
      </ns0:c>
      <ns0:c r="P1488" t="n">
        <ns0:v>3</ns0:v>
      </ns0:c>
      <ns0:c r="Q1488">
        <ns0:f>IF(AND(L1488=1,O1488*Calculations!$B$2&lt;=Calculations!$B$10*Calculations!$B$4),1,0)</ns0:f>
        <ns0:v>1</ns0:v>
      </ns0:c>
      <ns0:c r="R1488">
        <ns0:f>IF(AND(L1488=1,O1488*Calculations!$B$2&lt;=Calculations!$B$11*Calculations!$B$4),1,0)</ns0:f>
        <ns0:v>1</ns0:v>
      </ns0:c>
    </ns0:row>
    <ns0:row r="1489">
      <ns0:c r="A1489" t="inlineStr">
        <ns0:is>
          <ns0:t>case_1488</ns0:t>
        </ns0:is>
      </ns0:c>
      <ns0:c r="B1489" t="inlineStr">
        <ns0:is>
          <ns0:t>function_0427</ns0:t>
        </ns0:is>
      </ns0:c>
      <ns0:c r="C1489" t="inlineStr">
        <ns0:is>
          <ns0:t>run_013</ns0:t>
        </ns0:is>
      </ns0:c>
      <ns0:c r="D1489" t="inlineStr">
        <ns0:is>
          <ns0:t>rand</ns0:t>
        </ns0:is>
      </ns0:c>
      <ns0:c r="E1489" t="inlineStr">
        <ns0:is>
          <ns0:t>gemini-2.5-flash-nothinking</ns0:t>
        </ns0:is>
      </ns0:c>
      <ns0:c r="F1489" t="inlineStr">
        <ns0:is>
          <ns0:t>E0433</ns0:t>
        </ns0:is>
      </ns0:c>
      <ns0:c r="G1489" t="n">
        <ns0:v>1</ns0:v>
      </ns0:c>
      <ns0:c r="H1489" t="n">
        <ns0:v>1205</ns0:v>
      </ns0:c>
      <ns0:c r="I1489" t="n">
        <ns0:v>75</ns0:v>
      </ns0:c>
      <ns0:c r="J1489" t="n">
        <ns0:v>1280</ns0:v>
      </ns0:c>
      <ns0:c r="K1489" t="n">
        <ns0:v>1</ns0:v>
      </ns0:c>
      <ns0:c r="L1489" t="n">
        <ns0:v>1</ns0:v>
      </ns0:c>
      <ns0:c r="M1489" t="n">
        <ns0:v>51693</ns0:v>
      </ns0:c>
      <ns0:c r="N1489" t="n">
        <ns0:v>1579</ns0:v>
      </ns0:c>
      <ns0:c r="O1489" t="n">
        <ns0:v>53272</ns0:v>
      </ns0:c>
      <ns0:c r="P1489" t="n">
        <ns0:v>7</ns0:v>
      </ns0:c>
      <ns0:c r="Q1489">
        <ns0:f>IF(AND(L1489=1,O1489*Calculations!$B$2&lt;=Calculations!$B$10*Calculations!$B$4),1,0)</ns0:f>
        <ns0:v>0</ns0:v>
      </ns0:c>
      <ns0:c r="R1489">
        <ns0:f>IF(AND(L1489=1,O1489*Calculations!$B$2&lt;=Calculations!$B$11*Calculations!$B$4),1,0)</ns0:f>
        <ns0:v>0</ns0:v>
      </ns0:c>
    </ns0:row>
    <ns0:row r="1490">
      <ns0:c r="A1490" t="inlineStr">
        <ns0:is>
          <ns0:t>case_1489</ns0:t>
        </ns0:is>
      </ns0:c>
      <ns0:c r="B1490" t="inlineStr">
        <ns0:is>
          <ns0:t>function_0427</ns0:t>
        </ns0:is>
      </ns0:c>
      <ns0:c r="C1490" t="inlineStr">
        <ns0:is>
          <ns0:t>run_013</ns0:t>
        </ns0:is>
      </ns0:c>
      <ns0:c r="D1490" t="inlineStr">
        <ns0:is>
          <ns0:t>rand</ns0:t>
        </ns0:is>
      </ns0:c>
      <ns0:c r="E1490" t="inlineStr">
        <ns0:is>
          <ns0:t>gemini-2.5-flash-nothinking</ns0:t>
        </ns0:is>
      </ns0:c>
      <ns0:c r="F1490" t="inlineStr">
        <ns0:is>
          <ns0:t>E0308</ns0:t>
        </ns0:is>
      </ns0:c>
      <ns0:c r="G1490" t="n">
        <ns0:v>1</ns0:v>
      </ns0:c>
      <ns0:c r="H1490" t="n">
        <ns0:v>644</ns0:v>
      </ns0:c>
      <ns0:c r="I1490" t="n">
        <ns0:v>75</ns0:v>
      </ns0:c>
      <ns0:c r="J1490" t="n">
        <ns0:v>719</ns0:v>
      </ns0:c>
      <ns0:c r="K1490" t="n">
        <ns0:v>1</ns0:v>
      </ns0:c>
      <ns0:c r="L1490" t="n">
        <ns0:v>1</ns0:v>
      </ns0:c>
      <ns0:c r="M1490" t="n">
        <ns0:v>20634</ns0:v>
      </ns0:c>
      <ns0:c r="N1490" t="n">
        <ns0:v>236</ns0:v>
      </ns0:c>
      <ns0:c r="O1490" t="n">
        <ns0:v>20870</ns0:v>
      </ns0:c>
      <ns0:c r="P1490" t="n">
        <ns0:v>3</ns0:v>
      </ns0:c>
      <ns0:c r="Q1490">
        <ns0:f>IF(AND(L1490=1,O1490*Calculations!$B$2&lt;=Calculations!$B$10*Calculations!$B$4),1,0)</ns0:f>
        <ns0:v>1</ns0:v>
      </ns0:c>
      <ns0:c r="R1490">
        <ns0:f>IF(AND(L1490=1,O1490*Calculations!$B$2&lt;=Calculations!$B$11*Calculations!$B$4),1,0)</ns0:f>
        <ns0:v>1</ns0:v>
      </ns0:c>
    </ns0:row>
    <ns0:row r="1491">
      <ns0:c r="A1491" t="inlineStr">
        <ns0:is>
          <ns0:t>case_1490</ns0:t>
        </ns0:is>
      </ns0:c>
      <ns0:c r="B1491" t="inlineStr">
        <ns0:is>
          <ns0:t>function_0428</ns0:t>
        </ns0:is>
      </ns0:c>
      <ns0:c r="C1491" t="inlineStr">
        <ns0:is>
          <ns0:t>run_013</ns0:t>
        </ns0:is>
      </ns0:c>
      <ns0:c r="D1491" t="inlineStr">
        <ns0:is>
          <ns0:t>rand</ns0:t>
        </ns0:is>
      </ns0:c>
      <ns0:c r="E1491" t="inlineStr">
        <ns0:is>
          <ns0:t>gemini-2.5-flash-nothinking</ns0:t>
        </ns0:is>
      </ns0:c>
      <ns0:c r="F1491" t="inlineStr">
        <ns0:is>
          <ns0:t>E0433</ns0:t>
        </ns0:is>
      </ns0:c>
      <ns0:c r="G1491" t="n">
        <ns0:v>1</ns0:v>
      </ns0:c>
      <ns0:c r="H1491" t="n">
        <ns0:v>0</ns0:v>
      </ns0:c>
      <ns0:c r="I1491" t="n">
        <ns0:v>0</ns0:v>
      </ns0:c>
      <ns0:c r="J1491" t="n">
        <ns0:v>0</ns0:v>
      </ns0:c>
      <ns0:c r="K1491" t="n">
        <ns0:v>0</ns0:v>
      </ns0:c>
      <ns0:c r="L1491" t="n">
        <ns0:v>1</ns0:v>
      </ns0:c>
      <ns0:c r="M1491" t="n">
        <ns0:v>45569</ns0:v>
      </ns0:c>
      <ns0:c r="N1491" t="n">
        <ns0:v>565</ns0:v>
      </ns0:c>
      <ns0:c r="O1491" t="n">
        <ns0:v>46134</ns0:v>
      </ns0:c>
      <ns0:c r="P1491" t="n">
        <ns0:v>6</ns0:v>
      </ns0:c>
      <ns0:c r="Q1491">
        <ns0:f>IF(AND(L1491=1,O1491*Calculations!$B$2&lt;=Calculations!$B$10*Calculations!$B$4),1,0)</ns0:f>
        <ns0:v>0</ns0:v>
      </ns0:c>
      <ns0:c r="R1491">
        <ns0:f>IF(AND(L1491=1,O1491*Calculations!$B$2&lt;=Calculations!$B$11*Calculations!$B$4),1,0)</ns0:f>
        <ns0:v>1</ns0:v>
      </ns0:c>
    </ns0:row>
    <ns0:row r="1492">
      <ns0:c r="A1492" t="inlineStr">
        <ns0:is>
          <ns0:t>case_1491</ns0:t>
        </ns0:is>
      </ns0:c>
      <ns0:c r="B1492" t="inlineStr">
        <ns0:is>
          <ns0:t>function_0428</ns0:t>
        </ns0:is>
      </ns0:c>
      <ns0:c r="C1492" t="inlineStr">
        <ns0:is>
          <ns0:t>run_013</ns0:t>
        </ns0:is>
      </ns0:c>
      <ns0:c r="D1492" t="inlineStr">
        <ns0:is>
          <ns0:t>rand</ns0:t>
        </ns0:is>
      </ns0:c>
      <ns0:c r="E1492" t="inlineStr">
        <ns0:is>
          <ns0:t>gemini-2.5-flash-nothinking</ns0:t>
        </ns0:is>
      </ns0:c>
      <ns0:c r="F1492" t="inlineStr">
        <ns0:is>
          <ns0:t>E0107,E0252</ns0:t>
        </ns0:is>
      </ns0:c>
      <ns0:c r="G1492" t="n">
        <ns0:v>0</ns0:v>
      </ns0:c>
      <ns0:c r="H1492" t="n">
        <ns0:v>2557</ns0:v>
      </ns0:c>
      <ns0:c r="I1492" t="n">
        <ns0:v>339</ns0:v>
      </ns0:c>
      <ns0:c r="J1492" t="n">
        <ns0:v>2896</ns0:v>
      </ns0:c>
      <ns0:c r="K1492" t="n">
        <ns0:v>3</ns0:v>
      </ns0:c>
      <ns0:c r="L1492" t="n">
        <ns0:v>1</ns0:v>
      </ns0:c>
      <ns0:c r="M1492" t="n">
        <ns0:v>94335</ns0:v>
      </ns0:c>
      <ns0:c r="N1492" t="n">
        <ns0:v>1587</ns0:v>
      </ns0:c>
      <ns0:c r="O1492" t="n">
        <ns0:v>95922</ns0:v>
      </ns0:c>
      <ns0:c r="P1492" t="n">
        <ns0:v>7</ns0:v>
      </ns0:c>
      <ns0:c r="Q1492">
        <ns0:f>IF(AND(L1492=1,O1492*Calculations!$B$2&lt;=Calculations!$B$10*Calculations!$B$4),1,0)</ns0:f>
        <ns0:v>0</ns0:v>
      </ns0:c>
      <ns0:c r="R1492">
        <ns0:f>IF(AND(L1492=1,O1492*Calculations!$B$2&lt;=Calculations!$B$11*Calculations!$B$4),1,0)</ns0:f>
        <ns0:v>0</ns0:v>
      </ns0:c>
    </ns0:row>
    <ns0:row r="1493">
      <ns0:c r="A1493" t="inlineStr">
        <ns0:is>
          <ns0:t>case_1492</ns0:t>
        </ns0:is>
      </ns0:c>
      <ns0:c r="B1493" t="inlineStr">
        <ns0:is>
          <ns0:t>function_0429</ns0:t>
        </ns0:is>
      </ns0:c>
      <ns0:c r="C1493" t="inlineStr">
        <ns0:is>
          <ns0:t>run_013</ns0:t>
        </ns0:is>
      </ns0:c>
      <ns0:c r="D1493" t="inlineStr">
        <ns0:is>
          <ns0:t>rand</ns0:t>
        </ns0:is>
      </ns0:c>
      <ns0:c r="E1493" t="inlineStr">
        <ns0:is>
          <ns0:t>gemini-2.5-flash-nothinking</ns0:t>
        </ns0:is>
      </ns0:c>
      <ns0:c r="F1493" t="inlineStr">
        <ns0:is>
          <ns0:t>E0433</ns0:t>
        </ns0:is>
      </ns0:c>
      <ns0:c r="G1493" t="n">
        <ns0:v>1</ns0:v>
      </ns0:c>
      <ns0:c r="H1493" t="n">
        <ns0:v>1181</ns0:v>
      </ns0:c>
      <ns0:c r="I1493" t="n">
        <ns0:v>75</ns0:v>
      </ns0:c>
      <ns0:c r="J1493" t="n">
        <ns0:v>1256</ns0:v>
      </ns0:c>
      <ns0:c r="K1493" t="n">
        <ns0:v>1</ns0:v>
      </ns0:c>
      <ns0:c r="L1493" t="n">
        <ns0:v>1</ns0:v>
      </ns0:c>
      <ns0:c r="M1493" t="n">
        <ns0:v>103979</ns0:v>
      </ns0:c>
      <ns0:c r="N1493" t="n">
        <ns0:v>899</ns0:v>
      </ns0:c>
      <ns0:c r="O1493" t="n">
        <ns0:v>104878</ns0:v>
      </ns0:c>
      <ns0:c r="P1493" t="n">
        <ns0:v>10</ns0:v>
      </ns0:c>
      <ns0:c r="Q1493">
        <ns0:f>IF(AND(L1493=1,O1493*Calculations!$B$2&lt;=Calculations!$B$10*Calculations!$B$4),1,0)</ns0:f>
        <ns0:v>0</ns0:v>
      </ns0:c>
      <ns0:c r="R1493">
        <ns0:f>IF(AND(L1493=1,O1493*Calculations!$B$2&lt;=Calculations!$B$11*Calculations!$B$4),1,0)</ns0:f>
        <ns0:v>0</ns0:v>
      </ns0:c>
    </ns0:row>
    <ns0:row r="1494">
      <ns0:c r="A1494" t="inlineStr">
        <ns0:is>
          <ns0:t>case_1493</ns0:t>
        </ns0:is>
      </ns0:c>
      <ns0:c r="B1494" t="inlineStr">
        <ns0:is>
          <ns0:t>function_0429</ns0:t>
        </ns0:is>
      </ns0:c>
      <ns0:c r="C1494" t="inlineStr">
        <ns0:is>
          <ns0:t>run_013</ns0:t>
        </ns0:is>
      </ns0:c>
      <ns0:c r="D1494" t="inlineStr">
        <ns0:is>
          <ns0:t>rand</ns0:t>
        </ns0:is>
      </ns0:c>
      <ns0:c r="E1494" t="inlineStr">
        <ns0:is>
          <ns0:t>gemini-2.5-flash-nothinking</ns0:t>
        </ns0:is>
      </ns0:c>
      <ns0:c r="F1494" t="inlineStr">
        <ns0:is>
          <ns0:t>E0107</ns0:t>
        </ns0:is>
      </ns0:c>
      <ns0:c r="G1494" t="n">
        <ns0:v>1</ns0:v>
      </ns0:c>
      <ns0:c r="H1494" t="n">
        <ns0:v>1470</ns0:v>
      </ns0:c>
      <ns0:c r="I1494" t="n">
        <ns0:v>230</ns0:v>
      </ns0:c>
      <ns0:c r="J1494" t="n">
        <ns0:v>1700</ns0:v>
      </ns0:c>
      <ns0:c r="K1494" t="n">
        <ns0:v>2</ns0:v>
      </ns0:c>
      <ns0:c r="L1494" t="n">
        <ns0:v>1</ns0:v>
      </ns0:c>
      <ns0:c r="M1494" t="n">
        <ns0:v>43927</ns0:v>
      </ns0:c>
      <ns0:c r="N1494" t="n">
        <ns0:v>605</ns0:v>
      </ns0:c>
      <ns0:c r="O1494" t="n">
        <ns0:v>44532</ns0:v>
      </ns0:c>
      <ns0:c r="P1494" t="n">
        <ns0:v>6</ns0:v>
      </ns0:c>
      <ns0:c r="Q1494">
        <ns0:f>IF(AND(L1494=1,O1494*Calculations!$B$2&lt;=Calculations!$B$10*Calculations!$B$4),1,0)</ns0:f>
        <ns0:v>0</ns0:v>
      </ns0:c>
      <ns0:c r="R1494">
        <ns0:f>IF(AND(L1494=1,O1494*Calculations!$B$2&lt;=Calculations!$B$11*Calculations!$B$4),1,0)</ns0:f>
        <ns0:v>1</ns0:v>
      </ns0:c>
    </ns0:row>
    <ns0:row r="1495">
      <ns0:c r="A1495" t="inlineStr">
        <ns0:is>
          <ns0:t>case_1494</ns0:t>
        </ns0:is>
      </ns0:c>
      <ns0:c r="B1495" t="inlineStr">
        <ns0:is>
          <ns0:t>function_0430</ns0:t>
        </ns0:is>
      </ns0:c>
      <ns0:c r="C1495" t="inlineStr">
        <ns0:is>
          <ns0:t>run_013</ns0:t>
        </ns0:is>
      </ns0:c>
      <ns0:c r="D1495" t="inlineStr">
        <ns0:is>
          <ns0:t>rand</ns0:t>
        </ns0:is>
      </ns0:c>
      <ns0:c r="E1495" t="inlineStr">
        <ns0:is>
          <ns0:t>gemini-2.5-flash-nothinking</ns0:t>
        </ns0:is>
      </ns0:c>
      <ns0:c r="F1495" t="inlineStr">
        <ns0:is>
          <ns0:t>E0433</ns0:t>
        </ns0:is>
      </ns0:c>
      <ns0:c r="G1495" t="n">
        <ns0:v>1</ns0:v>
      </ns0:c>
      <ns0:c r="H1495" t="n">
        <ns0:v>0</ns0:v>
      </ns0:c>
      <ns0:c r="I1495" t="n">
        <ns0:v>0</ns0:v>
      </ns0:c>
      <ns0:c r="J1495" t="n">
        <ns0:v>0</ns0:v>
      </ns0:c>
      <ns0:c r="K1495" t="n">
        <ns0:v>0</ns0:v>
      </ns0:c>
      <ns0:c r="L1495" t="n">
        <ns0:v>1</ns0:v>
      </ns0:c>
      <ns0:c r="M1495" t="n">
        <ns0:v>45042</ns0:v>
      </ns0:c>
      <ns0:c r="N1495" t="n">
        <ns0:v>509</ns0:v>
      </ns0:c>
      <ns0:c r="O1495" t="n">
        <ns0:v>45551</ns0:v>
      </ns0:c>
      <ns0:c r="P1495" t="n">
        <ns0:v>4</ns0:v>
      </ns0:c>
      <ns0:c r="Q1495">
        <ns0:f>IF(AND(L1495=1,O1495*Calculations!$B$2&lt;=Calculations!$B$10*Calculations!$B$4),1,0)</ns0:f>
        <ns0:v>0</ns0:v>
      </ns0:c>
      <ns0:c r="R1495">
        <ns0:f>IF(AND(L1495=1,O1495*Calculations!$B$2&lt;=Calculations!$B$11*Calculations!$B$4),1,0)</ns0:f>
        <ns0:v>1</ns0:v>
      </ns0:c>
    </ns0:row>
    <ns0:row r="1496">
      <ns0:c r="A1496" t="inlineStr">
        <ns0:is>
          <ns0:t>case_1495</ns0:t>
        </ns0:is>
      </ns0:c>
      <ns0:c r="B1496" t="inlineStr">
        <ns0:is>
          <ns0:t>function_0430</ns0:t>
        </ns0:is>
      </ns0:c>
      <ns0:c r="C1496" t="inlineStr">
        <ns0:is>
          <ns0:t>run_013</ns0:t>
        </ns0:is>
      </ns0:c>
      <ns0:c r="D1496" t="inlineStr">
        <ns0:is>
          <ns0:t>rand</ns0:t>
        </ns0:is>
      </ns0:c>
      <ns0:c r="E1496" t="inlineStr">
        <ns0:is>
          <ns0:t>gemini-2.5-flash-nothinking</ns0:t>
        </ns0:is>
      </ns0:c>
      <ns0:c r="F1496" t="inlineStr">
        <ns0:is>
          <ns0:t>E0432</ns0:t>
        </ns0:is>
      </ns0:c>
      <ns0:c r="G1496" t="n">
        <ns0:v>1</ns0:v>
      </ns0:c>
      <ns0:c r="H1496" t="n">
        <ns0:v>0</ns0:v>
      </ns0:c>
      <ns0:c r="I1496" t="n">
        <ns0:v>0</ns0:v>
      </ns0:c>
      <ns0:c r="J1496" t="n">
        <ns0:v>0</ns0:v>
      </ns0:c>
      <ns0:c r="K1496" t="n">
        <ns0:v>0</ns0:v>
      </ns0:c>
      <ns0:c r="L1496" t="n">
        <ns0:v>1</ns0:v>
      </ns0:c>
      <ns0:c r="M1496" t="n">
        <ns0:v>20353</ns0:v>
      </ns0:c>
      <ns0:c r="N1496" t="n">
        <ns0:v>432</ns0:v>
      </ns0:c>
      <ns0:c r="O1496" t="n">
        <ns0:v>20785</ns0:v>
      </ns0:c>
      <ns0:c r="P1496" t="n">
        <ns0:v>3</ns0:v>
      </ns0:c>
      <ns0:c r="Q1496">
        <ns0:f>IF(AND(L1496=1,O1496*Calculations!$B$2&lt;=Calculations!$B$10*Calculations!$B$4),1,0)</ns0:f>
        <ns0:v>1</ns0:v>
      </ns0:c>
      <ns0:c r="R1496">
        <ns0:f>IF(AND(L1496=1,O1496*Calculations!$B$2&lt;=Calculations!$B$11*Calculations!$B$4),1,0)</ns0:f>
        <ns0:v>1</ns0:v>
      </ns0:c>
    </ns0:row>
    <ns0:row r="1497">
      <ns0:c r="A1497" t="inlineStr">
        <ns0:is>
          <ns0:t>case_1496</ns0:t>
        </ns0:is>
      </ns0:c>
      <ns0:c r="B1497" t="inlineStr">
        <ns0:is>
          <ns0:t>function_0431</ns0:t>
        </ns0:is>
      </ns0:c>
      <ns0:c r="C1497" t="inlineStr">
        <ns0:is>
          <ns0:t>run_013</ns0:t>
        </ns0:is>
      </ns0:c>
      <ns0:c r="D1497" t="inlineStr">
        <ns0:is>
          <ns0:t>rand</ns0:t>
        </ns0:is>
      </ns0:c>
      <ns0:c r="E1497" t="inlineStr">
        <ns0:is>
          <ns0:t>gemini-2.5-flash-nothinking</ns0:t>
        </ns0:is>
      </ns0:c>
      <ns0:c r="F1497" t="inlineStr">
        <ns0:is>
          <ns0:t>E0433</ns0:t>
        </ns0:is>
      </ns0:c>
      <ns0:c r="G1497" t="n">
        <ns0:v>1</ns0:v>
      </ns0:c>
      <ns0:c r="H1497" t="n">
        <ns0:v>1536</ns0:v>
      </ns0:c>
      <ns0:c r="I1497" t="n">
        <ns0:v>86</ns0:v>
      </ns0:c>
      <ns0:c r="J1497" t="n">
        <ns0:v>1622</ns0:v>
      </ns0:c>
      <ns0:c r="K1497" t="n">
        <ns0:v>1</ns0:v>
      </ns0:c>
      <ns0:c r="L1497" t="n">
        <ns0:v>1</ns0:v>
      </ns0:c>
      <ns0:c r="M1497" t="n">
        <ns0:v>54637</ns0:v>
      </ns0:c>
      <ns0:c r="N1497" t="n">
        <ns0:v>571</ns0:v>
      </ns0:c>
      <ns0:c r="O1497" t="n">
        <ns0:v>55208</ns0:v>
      </ns0:c>
      <ns0:c r="P1497" t="n">
        <ns0:v>7</ns0:v>
      </ns0:c>
      <ns0:c r="Q1497">
        <ns0:f>IF(AND(L1497=1,O1497*Calculations!$B$2&lt;=Calculations!$B$10*Calculations!$B$4),1,0)</ns0:f>
        <ns0:v>0</ns0:v>
      </ns0:c>
      <ns0:c r="R1497">
        <ns0:f>IF(AND(L1497=1,O1497*Calculations!$B$2&lt;=Calculations!$B$11*Calculations!$B$4),1,0)</ns0:f>
        <ns0:v>0</ns0:v>
      </ns0:c>
    </ns0:row>
    <ns0:row r="1498">
      <ns0:c r="A1498" t="inlineStr">
        <ns0:is>
          <ns0:t>case_1497</ns0:t>
        </ns0:is>
      </ns0:c>
      <ns0:c r="B1498" t="inlineStr">
        <ns0:is>
          <ns0:t>function_0431</ns0:t>
        </ns0:is>
      </ns0:c>
      <ns0:c r="C1498" t="inlineStr">
        <ns0:is>
          <ns0:t>run_013</ns0:t>
        </ns0:is>
      </ns0:c>
      <ns0:c r="D1498" t="inlineStr">
        <ns0:is>
          <ns0:t>rand</ns0:t>
        </ns0:is>
      </ns0:c>
      <ns0:c r="E1498" t="inlineStr">
        <ns0:is>
          <ns0:t>gemini-2.5-flash-nothinking</ns0:t>
        </ns0:is>
      </ns0:c>
      <ns0:c r="F1498" t="inlineStr">
        <ns0:is>
          <ns0:t>E0107</ns0:t>
        </ns0:is>
      </ns0:c>
      <ns0:c r="G1498" t="n">
        <ns0:v>0</ns0:v>
      </ns0:c>
      <ns0:c r="H1498" t="n">
        <ns0:v>2366</ns0:v>
      </ns0:c>
      <ns0:c r="I1498" t="n">
        <ns0:v>324</ns0:v>
      </ns0:c>
      <ns0:c r="J1498" t="n">
        <ns0:v>2690</ns0:v>
      </ns0:c>
      <ns0:c r="K1498" t="n">
        <ns0:v>3</ns0:v>
      </ns0:c>
      <ns0:c r="L1498" t="n">
        <ns0:v>1</ns0:v>
      </ns0:c>
      <ns0:c r="M1498" t="n">
        <ns0:v>61852</ns0:v>
      </ns0:c>
      <ns0:c r="N1498" t="n">
        <ns0:v>1064</ns0:v>
      </ns0:c>
      <ns0:c r="O1498" t="n">
        <ns0:v>62916</ns0:v>
      </ns0:c>
      <ns0:c r="P1498" t="n">
        <ns0:v>6</ns0:v>
      </ns0:c>
      <ns0:c r="Q1498">
        <ns0:f>IF(AND(L1498=1,O1498*Calculations!$B$2&lt;=Calculations!$B$10*Calculations!$B$4),1,0)</ns0:f>
        <ns0:v>0</ns0:v>
      </ns0:c>
      <ns0:c r="R1498">
        <ns0:f>IF(AND(L1498=1,O1498*Calculations!$B$2&lt;=Calculations!$B$11*Calculations!$B$4),1,0)</ns0:f>
        <ns0:v>0</ns0:v>
      </ns0:c>
    </ns0:row>
    <ns0:row r="1499">
      <ns0:c r="A1499" t="inlineStr">
        <ns0:is>
          <ns0:t>case_1498</ns0:t>
        </ns0:is>
      </ns0:c>
      <ns0:c r="B1499" t="inlineStr">
        <ns0:is>
          <ns0:t>function_0432</ns0:t>
        </ns0:is>
      </ns0:c>
      <ns0:c r="C1499" t="inlineStr">
        <ns0:is>
          <ns0:t>run_013</ns0:t>
        </ns0:is>
      </ns0:c>
      <ns0:c r="D1499" t="inlineStr">
        <ns0:is>
          <ns0:t>rand</ns0:t>
        </ns0:is>
      </ns0:c>
      <ns0:c r="E1499" t="inlineStr">
        <ns0:is>
          <ns0:t>gemini-2.5-flash-nothinking</ns0:t>
        </ns0:is>
      </ns0:c>
      <ns0:c r="F1499" t="inlineStr">
        <ns0:is>
          <ns0:t>E0433</ns0:t>
        </ns0:is>
      </ns0:c>
      <ns0:c r="G1499" t="n">
        <ns0:v>1</ns0:v>
      </ns0:c>
      <ns0:c r="H1499" t="n">
        <ns0:v>1244</ns0:v>
      </ns0:c>
      <ns0:c r="I1499" t="n">
        <ns0:v>83</ns0:v>
      </ns0:c>
      <ns0:c r="J1499" t="n">
        <ns0:v>1327</ns0:v>
      </ns0:c>
      <ns0:c r="K1499" t="n">
        <ns0:v>1</ns0:v>
      </ns0:c>
      <ns0:c r="L1499" t="n">
        <ns0:v>1</ns0:v>
      </ns0:c>
      <ns0:c r="M1499" t="n">
        <ns0:v>36453</ns0:v>
      </ns0:c>
      <ns0:c r="N1499" t="n">
        <ns0:v>585</ns0:v>
      </ns0:c>
      <ns0:c r="O1499" t="n">
        <ns0:v>37038</ns0:v>
      </ns0:c>
      <ns0:c r="P1499" t="n">
        <ns0:v>5</ns0:v>
      </ns0:c>
      <ns0:c r="Q1499">
        <ns0:f>IF(AND(L1499=1,O1499*Calculations!$B$2&lt;=Calculations!$B$10*Calculations!$B$4),1,0)</ns0:f>
        <ns0:v>0</ns0:v>
      </ns0:c>
      <ns0:c r="R1499">
        <ns0:f>IF(AND(L1499=1,O1499*Calculations!$B$2&lt;=Calculations!$B$11*Calculations!$B$4),1,0)</ns0:f>
        <ns0:v>1</ns0:v>
      </ns0:c>
    </ns0:row>
    <ns0:row r="1500">
      <ns0:c r="A1500" t="inlineStr">
        <ns0:is>
          <ns0:t>case_1499</ns0:t>
        </ns0:is>
      </ns0:c>
      <ns0:c r="B1500" t="inlineStr">
        <ns0:is>
          <ns0:t>function_0432</ns0:t>
        </ns0:is>
      </ns0:c>
      <ns0:c r="C1500" t="inlineStr">
        <ns0:is>
          <ns0:t>run_013</ns0:t>
        </ns0:is>
      </ns0:c>
      <ns0:c r="D1500" t="inlineStr">
        <ns0:is>
          <ns0:t>rand</ns0:t>
        </ns0:is>
      </ns0:c>
      <ns0:c r="E1500" t="inlineStr">
        <ns0:is>
          <ns0:t>gemini-2.5-flash-nothinking</ns0:t>
        </ns0:is>
      </ns0:c>
      <ns0:c r="F1500" t="inlineStr">
        <ns0:is>
          <ns0:t>E0308</ns0:t>
        </ns0:is>
      </ns0:c>
      <ns0:c r="G1500" t="n">
        <ns0:v>1</ns0:v>
      </ns0:c>
      <ns0:c r="H1500" t="n">
        <ns0:v>662</ns0:v>
      </ns0:c>
      <ns0:c r="I1500" t="n">
        <ns0:v>87</ns0:v>
      </ns0:c>
      <ns0:c r="J1500" t="n">
        <ns0:v>749</ns0:v>
      </ns0:c>
      <ns0:c r="K1500" t="n">
        <ns0:v>1</ns0:v>
      </ns0:c>
      <ns0:c r="L1500" t="n">
        <ns0:v>1</ns0:v>
      </ns0:c>
      <ns0:c r="M1500" t="n">
        <ns0:v>20627</ns0:v>
      </ns0:c>
      <ns0:c r="N1500" t="n">
        <ns0:v>193</ns0:v>
      </ns0:c>
      <ns0:c r="O1500" t="n">
        <ns0:v>20820</ns0:v>
      </ns0:c>
      <ns0:c r="P1500" t="n">
        <ns0:v>3</ns0:v>
      </ns0:c>
      <ns0:c r="Q1500">
        <ns0:f>IF(AND(L1500=1,O1500*Calculations!$B$2&lt;=Calculations!$B$10*Calculations!$B$4),1,0)</ns0:f>
        <ns0:v>1</ns0:v>
      </ns0:c>
      <ns0:c r="R1500">
        <ns0:f>IF(AND(L1500=1,O1500*Calculations!$B$2&lt;=Calculations!$B$11*Calculations!$B$4),1,0)</ns0:f>
        <ns0:v>1</ns0:v>
      </ns0:c>
    </ns0:row>
    <ns0:row r="1501">
      <ns0:c r="A1501" t="inlineStr">
        <ns0:is>
          <ns0:t>case_1500</ns0:t>
        </ns0:is>
      </ns0:c>
      <ns0:c r="B1501" t="inlineStr">
        <ns0:is>
          <ns0:t>function_0433</ns0:t>
        </ns0:is>
      </ns0:c>
      <ns0:c r="C1501" t="inlineStr">
        <ns0:is>
          <ns0:t>run_013</ns0:t>
        </ns0:is>
      </ns0:c>
      <ns0:c r="D1501" t="inlineStr">
        <ns0:is>
          <ns0:t>rand</ns0:t>
        </ns0:is>
      </ns0:c>
      <ns0:c r="E1501" t="inlineStr">
        <ns0:is>
          <ns0:t>gemini-2.5-flash-nothinking</ns0:t>
        </ns0:is>
      </ns0:c>
      <ns0:c r="F1501" t="inlineStr">
        <ns0:is>
          <ns0:t>E0433</ns0:t>
        </ns0:is>
      </ns0:c>
      <ns0:c r="G1501" t="n">
        <ns0:v>1</ns0:v>
      </ns0:c>
      <ns0:c r="H1501" t="n">
        <ns0:v>2351</ns0:v>
      </ns0:c>
      <ns0:c r="I1501" t="n">
        <ns0:v>145</ns0:v>
      </ns0:c>
      <ns0:c r="J1501" t="n">
        <ns0:v>2496</ns0:v>
      </ns0:c>
      <ns0:c r="K1501" t="n">
        <ns0:v>2</ns0:v>
      </ns0:c>
      <ns0:c r="L1501" t="n">
        <ns0:v>1</ns0:v>
      </ns0:c>
      <ns0:c r="M1501" t="n">
        <ns0:v>42401</ns0:v>
      </ns0:c>
      <ns0:c r="N1501" t="n">
        <ns0:v>449</ns0:v>
      </ns0:c>
      <ns0:c r="O1501" t="n">
        <ns0:v>42850</ns0:v>
      </ns0:c>
      <ns0:c r="P1501" t="n">
        <ns0:v>6</ns0:v>
      </ns0:c>
      <ns0:c r="Q1501">
        <ns0:f>IF(AND(L1501=1,O1501*Calculations!$B$2&lt;=Calculations!$B$10*Calculations!$B$4),1,0)</ns0:f>
        <ns0:v>0</ns0:v>
      </ns0:c>
      <ns0:c r="R1501">
        <ns0:f>IF(AND(L1501=1,O1501*Calculations!$B$2&lt;=Calculations!$B$11*Calculations!$B$4),1,0)</ns0:f>
        <ns0:v>1</ns0:v>
      </ns0:c>
    </ns0:row>
    <ns0:row r="1502">
      <ns0:c r="A1502" t="inlineStr">
        <ns0:is>
          <ns0:t>case_1501</ns0:t>
        </ns0:is>
      </ns0:c>
      <ns0:c r="B1502" t="inlineStr">
        <ns0:is>
          <ns0:t>function_0433</ns0:t>
        </ns0:is>
      </ns0:c>
      <ns0:c r="C1502" t="inlineStr">
        <ns0:is>
          <ns0:t>run_013</ns0:t>
        </ns0:is>
      </ns0:c>
      <ns0:c r="D1502" t="inlineStr">
        <ns0:is>
          <ns0:t>rand</ns0:t>
        </ns0:is>
      </ns0:c>
      <ns0:c r="E1502" t="inlineStr">
        <ns0:is>
          <ns0:t>gemini-2.5-flash-nothinking</ns0:t>
        </ns0:is>
      </ns0:c>
      <ns0:c r="F1502" t="inlineStr">
        <ns0:is>
          <ns0:t>E0433</ns0:t>
        </ns0:is>
      </ns0:c>
      <ns0:c r="G1502" t="n">
        <ns0:v>1</ns0:v>
      </ns0:c>
      <ns0:c r="H1502" t="n">
        <ns0:v>1025</ns0:v>
      </ns0:c>
      <ns0:c r="I1502" t="n">
        <ns0:v>72</ns0:v>
      </ns0:c>
      <ns0:c r="J1502" t="n">
        <ns0:v>1097</ns0:v>
      </ns0:c>
      <ns0:c r="K1502" t="n">
        <ns0:v>1</ns0:v>
      </ns0:c>
      <ns0:c r="L1502" t="n">
        <ns0:v>1</ns0:v>
      </ns0:c>
      <ns0:c r="M1502" t="n">
        <ns0:v>35315</ns0:v>
      </ns0:c>
      <ns0:c r="N1502" t="n">
        <ns0:v>302</ns0:v>
      </ns0:c>
      <ns0:c r="O1502" t="n">
        <ns0:v>35617</ns0:v>
      </ns0:c>
      <ns0:c r="P1502" t="n">
        <ns0:v>5</ns0:v>
      </ns0:c>
      <ns0:c r="Q1502">
        <ns0:f>IF(AND(L1502=1,O1502*Calculations!$B$2&lt;=Calculations!$B$10*Calculations!$B$4),1,0)</ns0:f>
        <ns0:v>0</ns0:v>
      </ns0:c>
      <ns0:c r="R1502">
        <ns0:f>IF(AND(L1502=1,O1502*Calculations!$B$2&lt;=Calculations!$B$11*Calculations!$B$4),1,0)</ns0:f>
        <ns0:v>1</ns0:v>
      </ns0:c>
    </ns0:row>
    <ns0:row r="1503">
      <ns0:c r="A1503" t="inlineStr">
        <ns0:is>
          <ns0:t>case_1502</ns0:t>
        </ns0:is>
      </ns0:c>
      <ns0:c r="B1503" t="inlineStr">
        <ns0:is>
          <ns0:t>function_0434</ns0:t>
        </ns0:is>
      </ns0:c>
      <ns0:c r="C1503" t="inlineStr">
        <ns0:is>
          <ns0:t>run_013</ns0:t>
        </ns0:is>
      </ns0:c>
      <ns0:c r="D1503" t="inlineStr">
        <ns0:is>
          <ns0:t>rand</ns0:t>
        </ns0:is>
      </ns0:c>
      <ns0:c r="E1503" t="inlineStr">
        <ns0:is>
          <ns0:t>gemini-2.5-flash-nothinking</ns0:t>
        </ns0:is>
      </ns0:c>
      <ns0:c r="F1503" t="inlineStr">
        <ns0:is>
          <ns0:t>E0433</ns0:t>
        </ns0:is>
      </ns0:c>
      <ns0:c r="G1503" t="n">
        <ns0:v>1</ns0:v>
      </ns0:c>
      <ns0:c r="H1503" t="n">
        <ns0:v>1037</ns0:v>
      </ns0:c>
      <ns0:c r="I1503" t="n">
        <ns0:v>85</ns0:v>
      </ns0:c>
      <ns0:c r="J1503" t="n">
        <ns0:v>1122</ns0:v>
      </ns0:c>
      <ns0:c r="K1503" t="n">
        <ns0:v>1</ns0:v>
      </ns0:c>
      <ns0:c r="L1503" t="n">
        <ns0:v>1</ns0:v>
      </ns0:c>
      <ns0:c r="M1503" t="n">
        <ns0:v>43964</ns0:v>
      </ns0:c>
      <ns0:c r="N1503" t="n">
        <ns0:v>931</ns0:v>
      </ns0:c>
      <ns0:c r="O1503" t="n">
        <ns0:v>44895</ns0:v>
      </ns0:c>
      <ns0:c r="P1503" t="n">
        <ns0:v>6</ns0:v>
      </ns0:c>
      <ns0:c r="Q1503">
        <ns0:f>IF(AND(L1503=1,O1503*Calculations!$B$2&lt;=Calculations!$B$10*Calculations!$B$4),1,0)</ns0:f>
        <ns0:v>0</ns0:v>
      </ns0:c>
      <ns0:c r="R1503">
        <ns0:f>IF(AND(L1503=1,O1503*Calculations!$B$2&lt;=Calculations!$B$11*Calculations!$B$4),1,0)</ns0:f>
        <ns0:v>1</ns0:v>
      </ns0:c>
    </ns0:row>
    <ns0:row r="1504">
      <ns0:c r="A1504" t="inlineStr">
        <ns0:is>
          <ns0:t>case_1503</ns0:t>
        </ns0:is>
      </ns0:c>
      <ns0:c r="B1504" t="inlineStr">
        <ns0:is>
          <ns0:t>function_0434</ns0:t>
        </ns0:is>
      </ns0:c>
      <ns0:c r="C1504" t="inlineStr">
        <ns0:is>
          <ns0:t>run_013</ns0:t>
        </ns0:is>
      </ns0:c>
      <ns0:c r="D1504" t="inlineStr">
        <ns0:is>
          <ns0:t>rand</ns0:t>
        </ns0:is>
      </ns0:c>
      <ns0:c r="E1504" t="inlineStr">
        <ns0:is>
          <ns0:t>gemini-2.5-flash-nothinking</ns0:t>
        </ns0:is>
      </ns0:c>
      <ns0:c r="F1504" t="inlineStr">
        <ns0:is>
          <ns0:t>E0282</ns0:t>
        </ns0:is>
      </ns0:c>
      <ns0:c r="G1504" t="n">
        <ns0:v>1</ns0:v>
      </ns0:c>
      <ns0:c r="H1504" t="n">
        <ns0:v>563</ns0:v>
      </ns0:c>
      <ns0:c r="I1504" t="n">
        <ns0:v>76</ns0:v>
      </ns0:c>
      <ns0:c r="J1504" t="n">
        <ns0:v>639</ns0:v>
      </ns0:c>
      <ns0:c r="K1504" t="n">
        <ns0:v>1</ns0:v>
      </ns0:c>
      <ns0:c r="L1504" t="n">
        <ns0:v>0</ns0:v>
      </ns0:c>
      <ns0:c r="M1504" t="n">
        <ns0:v>28506</ns0:v>
      </ns0:c>
      <ns0:c r="N1504" t="n">
        <ns0:v>955</ns0:v>
      </ns0:c>
      <ns0:c r="O1504" t="n">
        <ns0:v>29461</ns0:v>
      </ns0:c>
      <ns0:c r="P1504" t="n">
        <ns0:v>4</ns0:v>
      </ns0:c>
      <ns0:c r="Q1504">
        <ns0:f>IF(AND(L1504=1,O1504*Calculations!$B$2&lt;=Calculations!$B$10*Calculations!$B$4),1,0)</ns0:f>
        <ns0:v>0</ns0:v>
      </ns0:c>
      <ns0:c r="R1504">
        <ns0:f>IF(AND(L1504=1,O1504*Calculations!$B$2&lt;=Calculations!$B$11*Calculations!$B$4),1,0)</ns0:f>
        <ns0:v>0</ns0:v>
      </ns0:c>
    </ns0:row>
    <ns0:row r="1505">
      <ns0:c r="A1505" t="inlineStr">
        <ns0:is>
          <ns0:t>case_1504</ns0:t>
        </ns0:is>
      </ns0:c>
      <ns0:c r="B1505" t="inlineStr">
        <ns0:is>
          <ns0:t>function_0435</ns0:t>
        </ns0:is>
      </ns0:c>
      <ns0:c r="C1505" t="inlineStr">
        <ns0:is>
          <ns0:t>run_013</ns0:t>
        </ns0:is>
      </ns0:c>
      <ns0:c r="D1505" t="inlineStr">
        <ns0:is>
          <ns0:t>rand</ns0:t>
        </ns0:is>
      </ns0:c>
      <ns0:c r="E1505" t="inlineStr">
        <ns0:is>
          <ns0:t>gemini-2.5-flash-nothinking</ns0:t>
        </ns0:is>
      </ns0:c>
      <ns0:c r="F1505" t="inlineStr">
        <ns0:is>
          <ns0:t>E0433</ns0:t>
        </ns0:is>
      </ns0:c>
      <ns0:c r="G1505" t="n">
        <ns0:v>1</ns0:v>
      </ns0:c>
      <ns0:c r="H1505" t="n">
        <ns0:v>2291</ns0:v>
      </ns0:c>
      <ns0:c r="I1505" t="n">
        <ns0:v>139</ns0:v>
      </ns0:c>
      <ns0:c r="J1505" t="n">
        <ns0:v>2430</ns0:v>
      </ns0:c>
      <ns0:c r="K1505" t="n">
        <ns0:v>2</ns0:v>
      </ns0:c>
      <ns0:c r="L1505" t="n">
        <ns0:v>1</ns0:v>
      </ns0:c>
      <ns0:c r="M1505" t="n">
        <ns0:v>139798</ns0:v>
      </ns0:c>
      <ns0:c r="N1505" t="n">
        <ns0:v>1628</ns0:v>
      </ns0:c>
      <ns0:c r="O1505" t="n">
        <ns0:v>141426</ns0:v>
      </ns0:c>
      <ns0:c r="P1505" t="n">
        <ns0:v>11</ns0:v>
      </ns0:c>
      <ns0:c r="Q1505">
        <ns0:f>IF(AND(L1505=1,O1505*Calculations!$B$2&lt;=Calculations!$B$10*Calculations!$B$4),1,0)</ns0:f>
        <ns0:v>0</ns0:v>
      </ns0:c>
      <ns0:c r="R1505">
        <ns0:f>IF(AND(L1505=1,O1505*Calculations!$B$2&lt;=Calculations!$B$11*Calculations!$B$4),1,0)</ns0:f>
        <ns0:v>0</ns0:v>
      </ns0:c>
    </ns0:row>
    <ns0:row r="1506">
      <ns0:c r="A1506" t="inlineStr">
        <ns0:is>
          <ns0:t>case_1505</ns0:t>
        </ns0:is>
      </ns0:c>
      <ns0:c r="B1506" t="inlineStr">
        <ns0:is>
          <ns0:t>function_0435</ns0:t>
        </ns0:is>
      </ns0:c>
      <ns0:c r="C1506" t="inlineStr">
        <ns0:is>
          <ns0:t>run_013</ns0:t>
        </ns0:is>
      </ns0:c>
      <ns0:c r="D1506" t="inlineStr">
        <ns0:is>
          <ns0:t>rand</ns0:t>
        </ns0:is>
      </ns0:c>
      <ns0:c r="E1506" t="inlineStr">
        <ns0:is>
          <ns0:t>gemini-2.5-flash-nothinking</ns0:t>
        </ns0:is>
      </ns0:c>
      <ns0:c r="F1506" t="inlineStr">
        <ns0:is>
          <ns0:t>E0308</ns0:t>
        </ns0:is>
      </ns0:c>
      <ns0:c r="G1506" t="n">
        <ns0:v>0</ns0:v>
      </ns0:c>
      <ns0:c r="H1506" t="n">
        <ns0:v>2336</ns0:v>
      </ns0:c>
      <ns0:c r="I1506" t="n">
        <ns0:v>195</ns0:v>
      </ns0:c>
      <ns0:c r="J1506" t="n">
        <ns0:v>2531</ns0:v>
      </ns0:c>
      <ns0:c r="K1506" t="n">
        <ns0:v>3</ns0:v>
      </ns0:c>
      <ns0:c r="L1506" t="n">
        <ns0:v>1</ns0:v>
      </ns0:c>
      <ns0:c r="M1506" t="n">
        <ns0:v>35416</ns0:v>
      </ns0:c>
      <ns0:c r="N1506" t="n">
        <ns0:v>387</ns0:v>
      </ns0:c>
      <ns0:c r="O1506" t="n">
        <ns0:v>35803</ns0:v>
      </ns0:c>
      <ns0:c r="P1506" t="n">
        <ns0:v>5</ns0:v>
      </ns0:c>
      <ns0:c r="Q1506">
        <ns0:f>IF(AND(L1506=1,O1506*Calculations!$B$2&lt;=Calculations!$B$10*Calculations!$B$4),1,0)</ns0:f>
        <ns0:v>0</ns0:v>
      </ns0:c>
      <ns0:c r="R1506">
        <ns0:f>IF(AND(L1506=1,O1506*Calculations!$B$2&lt;=Calculations!$B$11*Calculations!$B$4),1,0)</ns0:f>
        <ns0:v>1</ns0:v>
      </ns0:c>
    </ns0:row>
    <ns0:row r="1507">
      <ns0:c r="A1507" t="inlineStr">
        <ns0:is>
          <ns0:t>case_1506</ns0:t>
        </ns0:is>
      </ns0:c>
      <ns0:c r="B1507" t="inlineStr">
        <ns0:is>
          <ns0:t>function_0436</ns0:t>
        </ns0:is>
      </ns0:c>
      <ns0:c r="C1507" t="inlineStr">
        <ns0:is>
          <ns0:t>run_013</ns0:t>
        </ns0:is>
      </ns0:c>
      <ns0:c r="D1507" t="inlineStr">
        <ns0:is>
          <ns0:t>rand</ns0:t>
        </ns0:is>
      </ns0:c>
      <ns0:c r="E1507" t="inlineStr">
        <ns0:is>
          <ns0:t>gemini-2.5-flash-nothinking</ns0:t>
        </ns0:is>
      </ns0:c>
      <ns0:c r="F1507" t="inlineStr">
        <ns0:is>
          <ns0:t>E0433</ns0:t>
        </ns0:is>
      </ns0:c>
      <ns0:c r="G1507" t="n">
        <ns0:v>1</ns0:v>
      </ns0:c>
      <ns0:c r="H1507" t="n">
        <ns0:v>1218</ns0:v>
      </ns0:c>
      <ns0:c r="I1507" t="n">
        <ns0:v>75</ns0:v>
      </ns0:c>
      <ns0:c r="J1507" t="n">
        <ns0:v>1293</ns0:v>
      </ns0:c>
      <ns0:c r="K1507" t="n">
        <ns0:v>1</ns0:v>
      </ns0:c>
      <ns0:c r="L1507" t="n">
        <ns0:v>1</ns0:v>
      </ns0:c>
      <ns0:c r="M1507" t="n">
        <ns0:v>36027</ns0:v>
      </ns0:c>
      <ns0:c r="N1507" t="n">
        <ns0:v>733</ns0:v>
      </ns0:c>
      <ns0:c r="O1507" t="n">
        <ns0:v>36760</ns0:v>
      </ns0:c>
      <ns0:c r="P1507" t="n">
        <ns0:v>5</ns0:v>
      </ns0:c>
      <ns0:c r="Q1507">
        <ns0:f>IF(AND(L1507=1,O1507*Calculations!$B$2&lt;=Calculations!$B$10*Calculations!$B$4),1,0)</ns0:f>
        <ns0:v>0</ns0:v>
      </ns0:c>
      <ns0:c r="R1507">
        <ns0:f>IF(AND(L1507=1,O1507*Calculations!$B$2&lt;=Calculations!$B$11*Calculations!$B$4),1,0)</ns0:f>
        <ns0:v>1</ns0:v>
      </ns0:c>
    </ns0:row>
    <ns0:row r="1508">
      <ns0:c r="A1508" t="inlineStr">
        <ns0:is>
          <ns0:t>case_1507</ns0:t>
        </ns0:is>
      </ns0:c>
      <ns0:c r="B1508" t="inlineStr">
        <ns0:is>
          <ns0:t>function_0436</ns0:t>
        </ns0:is>
      </ns0:c>
      <ns0:c r="C1508" t="inlineStr">
        <ns0:is>
          <ns0:t>run_013</ns0:t>
        </ns0:is>
      </ns0:c>
      <ns0:c r="D1508" t="inlineStr">
        <ns0:is>
          <ns0:t>rand</ns0:t>
        </ns0:is>
      </ns0:c>
      <ns0:c r="E1508" t="inlineStr">
        <ns0:is>
          <ns0:t>gemini-2.5-flash-nothinking</ns0:t>
        </ns0:is>
      </ns0:c>
      <ns0:c r="F1508" t="inlineStr">
        <ns0:is>
          <ns0:t>E0308</ns0:t>
        </ns0:is>
      </ns0:c>
      <ns0:c r="G1508" t="n">
        <ns0:v>0</ns0:v>
      </ns0:c>
      <ns0:c r="H1508" t="n">
        <ns0:v>2350</ns0:v>
      </ns0:c>
      <ns0:c r="I1508" t="n">
        <ns0:v>195</ns0:v>
      </ns0:c>
      <ns0:c r="J1508" t="n">
        <ns0:v>2545</ns0:v>
      </ns0:c>
      <ns0:c r="K1508" t="n">
        <ns0:v>3</ns0:v>
      </ns0:c>
      <ns0:c r="L1508" t="n">
        <ns0:v>0</ns0:v>
      </ns0:c>
      <ns0:c r="M1508" t="n">
        <ns0:v>43152</ns0:v>
      </ns0:c>
      <ns0:c r="N1508" t="n">
        <ns0:v>1215</ns0:v>
      </ns0:c>
      <ns0:c r="O1508" t="n">
        <ns0:v>44367</ns0:v>
      </ns0:c>
      <ns0:c r="P1508" t="n">
        <ns0:v>6</ns0:v>
      </ns0:c>
      <ns0:c r="Q1508">
        <ns0:f>IF(AND(L1508=1,O1508*Calculations!$B$2&lt;=Calculations!$B$10*Calculations!$B$4),1,0)</ns0:f>
        <ns0:v>0</ns0:v>
      </ns0:c>
      <ns0:c r="R1508">
        <ns0:f>IF(AND(L1508=1,O1508*Calculations!$B$2&lt;=Calculations!$B$11*Calculations!$B$4),1,0)</ns0:f>
        <ns0:v>0</ns0:v>
      </ns0:c>
    </ns0:row>
    <ns0:row r="1509">
      <ns0:c r="A1509" t="inlineStr">
        <ns0:is>
          <ns0:t>case_1508</ns0:t>
        </ns0:is>
      </ns0:c>
      <ns0:c r="B1509" t="inlineStr">
        <ns0:is>
          <ns0:t>function_0437</ns0:t>
        </ns0:is>
      </ns0:c>
      <ns0:c r="C1509" t="inlineStr">
        <ns0:is>
          <ns0:t>run_013</ns0:t>
        </ns0:is>
      </ns0:c>
      <ns0:c r="D1509" t="inlineStr">
        <ns0:is>
          <ns0:t>rand</ns0:t>
        </ns0:is>
      </ns0:c>
      <ns0:c r="E1509" t="inlineStr">
        <ns0:is>
          <ns0:t>gemini-2.5-flash-nothinking</ns0:t>
        </ns0:is>
      </ns0:c>
      <ns0:c r="F1509" t="inlineStr">
        <ns0:is>
          <ns0:t>E0433</ns0:t>
        </ns0:is>
      </ns0:c>
      <ns0:c r="G1509" t="n">
        <ns0:v>1</ns0:v>
      </ns0:c>
      <ns0:c r="H1509" t="n">
        <ns0:v>1208</ns0:v>
      </ns0:c>
      <ns0:c r="I1509" t="n">
        <ns0:v>75</ns0:v>
      </ns0:c>
      <ns0:c r="J1509" t="n">
        <ns0:v>1283</ns0:v>
      </ns0:c>
      <ns0:c r="K1509" t="n">
        <ns0:v>1</ns0:v>
      </ns0:c>
      <ns0:c r="L1509" t="n">
        <ns0:v>1</ns0:v>
      </ns0:c>
      <ns0:c r="M1509" t="n">
        <ns0:v>52452</ns0:v>
      </ns0:c>
      <ns0:c r="N1509" t="n">
        <ns0:v>1064</ns0:v>
      </ns0:c>
      <ns0:c r="O1509" t="n">
        <ns0:v>53516</ns0:v>
      </ns0:c>
      <ns0:c r="P1509" t="n">
        <ns0:v>7</ns0:v>
      </ns0:c>
      <ns0:c r="Q1509">
        <ns0:f>IF(AND(L1509=1,O1509*Calculations!$B$2&lt;=Calculations!$B$10*Calculations!$B$4),1,0)</ns0:f>
        <ns0:v>0</ns0:v>
      </ns0:c>
      <ns0:c r="R1509">
        <ns0:f>IF(AND(L1509=1,O1509*Calculations!$B$2&lt;=Calculations!$B$11*Calculations!$B$4),1,0)</ns0:f>
        <ns0:v>0</ns0:v>
      </ns0:c>
    </ns0:row>
    <ns0:row r="1510">
      <ns0:c r="A1510" t="inlineStr">
        <ns0:is>
          <ns0:t>case_1509</ns0:t>
        </ns0:is>
      </ns0:c>
      <ns0:c r="B1510" t="inlineStr">
        <ns0:is>
          <ns0:t>function_0437</ns0:t>
        </ns0:is>
      </ns0:c>
      <ns0:c r="C1510" t="inlineStr">
        <ns0:is>
          <ns0:t>run_013</ns0:t>
        </ns0:is>
      </ns0:c>
      <ns0:c r="D1510" t="inlineStr">
        <ns0:is>
          <ns0:t>rand</ns0:t>
        </ns0:is>
      </ns0:c>
      <ns0:c r="E1510" t="inlineStr">
        <ns0:is>
          <ns0:t>gemini-2.5-flash-nothinking</ns0:t>
        </ns0:is>
      </ns0:c>
      <ns0:c r="F1510" t="inlineStr">
        <ns0:is>
          <ns0:t>E0107</ns0:t>
        </ns0:is>
      </ns0:c>
      <ns0:c r="G1510" t="n">
        <ns0:v>0</ns0:v>
      </ns0:c>
      <ns0:c r="H1510" t="n">
        <ns0:v>2348</ns0:v>
      </ns0:c>
      <ns0:c r="I1510" t="n">
        <ns0:v>315</ns0:v>
      </ns0:c>
      <ns0:c r="J1510" t="n">
        <ns0:v>2663</ns0:v>
      </ns0:c>
      <ns0:c r="K1510" t="n">
        <ns0:v>3</ns0:v>
      </ns0:c>
      <ns0:c r="L1510" t="n">
        <ns0:v>1</ns0:v>
      </ns0:c>
      <ns0:c r="M1510" t="n">
        <ns0:v>56630</ns0:v>
      </ns0:c>
      <ns0:c r="N1510" t="n">
        <ns0:v>857</ns0:v>
      </ns0:c>
      <ns0:c r="O1510" t="n">
        <ns0:v>57487</ns0:v>
      </ns0:c>
      <ns0:c r="P1510" t="n">
        <ns0:v>7</ns0:v>
      </ns0:c>
      <ns0:c r="Q1510">
        <ns0:f>IF(AND(L1510=1,O1510*Calculations!$B$2&lt;=Calculations!$B$10*Calculations!$B$4),1,0)</ns0:f>
        <ns0:v>0</ns0:v>
      </ns0:c>
      <ns0:c r="R1510">
        <ns0:f>IF(AND(L1510=1,O1510*Calculations!$B$2&lt;=Calculations!$B$11*Calculations!$B$4),1,0)</ns0:f>
        <ns0:v>0</ns0:v>
      </ns0:c>
    </ns0:row>
    <ns0:row r="1511">
      <ns0:c r="A1511" t="inlineStr">
        <ns0:is>
          <ns0:t>case_1510</ns0:t>
        </ns0:is>
      </ns0:c>
      <ns0:c r="B1511" t="inlineStr">
        <ns0:is>
          <ns0:t>function_0438</ns0:t>
        </ns0:is>
      </ns0:c>
      <ns0:c r="C1511" t="inlineStr">
        <ns0:is>
          <ns0:t>run_013</ns0:t>
        </ns0:is>
      </ns0:c>
      <ns0:c r="D1511" t="inlineStr">
        <ns0:is>
          <ns0:t>rand</ns0:t>
        </ns0:is>
      </ns0:c>
      <ns0:c r="E1511" t="inlineStr">
        <ns0:is>
          <ns0:t>gemini-2.5-flash-nothinking</ns0:t>
        </ns0:is>
      </ns0:c>
      <ns0:c r="F1511" t="inlineStr">
        <ns0:is>
          <ns0:t>E0433</ns0:t>
        </ns0:is>
      </ns0:c>
      <ns0:c r="G1511" t="n">
        <ns0:v>0</ns0:v>
      </ns0:c>
      <ns0:c r="H1511" t="n">
        <ns0:v>0</ns0:v>
      </ns0:c>
      <ns0:c r="I1511" t="n">
        <ns0:v>0</ns0:v>
      </ns0:c>
      <ns0:c r="J1511" t="n">
        <ns0:v>0</ns0:v>
      </ns0:c>
      <ns0:c r="K1511" t="n">
        <ns0:v>0</ns0:v>
      </ns0:c>
      <ns0:c r="L1511" t="n">
        <ns0:v>0</ns0:v>
      </ns0:c>
      <ns0:c r="M1511" t="n">
        <ns0:v>74069</ns0:v>
      </ns0:c>
      <ns0:c r="N1511" t="n">
        <ns0:v>602</ns0:v>
      </ns0:c>
      <ns0:c r="O1511" t="n">
        <ns0:v>74671</ns0:v>
      </ns0:c>
      <ns0:c r="P1511" t="n">
        <ns0:v>9</ns0:v>
      </ns0:c>
      <ns0:c r="Q1511">
        <ns0:f>IF(AND(L1511=1,O1511*Calculations!$B$2&lt;=Calculations!$B$10*Calculations!$B$4),1,0)</ns0:f>
        <ns0:v>0</ns0:v>
      </ns0:c>
      <ns0:c r="R1511">
        <ns0:f>IF(AND(L1511=1,O1511*Calculations!$B$2&lt;=Calculations!$B$11*Calculations!$B$4),1,0)</ns0:f>
        <ns0:v>0</ns0:v>
      </ns0:c>
    </ns0:row>
    <ns0:row r="1512">
      <ns0:c r="A1512" t="inlineStr">
        <ns0:is>
          <ns0:t>case_1511</ns0:t>
        </ns0:is>
      </ns0:c>
      <ns0:c r="B1512" t="inlineStr">
        <ns0:is>
          <ns0:t>function_0438</ns0:t>
        </ns0:is>
      </ns0:c>
      <ns0:c r="C1512" t="inlineStr">
        <ns0:is>
          <ns0:t>run_013</ns0:t>
        </ns0:is>
      </ns0:c>
      <ns0:c r="D1512" t="inlineStr">
        <ns0:is>
          <ns0:t>rand</ns0:t>
        </ns0:is>
      </ns0:c>
      <ns0:c r="E1512" t="inlineStr">
        <ns0:is>
          <ns0:t>gemini-2.5-flash-nothinking</ns0:t>
        </ns0:is>
      </ns0:c>
      <ns0:c r="F1512" t="inlineStr">
        <ns0:is>
          <ns0:t>E0369,E0433</ns0:t>
        </ns0:is>
      </ns0:c>
      <ns0:c r="G1512" t="n">
        <ns0:v>0</ns0:v>
      </ns0:c>
      <ns0:c r="H1512" t="n">
        <ns0:v>0</ns0:v>
      </ns0:c>
      <ns0:c r="I1512" t="n">
        <ns0:v>0</ns0:v>
      </ns0:c>
      <ns0:c r="J1512" t="n">
        <ns0:v>0</ns0:v>
      </ns0:c>
      <ns0:c r="K1512" t="n">
        <ns0:v>0</ns0:v>
      </ns0:c>
      <ns0:c r="L1512" t="n">
        <ns0:v>0</ns0:v>
      </ns0:c>
      <ns0:c r="M1512" t="n">
        <ns0:v>28651</ns0:v>
      </ns0:c>
      <ns0:c r="N1512" t="n">
        <ns0:v>1190</ns0:v>
      </ns0:c>
      <ns0:c r="O1512" t="n">
        <ns0:v>29841</ns0:v>
      </ns0:c>
      <ns0:c r="P1512" t="n">
        <ns0:v>4</ns0:v>
      </ns0:c>
      <ns0:c r="Q1512">
        <ns0:f>IF(AND(L1512=1,O1512*Calculations!$B$2&lt;=Calculations!$B$10*Calculations!$B$4),1,0)</ns0:f>
        <ns0:v>0</ns0:v>
      </ns0:c>
      <ns0:c r="R1512">
        <ns0:f>IF(AND(L1512=1,O1512*Calculations!$B$2&lt;=Calculations!$B$11*Calculations!$B$4),1,0)</ns0:f>
        <ns0:v>0</ns0:v>
      </ns0:c>
    </ns0:row>
    <ns0:row r="1513">
      <ns0:c r="A1513" t="inlineStr">
        <ns0:is>
          <ns0:t>case_1512</ns0:t>
        </ns0:is>
      </ns0:c>
      <ns0:c r="B1513" t="inlineStr">
        <ns0:is>
          <ns0:t>function_0438</ns0:t>
        </ns0:is>
      </ns0:c>
      <ns0:c r="C1513" t="inlineStr">
        <ns0:is>
          <ns0:t>run_013</ns0:t>
        </ns0:is>
      </ns0:c>
      <ns0:c r="D1513" t="inlineStr">
        <ns0:is>
          <ns0:t>rand</ns0:t>
        </ns0:is>
      </ns0:c>
      <ns0:c r="E1513" t="inlineStr">
        <ns0:is>
          <ns0:t>gemini-2.5-flash-nothinking</ns0:t>
        </ns0:is>
      </ns0:c>
      <ns0:c r="F1513" t="inlineStr">
        <ns0:is>
          <ns0:t>E0433</ns0:t>
        </ns0:is>
      </ns0:c>
      <ns0:c r="G1513" t="n">
        <ns0:v>0</ns0:v>
      </ns0:c>
      <ns0:c r="H1513" t="n">
        <ns0:v>0</ns0:v>
      </ns0:c>
      <ns0:c r="I1513" t="n">
        <ns0:v>0</ns0:v>
      </ns0:c>
      <ns0:c r="J1513" t="n">
        <ns0:v>0</ns0:v>
      </ns0:c>
      <ns0:c r="K1513" t="n">
        <ns0:v>0</ns0:v>
      </ns0:c>
      <ns0:c r="L1513" t="n">
        <ns0:v>0</ns0:v>
      </ns0:c>
      <ns0:c r="M1513" t="n">
        <ns0:v>37782</ns0:v>
      </ns0:c>
      <ns0:c r="N1513" t="n">
        <ns0:v>417</ns0:v>
      </ns0:c>
      <ns0:c r="O1513" t="n">
        <ns0:v>38199</ns0:v>
      </ns0:c>
      <ns0:c r="P1513" t="n">
        <ns0:v>5</ns0:v>
      </ns0:c>
      <ns0:c r="Q1513">
        <ns0:f>IF(AND(L1513=1,O1513*Calculations!$B$2&lt;=Calculations!$B$10*Calculations!$B$4),1,0)</ns0:f>
        <ns0:v>0</ns0:v>
      </ns0:c>
      <ns0:c r="R1513">
        <ns0:f>IF(AND(L1513=1,O1513*Calculations!$B$2&lt;=Calculations!$B$11*Calculations!$B$4),1,0)</ns0:f>
        <ns0:v>0</ns0:v>
      </ns0:c>
    </ns0:row>
    <ns0:row r="1514">
      <ns0:c r="A1514" t="inlineStr">
        <ns0:is>
          <ns0:t>case_1513</ns0:t>
        </ns0:is>
      </ns0:c>
      <ns0:c r="B1514" t="inlineStr">
        <ns0:is>
          <ns0:t>function_0439</ns0:t>
        </ns0:is>
      </ns0:c>
      <ns0:c r="C1514" t="inlineStr">
        <ns0:is>
          <ns0:t>run_013</ns0:t>
        </ns0:is>
      </ns0:c>
      <ns0:c r="D1514" t="inlineStr">
        <ns0:is>
          <ns0:t>rand</ns0:t>
        </ns0:is>
      </ns0:c>
      <ns0:c r="E1514" t="inlineStr">
        <ns0:is>
          <ns0:t>gemini-2.5-flash-nothinking</ns0:t>
        </ns0:is>
      </ns0:c>
      <ns0:c r="F1514" t="inlineStr">
        <ns0:is>
          <ns0:t>E0433,E0658</ns0:t>
        </ns0:is>
      </ns0:c>
      <ns0:c r="G1514" t="n">
        <ns0:v>0</ns0:v>
      </ns0:c>
      <ns0:c r="H1514" t="n">
        <ns0:v>25658</ns0:v>
      </ns0:c>
      <ns0:c r="I1514" t="n">
        <ns0:v>7367</ns0:v>
      </ns0:c>
      <ns0:c r="J1514" t="n">
        <ns0:v>33025</ns0:v>
      </ns0:c>
      <ns0:c r="K1514" t="n">
        <ns0:v>14</ns0:v>
      </ns0:c>
      <ns0:c r="L1514" t="n">
        <ns0:v>0</ns0:v>
      </ns0:c>
      <ns0:c r="M1514" t="n">
        <ns0:v>502558</ns0:v>
      </ns0:c>
      <ns0:c r="N1514" t="n">
        <ns0:v>9277</ns0:v>
      </ns0:c>
      <ns0:c r="O1514" t="n">
        <ns0:v>511835</ns0:v>
      </ns0:c>
      <ns0:c r="P1514" t="n">
        <ns0:v>23</ns0:v>
      </ns0:c>
      <ns0:c r="Q1514">
        <ns0:f>IF(AND(L1514=1,O1514*Calculations!$B$2&lt;=Calculations!$B$10*Calculations!$B$4),1,0)</ns0:f>
        <ns0:v>0</ns0:v>
      </ns0:c>
      <ns0:c r="R1514">
        <ns0:f>IF(AND(L1514=1,O1514*Calculations!$B$2&lt;=Calculations!$B$11*Calculations!$B$4),1,0)</ns0:f>
        <ns0:v>0</ns0:v>
      </ns0:c>
    </ns0:row>
    <ns0:row r="1515">
      <ns0:c r="A1515" t="inlineStr">
        <ns0:is>
          <ns0:t>case_1514</ns0:t>
        </ns0:is>
      </ns0:c>
      <ns0:c r="B1515" t="inlineStr">
        <ns0:is>
          <ns0:t>function_0439</ns0:t>
        </ns0:is>
      </ns0:c>
      <ns0:c r="C1515" t="inlineStr">
        <ns0:is>
          <ns0:t>run_013</ns0:t>
        </ns0:is>
      </ns0:c>
      <ns0:c r="D1515" t="inlineStr">
        <ns0:is>
          <ns0:t>rand</ns0:t>
        </ns0:is>
      </ns0:c>
      <ns0:c r="E1515" t="inlineStr">
        <ns0:is>
          <ns0:t>gemini-2.5-flash-nothinking</ns0:t>
        </ns0:is>
      </ns0:c>
      <ns0:c r="F1515" t="inlineStr">
        <ns0:is>
          <ns0:t>E0119</ns0:t>
        </ns0:is>
      </ns0:c>
      <ns0:c r="G1515" t="n">
        <ns0:v>0</ns0:v>
      </ns0:c>
      <ns0:c r="H1515" t="n">
        <ns0:v>13968</ns0:v>
      </ns0:c>
      <ns0:c r="I1515" t="n">
        <ns0:v>5388</ns0:v>
      </ns0:c>
      <ns0:c r="J1515" t="n">
        <ns0:v>19356</ns0:v>
      </ns0:c>
      <ns0:c r="K1515" t="n">
        <ns0:v>7</ns0:v>
      </ns0:c>
      <ns0:c r="L1515" t="n">
        <ns0:v>0</ns0:v>
      </ns0:c>
      <ns0:c r="M1515" t="n">
        <ns0:v>61810</ns0:v>
      </ns0:c>
      <ns0:c r="N1515" t="n">
        <ns0:v>2022</ns0:v>
      </ns0:c>
      <ns0:c r="O1515" t="n">
        <ns0:v>63832</ns0:v>
      </ns0:c>
      <ns0:c r="P1515" t="n">
        <ns0:v>6</ns0:v>
      </ns0:c>
      <ns0:c r="Q1515">
        <ns0:f>IF(AND(L1515=1,O1515*Calculations!$B$2&lt;=Calculations!$B$10*Calculations!$B$4),1,0)</ns0:f>
        <ns0:v>0</ns0:v>
      </ns0:c>
      <ns0:c r="R1515">
        <ns0:f>IF(AND(L1515=1,O1515*Calculations!$B$2&lt;=Calculations!$B$11*Calculations!$B$4),1,0)</ns0:f>
        <ns0:v>0</ns0:v>
      </ns0:c>
    </ns0:row>
    <ns0:row r="1516">
      <ns0:c r="A1516" t="inlineStr">
        <ns0:is>
          <ns0:t>case_1515</ns0:t>
        </ns0:is>
      </ns0:c>
      <ns0:c r="B1516" t="inlineStr">
        <ns0:is>
          <ns0:t>function_0439</ns0:t>
        </ns0:is>
      </ns0:c>
      <ns0:c r="C1516" t="inlineStr">
        <ns0:is>
          <ns0:t>run_013</ns0:t>
        </ns0:is>
      </ns0:c>
      <ns0:c r="D1516" t="inlineStr">
        <ns0:is>
          <ns0:t>rand</ns0:t>
        </ns0:is>
      </ns0:c>
      <ns0:c r="E1516" t="inlineStr">
        <ns0:is>
          <ns0:t>gemini-2.5-flash-nothinking</ns0:t>
        </ns0:is>
      </ns0:c>
      <ns0:c r="F1516" t="inlineStr">
        <ns0:is>
          <ns0:t>E0433</ns0:t>
        </ns0:is>
      </ns0:c>
      <ns0:c r="G1516" t="n">
        <ns0:v>1</ns0:v>
      </ns0:c>
      <ns0:c r="H1516" t="n">
        <ns0:v>0</ns0:v>
      </ns0:c>
      <ns0:c r="I1516" t="n">
        <ns0:v>0</ns0:v>
      </ns0:c>
      <ns0:c r="J1516" t="n">
        <ns0:v>0</ns0:v>
      </ns0:c>
      <ns0:c r="K1516" t="n">
        <ns0:v>0</ns0:v>
      </ns0:c>
      <ns0:c r="L1516" t="n">
        <ns0:v>0</ns0:v>
      </ns0:c>
      <ns0:c r="M1516" t="n">
        <ns0:v>41047</ns0:v>
      </ns0:c>
      <ns0:c r="N1516" t="n">
        <ns0:v>735</ns0:v>
      </ns0:c>
      <ns0:c r="O1516" t="n">
        <ns0:v>41782</ns0:v>
      </ns0:c>
      <ns0:c r="P1516" t="n">
        <ns0:v>5</ns0:v>
      </ns0:c>
      <ns0:c r="Q1516">
        <ns0:f>IF(AND(L1516=1,O1516*Calculations!$B$2&lt;=Calculations!$B$10*Calculations!$B$4),1,0)</ns0:f>
        <ns0:v>0</ns0:v>
      </ns0:c>
      <ns0:c r="R1516">
        <ns0:f>IF(AND(L1516=1,O1516*Calculations!$B$2&lt;=Calculations!$B$11*Calculations!$B$4),1,0)</ns0:f>
        <ns0:v>0</ns0:v>
      </ns0:c>
    </ns0:row>
    <ns0:row r="1517">
      <ns0:c r="A1517" t="inlineStr">
        <ns0:is>
          <ns0:t>case_1516</ns0:t>
        </ns0:is>
      </ns0:c>
      <ns0:c r="B1517" t="inlineStr">
        <ns0:is>
          <ns0:t>function_0440</ns0:t>
        </ns0:is>
      </ns0:c>
      <ns0:c r="C1517" t="inlineStr">
        <ns0:is>
          <ns0:t>run_013</ns0:t>
        </ns0:is>
      </ns0:c>
      <ns0:c r="D1517" t="inlineStr">
        <ns0:is>
          <ns0:t>rand</ns0:t>
        </ns0:is>
      </ns0:c>
      <ns0:c r="E1517" t="inlineStr">
        <ns0:is>
          <ns0:t>gemini-2.5-flash-nothinking</ns0:t>
        </ns0:is>
      </ns0:c>
      <ns0:c r="F1517" t="inlineStr">
        <ns0:is>
          <ns0:t>E0119</ns0:t>
        </ns0:is>
      </ns0:c>
      <ns0:c r="G1517" t="n">
        <ns0:v>0</ns0:v>
      </ns0:c>
      <ns0:c r="H1517" t="n">
        <ns0:v>6454</ns0:v>
      </ns0:c>
      <ns0:c r="I1517" t="n">
        <ns0:v>365</ns0:v>
      </ns0:c>
      <ns0:c r="J1517" t="n">
        <ns0:v>6819</ns0:v>
      </ns0:c>
      <ns0:c r="K1517" t="n">
        <ns0:v>3</ns0:v>
      </ns0:c>
      <ns0:c r="L1517" t="n">
        <ns0:v>0</ns0:v>
      </ns0:c>
      <ns0:c r="M1517" t="n">
        <ns0:v>100379</ns0:v>
      </ns0:c>
      <ns0:c r="N1517" t="n">
        <ns0:v>1679</ns0:v>
      </ns0:c>
      <ns0:c r="O1517" t="n">
        <ns0:v>102058</ns0:v>
      </ns0:c>
      <ns0:c r="P1517" t="n">
        <ns0:v>11</ns0:v>
      </ns0:c>
      <ns0:c r="Q1517">
        <ns0:f>IF(AND(L1517=1,O1517*Calculations!$B$2&lt;=Calculations!$B$10*Calculations!$B$4),1,0)</ns0:f>
        <ns0:v>0</ns0:v>
      </ns0:c>
      <ns0:c r="R1517">
        <ns0:f>IF(AND(L1517=1,O1517*Calculations!$B$2&lt;=Calculations!$B$11*Calculations!$B$4),1,0)</ns0:f>
        <ns0:v>0</ns0:v>
      </ns0:c>
    </ns0:row>
    <ns0:row r="1518">
      <ns0:c r="A1518" t="inlineStr">
        <ns0:is>
          <ns0:t>case_1517</ns0:t>
        </ns0:is>
      </ns0:c>
      <ns0:c r="B1518" t="inlineStr">
        <ns0:is>
          <ns0:t>function_0441</ns0:t>
        </ns0:is>
      </ns0:c>
      <ns0:c r="C1518" t="inlineStr">
        <ns0:is>
          <ns0:t>run_013</ns0:t>
        </ns0:is>
      </ns0:c>
      <ns0:c r="D1518" t="inlineStr">
        <ns0:is>
          <ns0:t>rand</ns0:t>
        </ns0:is>
      </ns0:c>
      <ns0:c r="E1518" t="inlineStr">
        <ns0:is>
          <ns0:t>gemini-2.5-flash-nothinking</ns0:t>
        </ns0:is>
      </ns0:c>
      <ns0:c r="F1518" t="inlineStr">
        <ns0:is>
          <ns0:t>E0284</ns0:t>
        </ns0:is>
      </ns0:c>
      <ns0:c r="G1518" t="n">
        <ns0:v>1</ns0:v>
      </ns0:c>
      <ns0:c r="H1518" t="n">
        <ns0:v>1632</ns0:v>
      </ns0:c>
      <ns0:c r="I1518" t="n">
        <ns0:v>101</ns0:v>
      </ns0:c>
      <ns0:c r="J1518" t="n">
        <ns0:v>1733</ns0:v>
      </ns0:c>
      <ns0:c r="K1518" t="n">
        <ns0:v>1</ns0:v>
      </ns0:c>
      <ns0:c r="L1518" t="n">
        <ns0:v>0</ns0:v>
      </ns0:c>
      <ns0:c r="M1518" t="n">
        <ns0:v>178580</ns0:v>
      </ns0:c>
      <ns0:c r="N1518" t="n">
        <ns0:v>5519</ns0:v>
      </ns0:c>
      <ns0:c r="O1518" t="n">
        <ns0:v>184099</ns0:v>
      </ns0:c>
      <ns0:c r="P1518" t="n">
        <ns0:v>20</ns0:v>
      </ns0:c>
      <ns0:c r="Q1518">
        <ns0:f>IF(AND(L1518=1,O1518*Calculations!$B$2&lt;=Calculations!$B$10*Calculations!$B$4),1,0)</ns0:f>
        <ns0:v>0</ns0:v>
      </ns0:c>
      <ns0:c r="R1518">
        <ns0:f>IF(AND(L1518=1,O1518*Calculations!$B$2&lt;=Calculations!$B$11*Calculations!$B$4),1,0)</ns0:f>
        <ns0:v>0</ns0:v>
      </ns0:c>
    </ns0:row>
    <ns0:row r="1519">
      <ns0:c r="A1519" t="inlineStr">
        <ns0:is>
          <ns0:t>case_1518</ns0:t>
        </ns0:is>
      </ns0:c>
      <ns0:c r="B1519" t="inlineStr">
        <ns0:is>
          <ns0:t>function_0441</ns0:t>
        </ns0:is>
      </ns0:c>
      <ns0:c r="C1519" t="inlineStr">
        <ns0:is>
          <ns0:t>run_013</ns0:t>
        </ns0:is>
      </ns0:c>
      <ns0:c r="D1519" t="inlineStr">
        <ns0:is>
          <ns0:t>rand</ns0:t>
        </ns0:is>
      </ns0:c>
      <ns0:c r="E1519" t="inlineStr">
        <ns0:is>
          <ns0:t>gemini-2.5-flash-nothinking</ns0:t>
        </ns0:is>
      </ns0:c>
      <ns0:c r="F1519" t="inlineStr">
        <ns0:is>
          <ns0:t>E0433</ns0:t>
        </ns0:is>
      </ns0:c>
      <ns0:c r="G1519" t="n">
        <ns0:v>1</ns0:v>
      </ns0:c>
      <ns0:c r="H1519" t="n">
        <ns0:v>0</ns0:v>
      </ns0:c>
      <ns0:c r="I1519" t="n">
        <ns0:v>0</ns0:v>
      </ns0:c>
      <ns0:c r="J1519" t="n">
        <ns0:v>0</ns0:v>
      </ns0:c>
      <ns0:c r="K1519" t="n">
        <ns0:v>0</ns0:v>
      </ns0:c>
      <ns0:c r="L1519" t="n">
        <ns0:v>1</ns0:v>
      </ns0:c>
      <ns0:c r="M1519" t="n">
        <ns0:v>36855</ns0:v>
      </ns0:c>
      <ns0:c r="N1519" t="n">
        <ns0:v>467</ns0:v>
      </ns0:c>
      <ns0:c r="O1519" t="n">
        <ns0:v>37322</ns0:v>
      </ns0:c>
      <ns0:c r="P1519" t="n">
        <ns0:v>5</ns0:v>
      </ns0:c>
      <ns0:c r="Q1519">
        <ns0:f>IF(AND(L1519=1,O1519*Calculations!$B$2&lt;=Calculations!$B$10*Calculations!$B$4),1,0)</ns0:f>
        <ns0:v>0</ns0:v>
      </ns0:c>
      <ns0:c r="R1519">
        <ns0:f>IF(AND(L1519=1,O1519*Calculations!$B$2&lt;=Calculations!$B$11*Calculations!$B$4),1,0)</ns0:f>
        <ns0:v>1</ns0:v>
      </ns0:c>
    </ns0:row>
    <ns0:row r="1520">
      <ns0:c r="A1520" t="inlineStr">
        <ns0:is>
          <ns0:t>case_1519</ns0:t>
        </ns0:is>
      </ns0:c>
      <ns0:c r="B1520" t="inlineStr">
        <ns0:is>
          <ns0:t>function_0442</ns0:t>
        </ns0:is>
      </ns0:c>
      <ns0:c r="C1520" t="inlineStr">
        <ns0:is>
          <ns0:t>run_013</ns0:t>
        </ns0:is>
      </ns0:c>
      <ns0:c r="D1520" t="inlineStr">
        <ns0:is>
          <ns0:t>rand</ns0:t>
        </ns0:is>
      </ns0:c>
      <ns0:c r="E1520" t="inlineStr">
        <ns0:is>
          <ns0:t>gemini-2.5-flash-nothinking</ns0:t>
        </ns0:is>
      </ns0:c>
      <ns0:c r="F1520" t="inlineStr">
        <ns0:is>
          <ns0:t>E0790</ns0:t>
        </ns0:is>
      </ns0:c>
      <ns0:c r="G1520" t="n">
        <ns0:v>1</ns0:v>
      </ns0:c>
      <ns0:c r="H1520" t="n">
        <ns0:v>2178</ns0:v>
      </ns0:c>
      <ns0:c r="I1520" t="n">
        <ns0:v>175</ns0:v>
      </ns0:c>
      <ns0:c r="J1520" t="n">
        <ns0:v>2353</ns0:v>
      </ns0:c>
      <ns0:c r="K1520" t="n">
        <ns0:v>3</ns0:v>
      </ns0:c>
      <ns0:c r="L1520" t="n">
        <ns0:v>1</ns0:v>
      </ns0:c>
      <ns0:c r="M1520" t="n">
        <ns0:v>20573</ns0:v>
      </ns0:c>
      <ns0:c r="N1520" t="n">
        <ns0:v>271</ns0:v>
      </ns0:c>
      <ns0:c r="O1520" t="n">
        <ns0:v>20844</ns0:v>
      </ns0:c>
      <ns0:c r="P1520" t="n">
        <ns0:v>3</ns0:v>
      </ns0:c>
      <ns0:c r="Q1520">
        <ns0:f>IF(AND(L1520=1,O1520*Calculations!$B$2&lt;=Calculations!$B$10*Calculations!$B$4),1,0)</ns0:f>
        <ns0:v>1</ns0:v>
      </ns0:c>
      <ns0:c r="R1520">
        <ns0:f>IF(AND(L1520=1,O1520*Calculations!$B$2&lt;=Calculations!$B$11*Calculations!$B$4),1,0)</ns0:f>
        <ns0:v>1</ns0:v>
      </ns0:c>
    </ns0:row>
    <ns0:row r="1521">
      <ns0:c r="A1521" t="inlineStr">
        <ns0:is>
          <ns0:t>case_1520</ns0:t>
        </ns0:is>
      </ns0:c>
      <ns0:c r="B1521" t="inlineStr">
        <ns0:is>
          <ns0:t>function_0442</ns0:t>
        </ns0:is>
      </ns0:c>
      <ns0:c r="C1521" t="inlineStr">
        <ns0:is>
          <ns0:t>run_013</ns0:t>
        </ns0:is>
      </ns0:c>
      <ns0:c r="D1521" t="inlineStr">
        <ns0:is>
          <ns0:t>rand</ns0:t>
        </ns0:is>
      </ns0:c>
      <ns0:c r="E1521" t="inlineStr">
        <ns0:is>
          <ns0:t>gemini-2.5-flash-nothinking</ns0:t>
        </ns0:is>
      </ns0:c>
      <ns0:c r="F1521" t="inlineStr">
        <ns0:is>
          <ns0:t>E0433</ns0:t>
        </ns0:is>
      </ns0:c>
      <ns0:c r="G1521" t="n">
        <ns0:v>1</ns0:v>
      </ns0:c>
      <ns0:c r="H1521" t="n">
        <ns0:v>2147</ns0:v>
      </ns0:c>
      <ns0:c r="I1521" t="n">
        <ns0:v>113</ns0:v>
      </ns0:c>
      <ns0:c r="J1521" t="n">
        <ns0:v>2260</ns0:v>
      </ns0:c>
      <ns0:c r="K1521" t="n">
        <ns0:v>2</ns0:v>
      </ns0:c>
      <ns0:c r="L1521" t="n">
        <ns0:v>0</ns0:v>
      </ns0:c>
      <ns0:c r="M1521" t="n">
        <ns0:v>339770</ns0:v>
      </ns0:c>
      <ns0:c r="N1521" t="n">
        <ns0:v>2518</ns0:v>
      </ns0:c>
      <ns0:c r="O1521" t="n">
        <ns0:v>342288</ns0:v>
      </ns0:c>
      <ns0:c r="P1521" t="n">
        <ns0:v>20</ns0:v>
      </ns0:c>
      <ns0:c r="Q1521">
        <ns0:f>IF(AND(L1521=1,O1521*Calculations!$B$2&lt;=Calculations!$B$10*Calculations!$B$4),1,0)</ns0:f>
        <ns0:v>0</ns0:v>
      </ns0:c>
      <ns0:c r="R1521">
        <ns0:f>IF(AND(L1521=1,O1521*Calculations!$B$2&lt;=Calculations!$B$11*Calculations!$B$4),1,0)</ns0:f>
        <ns0:v>0</ns0:v>
      </ns0:c>
    </ns0:row>
    <ns0:row r="1522">
      <ns0:c r="A1522" t="inlineStr">
        <ns0:is>
          <ns0:t>case_1521</ns0:t>
        </ns0:is>
      </ns0:c>
      <ns0:c r="B1522" t="inlineStr">
        <ns0:is>
          <ns0:t>function_0443</ns0:t>
        </ns0:is>
      </ns0:c>
      <ns0:c r="C1522" t="inlineStr">
        <ns0:is>
          <ns0:t>run_013</ns0:t>
        </ns0:is>
      </ns0:c>
      <ns0:c r="D1522" t="inlineStr">
        <ns0:is>
          <ns0:t>rand</ns0:t>
        </ns0:is>
      </ns0:c>
      <ns0:c r="E1522" t="inlineStr">
        <ns0:is>
          <ns0:t>gemini-2.5-flash-nothinking</ns0:t>
        </ns0:is>
      </ns0:c>
      <ns0:c r="F1522" t="inlineStr">
        <ns0:is>
          <ns0:t>E0369,E0412,E0433</ns0:t>
        </ns0:is>
      </ns0:c>
      <ns0:c r="G1522" t="n">
        <ns0:v>0</ns0:v>
      </ns0:c>
      <ns0:c r="H1522" t="n">
        <ns0:v>2667</ns0:v>
      </ns0:c>
      <ns0:c r="I1522" t="n">
        <ns0:v>263</ns0:v>
      </ns0:c>
      <ns0:c r="J1522" t="n">
        <ns0:v>2930</ns0:v>
      </ns0:c>
      <ns0:c r="K1522" t="n">
        <ns0:v>3</ns0:v>
      </ns0:c>
      <ns0:c r="L1522" t="n">
        <ns0:v>0</ns0:v>
      </ns0:c>
      <ns0:c r="M1522" t="n">
        <ns0:v>32108</ns0:v>
      </ns0:c>
      <ns0:c r="N1522" t="n">
        <ns0:v>622</ns0:v>
      </ns0:c>
      <ns0:c r="O1522" t="n">
        <ns0:v>32730</ns0:v>
      </ns0:c>
      <ns0:c r="P1522" t="n">
        <ns0:v>4</ns0:v>
      </ns0:c>
      <ns0:c r="Q1522">
        <ns0:f>IF(AND(L1522=1,O1522*Calculations!$B$2&lt;=Calculations!$B$10*Calculations!$B$4),1,0)</ns0:f>
        <ns0:v>0</ns0:v>
      </ns0:c>
      <ns0:c r="R1522">
        <ns0:f>IF(AND(L1522=1,O1522*Calculations!$B$2&lt;=Calculations!$B$11*Calculations!$B$4),1,0)</ns0:f>
        <ns0:v>0</ns0:v>
      </ns0:c>
    </ns0:row>
    <ns0:row r="1523">
      <ns0:c r="A1523" t="inlineStr">
        <ns0:is>
          <ns0:t>case_1522</ns0:t>
        </ns0:is>
      </ns0:c>
      <ns0:c r="B1523" t="inlineStr">
        <ns0:is>
          <ns0:t>function_0443</ns0:t>
        </ns0:is>
      </ns0:c>
      <ns0:c r="C1523" t="inlineStr">
        <ns0:is>
          <ns0:t>run_013</ns0:t>
        </ns0:is>
      </ns0:c>
      <ns0:c r="D1523" t="inlineStr">
        <ns0:is>
          <ns0:t>rand</ns0:t>
        </ns0:is>
      </ns0:c>
      <ns0:c r="E1523" t="inlineStr">
        <ns0:is>
          <ns0:t>gemini-2.5-flash-nothinking</ns0:t>
        </ns0:is>
      </ns0:c>
      <ns0:c r="F1523" t="inlineStr">
        <ns0:is>
          <ns0:t>E0412</ns0:t>
        </ns0:is>
      </ns0:c>
      <ns0:c r="G1523" t="n">
        <ns0:v>1</ns0:v>
      </ns0:c>
      <ns0:c r="H1523" t="n">
        <ns0:v>1404</ns0:v>
      </ns0:c>
      <ns0:c r="I1523" t="n">
        <ns0:v>136</ns0:v>
      </ns0:c>
      <ns0:c r="J1523" t="n">
        <ns0:v>1540</ns0:v>
      </ns0:c>
      <ns0:c r="K1523" t="n">
        <ns0:v>2</ns0:v>
      </ns0:c>
      <ns0:c r="L1523" t="n">
        <ns0:v>1</ns0:v>
      </ns0:c>
      <ns0:c r="M1523" t="n">
        <ns0:v>67892</ns0:v>
      </ns0:c>
      <ns0:c r="N1523" t="n">
        <ns0:v>674</ns0:v>
      </ns0:c>
      <ns0:c r="O1523" t="n">
        <ns0:v>68566</ns0:v>
      </ns0:c>
      <ns0:c r="P1523" t="n">
        <ns0:v>8</ns0:v>
      </ns0:c>
      <ns0:c r="Q1523">
        <ns0:f>IF(AND(L1523=1,O1523*Calculations!$B$2&lt;=Calculations!$B$10*Calculations!$B$4),1,0)</ns0:f>
        <ns0:v>0</ns0:v>
      </ns0:c>
      <ns0:c r="R1523">
        <ns0:f>IF(AND(L1523=1,O1523*Calculations!$B$2&lt;=Calculations!$B$11*Calculations!$B$4),1,0)</ns0:f>
        <ns0:v>0</ns0:v>
      </ns0:c>
    </ns0:row>
    <ns0:row r="1524">
      <ns0:c r="A1524" t="inlineStr">
        <ns0:is>
          <ns0:t>case_1523</ns0:t>
        </ns0:is>
      </ns0:c>
      <ns0:c r="B1524" t="inlineStr">
        <ns0:is>
          <ns0:t>function_0443</ns0:t>
        </ns0:is>
      </ns0:c>
      <ns0:c r="C1524" t="inlineStr">
        <ns0:is>
          <ns0:t>run_013</ns0:t>
        </ns0:is>
      </ns0:c>
      <ns0:c r="D1524" t="inlineStr">
        <ns0:is>
          <ns0:t>rand</ns0:t>
        </ns0:is>
      </ns0:c>
      <ns0:c r="E1524" t="inlineStr">
        <ns0:is>
          <ns0:t>gemini-2.5-flash-nothinking</ns0:t>
        </ns0:is>
      </ns0:c>
      <ns0:c r="F1524" t="inlineStr">
        <ns0:is>
          <ns0:t>E0412,E0433</ns0:t>
        </ns0:is>
      </ns0:c>
      <ns0:c r="G1524" t="n">
        <ns0:v>1</ns0:v>
      </ns0:c>
      <ns0:c r="H1524" t="n">
        <ns0:v>1411</ns0:v>
      </ns0:c>
      <ns0:c r="I1524" t="n">
        <ns0:v>138</ns0:v>
      </ns0:c>
      <ns0:c r="J1524" t="n">
        <ns0:v>1549</ns0:v>
      </ns0:c>
      <ns0:c r="K1524" t="n">
        <ns0:v>2</ns0:v>
      </ns0:c>
      <ns0:c r="L1524" t="n">
        <ns0:v>1</ns0:v>
      </ns0:c>
      <ns0:c r="M1524" t="n">
        <ns0:v>37194</ns0:v>
      </ns0:c>
      <ns0:c r="N1524" t="n">
        <ns0:v>362</ns0:v>
      </ns0:c>
      <ns0:c r="O1524" t="n">
        <ns0:v>37556</ns0:v>
      </ns0:c>
      <ns0:c r="P1524" t="n">
        <ns0:v>5</ns0:v>
      </ns0:c>
      <ns0:c r="Q1524">
        <ns0:f>IF(AND(L1524=1,O1524*Calculations!$B$2&lt;=Calculations!$B$10*Calculations!$B$4),1,0)</ns0:f>
        <ns0:v>0</ns0:v>
      </ns0:c>
      <ns0:c r="R1524">
        <ns0:f>IF(AND(L1524=1,O1524*Calculations!$B$2&lt;=Calculations!$B$11*Calculations!$B$4),1,0)</ns0:f>
        <ns0:v>1</ns0:v>
      </ns0:c>
    </ns0:row>
    <ns0:row r="1525">
      <ns0:c r="A1525" t="inlineStr">
        <ns0:is>
          <ns0:t>case_1524</ns0:t>
        </ns0:is>
      </ns0:c>
      <ns0:c r="B1525" t="inlineStr">
        <ns0:is>
          <ns0:t>function_0444</ns0:t>
        </ns0:is>
      </ns0:c>
      <ns0:c r="C1525" t="inlineStr">
        <ns0:is>
          <ns0:t>run_013</ns0:t>
        </ns0:is>
      </ns0:c>
      <ns0:c r="D1525" t="inlineStr">
        <ns0:is>
          <ns0:t>rand</ns0:t>
        </ns0:is>
      </ns0:c>
      <ns0:c r="E1525" t="inlineStr">
        <ns0:is>
          <ns0:t>gemini-2.5-flash-nothinking</ns0:t>
        </ns0:is>
      </ns0:c>
      <ns0:c r="F1525" t="inlineStr"/>
      <ns0:c r="G1525" t="n">
        <ns0:v>1</ns0:v>
      </ns0:c>
      <ns0:c r="H1525" t="n">
        <ns0:v>3722</ns0:v>
      </ns0:c>
      <ns0:c r="I1525" t="n">
        <ns0:v>601</ns0:v>
      </ns0:c>
      <ns0:c r="J1525" t="n">
        <ns0:v>4323</ns0:v>
      </ns0:c>
      <ns0:c r="K1525" t="n">
        <ns0:v>1</ns0:v>
      </ns0:c>
      <ns0:c r="L1525" t="n">
        <ns0:v>1</ns0:v>
      </ns0:c>
      <ns0:c r="M1525" t="n">
        <ns0:v>15388</ns0:v>
      </ns0:c>
      <ns0:c r="N1525" t="n">
        <ns0:v>239</ns0:v>
      </ns0:c>
      <ns0:c r="O1525" t="n">
        <ns0:v>15627</ns0:v>
      </ns0:c>
      <ns0:c r="P1525" t="n">
        <ns0:v>2</ns0:v>
      </ns0:c>
      <ns0:c r="Q1525">
        <ns0:f>IF(AND(L1525=1,O1525*Calculations!$B$2&lt;=Calculations!$B$10*Calculations!$B$4),1,0)</ns0:f>
        <ns0:v>1</ns0:v>
      </ns0:c>
      <ns0:c r="R1525">
        <ns0:f>IF(AND(L1525=1,O1525*Calculations!$B$2&lt;=Calculations!$B$11*Calculations!$B$4),1,0)</ns0:f>
        <ns0:v>1</ns0:v>
      </ns0:c>
    </ns0:row>
    <ns0:row r="1526">
      <ns0:c r="A1526" t="inlineStr">
        <ns0:is>
          <ns0:t>case_1525</ns0:t>
        </ns0:is>
      </ns0:c>
      <ns0:c r="B1526" t="inlineStr">
        <ns0:is>
          <ns0:t>function_0444</ns0:t>
        </ns0:is>
      </ns0:c>
      <ns0:c r="C1526" t="inlineStr">
        <ns0:is>
          <ns0:t>run_013</ns0:t>
        </ns0:is>
      </ns0:c>
      <ns0:c r="D1526" t="inlineStr">
        <ns0:is>
          <ns0:t>rand</ns0:t>
        </ns0:is>
      </ns0:c>
      <ns0:c r="E1526" t="inlineStr">
        <ns0:is>
          <ns0:t>gemini-2.5-flash-nothinking</ns0:t>
        </ns0:is>
      </ns0:c>
      <ns0:c r="F1526" t="inlineStr">
        <ns0:is>
          <ns0:t>E0432</ns0:t>
        </ns0:is>
      </ns0:c>
      <ns0:c r="G1526" t="n">
        <ns0:v>0</ns0:v>
      </ns0:c>
      <ns0:c r="H1526" t="n">
        <ns0:v>6703</ns0:v>
      </ns0:c>
      <ns0:c r="I1526" t="n">
        <ns0:v>1185</ns0:v>
      </ns0:c>
      <ns0:c r="J1526" t="n">
        <ns0:v>7888</ns0:v>
      </ns0:c>
      <ns0:c r="K1526" t="n">
        <ns0:v>3</ns0:v>
      </ns0:c>
      <ns0:c r="L1526" t="n">
        <ns0:v>0</ns0:v>
      </ns0:c>
      <ns0:c r="M1526" t="n">
        <ns0:v>182687</ns0:v>
      </ns0:c>
      <ns0:c r="N1526" t="n">
        <ns0:v>3836</ns0:v>
      </ns0:c>
      <ns0:c r="O1526" t="n">
        <ns0:v>186523</ns0:v>
      </ns0:c>
      <ns0:c r="P1526" t="n">
        <ns0:v>20</ns0:v>
      </ns0:c>
      <ns0:c r="Q1526">
        <ns0:f>IF(AND(L1526=1,O1526*Calculations!$B$2&lt;=Calculations!$B$10*Calculations!$B$4),1,0)</ns0:f>
        <ns0:v>0</ns0:v>
      </ns0:c>
      <ns0:c r="R1526">
        <ns0:f>IF(AND(L1526=1,O1526*Calculations!$B$2&lt;=Calculations!$B$11*Calculations!$B$4),1,0)</ns0:f>
        <ns0:v>0</ns0:v>
      </ns0:c>
    </ns0:row>
    <ns0:row r="1527">
      <ns0:c r="A1527" t="inlineStr">
        <ns0:is>
          <ns0:t>case_1526</ns0:t>
        </ns0:is>
      </ns0:c>
      <ns0:c r="B1527" t="inlineStr">
        <ns0:is>
          <ns0:t>function_0444</ns0:t>
        </ns0:is>
      </ns0:c>
      <ns0:c r="C1527" t="inlineStr">
        <ns0:is>
          <ns0:t>run_013</ns0:t>
        </ns0:is>
      </ns0:c>
      <ns0:c r="D1527" t="inlineStr">
        <ns0:is>
          <ns0:t>rand</ns0:t>
        </ns0:is>
      </ns0:c>
      <ns0:c r="E1527" t="inlineStr">
        <ns0:is>
          <ns0:t>gemini-2.5-flash-nothinking</ns0:t>
        </ns0:is>
      </ns0:c>
      <ns0:c r="F1527" t="inlineStr">
        <ns0:is>
          <ns0:t>E0412,E0433</ns0:t>
        </ns0:is>
      </ns0:c>
      <ns0:c r="G1527" t="n">
        <ns0:v>0</ns0:v>
      </ns0:c>
      <ns0:c r="H1527" t="n">
        <ns0:v>12976</ns0:v>
      </ns0:c>
      <ns0:c r="I1527" t="n">
        <ns0:v>1216</ns0:v>
      </ns0:c>
      <ns0:c r="J1527" t="n">
        <ns0:v>14192</ns0:v>
      </ns0:c>
      <ns0:c r="K1527" t="n">
        <ns0:v>10</ns0:v>
      </ns0:c>
      <ns0:c r="L1527" t="n">
        <ns0:v>1</ns0:v>
      </ns0:c>
      <ns0:c r="M1527" t="n">
        <ns0:v>82859</ns0:v>
      </ns0:c>
      <ns0:c r="N1527" t="n">
        <ns0:v>1471</ns0:v>
      </ns0:c>
      <ns0:c r="O1527" t="n">
        <ns0:v>84330</ns0:v>
      </ns0:c>
      <ns0:c r="P1527" t="n">
        <ns0:v>8</ns0:v>
      </ns0:c>
      <ns0:c r="Q1527">
        <ns0:f>IF(AND(L1527=1,O1527*Calculations!$B$2&lt;=Calculations!$B$10*Calculations!$B$4),1,0)</ns0:f>
        <ns0:v>0</ns0:v>
      </ns0:c>
      <ns0:c r="R1527">
        <ns0:f>IF(AND(L1527=1,O1527*Calculations!$B$2&lt;=Calculations!$B$11*Calculations!$B$4),1,0)</ns0:f>
        <ns0:v>0</ns0:v>
      </ns0:c>
    </ns0:row>
    <ns0:row r="1528">
      <ns0:c r="A1528" t="inlineStr">
        <ns0:is>
          <ns0:t>case_1527</ns0:t>
        </ns0:is>
      </ns0:c>
      <ns0:c r="B1528" t="inlineStr">
        <ns0:is>
          <ns0:t>function_0445</ns0:t>
        </ns0:is>
      </ns0:c>
      <ns0:c r="C1528" t="inlineStr">
        <ns0:is>
          <ns0:t>run_013</ns0:t>
        </ns0:is>
      </ns0:c>
      <ns0:c r="D1528" t="inlineStr">
        <ns0:is>
          <ns0:t>rand</ns0:t>
        </ns0:is>
      </ns0:c>
      <ns0:c r="E1528" t="inlineStr">
        <ns0:is>
          <ns0:t>gemini-2.5-flash-nothinking</ns0:t>
        </ns0:is>
      </ns0:c>
      <ns0:c r="F1528" t="inlineStr">
        <ns0:is>
          <ns0:t>E0432,E0433</ns0:t>
        </ns0:is>
      </ns0:c>
      <ns0:c r="G1528" t="n">
        <ns0:v>0</ns0:v>
      </ns0:c>
      <ns0:c r="H1528" t="n">
        <ns0:v>9890</ns0:v>
      </ns0:c>
      <ns0:c r="I1528" t="n">
        <ns0:v>438</ns0:v>
      </ns0:c>
      <ns0:c r="J1528" t="n">
        <ns0:v>10328</ns0:v>
      </ns0:c>
      <ns0:c r="K1528" t="n">
        <ns0:v>3</ns0:v>
      </ns0:c>
      <ns0:c r="L1528" t="n">
        <ns0:v>0</ns0:v>
      </ns0:c>
      <ns0:c r="M1528" t="n">
        <ns0:v>207717</ns0:v>
      </ns0:c>
      <ns0:c r="N1528" t="n">
        <ns0:v>2647</ns0:v>
      </ns0:c>
      <ns0:c r="O1528" t="n">
        <ns0:v>210364</ns0:v>
      </ns0:c>
      <ns0:c r="P1528" t="n">
        <ns0:v>20</ns0:v>
      </ns0:c>
      <ns0:c r="Q1528">
        <ns0:f>IF(AND(L1528=1,O1528*Calculations!$B$2&lt;=Calculations!$B$10*Calculations!$B$4),1,0)</ns0:f>
        <ns0:v>0</ns0:v>
      </ns0:c>
      <ns0:c r="R1528">
        <ns0:f>IF(AND(L1528=1,O1528*Calculations!$B$2&lt;=Calculations!$B$11*Calculations!$B$4),1,0)</ns0:f>
        <ns0:v>0</ns0:v>
      </ns0:c>
    </ns0:row>
    <ns0:row r="1529">
      <ns0:c r="A1529" t="inlineStr">
        <ns0:is>
          <ns0:t>case_1528</ns0:t>
        </ns0:is>
      </ns0:c>
      <ns0:c r="B1529" t="inlineStr">
        <ns0:is>
          <ns0:t>function_0445</ns0:t>
        </ns0:is>
      </ns0:c>
      <ns0:c r="C1529" t="inlineStr">
        <ns0:is>
          <ns0:t>run_013</ns0:t>
        </ns0:is>
      </ns0:c>
      <ns0:c r="D1529" t="inlineStr">
        <ns0:is>
          <ns0:t>rand</ns0:t>
        </ns0:is>
      </ns0:c>
      <ns0:c r="E1529" t="inlineStr">
        <ns0:is>
          <ns0:t>gemini-2.5-flash-nothinking</ns0:t>
        </ns0:is>
      </ns0:c>
      <ns0:c r="F1529" t="inlineStr">
        <ns0:is>
          <ns0:t>E0432</ns0:t>
        </ns0:is>
      </ns0:c>
      <ns0:c r="G1529" t="n">
        <ns0:v>0</ns0:v>
      </ns0:c>
      <ns0:c r="H1529" t="n">
        <ns0:v>12347</ns0:v>
      </ns0:c>
      <ns0:c r="I1529" t="n">
        <ns0:v>2042</ns0:v>
      </ns0:c>
      <ns0:c r="J1529" t="n">
        <ns0:v>14389</ns0:v>
      </ns0:c>
      <ns0:c r="K1529" t="n">
        <ns0:v>3</ns0:v>
      </ns0:c>
      <ns0:c r="L1529" t="n">
        <ns0:v>0</ns0:v>
      </ns0:c>
      <ns0:c r="M1529" t="n">
        <ns0:v>331839</ns0:v>
      </ns0:c>
      <ns0:c r="N1529" t="n">
        <ns0:v>4939</ns0:v>
      </ns0:c>
      <ns0:c r="O1529" t="n">
        <ns0:v>336778</ns0:v>
      </ns0:c>
      <ns0:c r="P1529" t="n">
        <ns0:v>20</ns0:v>
      </ns0:c>
      <ns0:c r="Q1529">
        <ns0:f>IF(AND(L1529=1,O1529*Calculations!$B$2&lt;=Calculations!$B$10*Calculations!$B$4),1,0)</ns0:f>
        <ns0:v>0</ns0:v>
      </ns0:c>
      <ns0:c r="R1529">
        <ns0:f>IF(AND(L1529=1,O1529*Calculations!$B$2&lt;=Calculations!$B$11*Calculations!$B$4),1,0)</ns0:f>
        <ns0:v>0</ns0:v>
      </ns0:c>
    </ns0:row>
    <ns0:row r="1530">
      <ns0:c r="A1530" t="inlineStr">
        <ns0:is>
          <ns0:t>case_1529</ns0:t>
        </ns0:is>
      </ns0:c>
      <ns0:c r="B1530" t="inlineStr">
        <ns0:is>
          <ns0:t>function_0445</ns0:t>
        </ns0:is>
      </ns0:c>
      <ns0:c r="C1530" t="inlineStr">
        <ns0:is>
          <ns0:t>run_013</ns0:t>
        </ns0:is>
      </ns0:c>
      <ns0:c r="D1530" t="inlineStr">
        <ns0:is>
          <ns0:t>rand</ns0:t>
        </ns0:is>
      </ns0:c>
      <ns0:c r="E1530" t="inlineStr">
        <ns0:is>
          <ns0:t>gemini-2.5-flash-nothinking</ns0:t>
        </ns0:is>
      </ns0:c>
      <ns0:c r="F1530" t="inlineStr">
        <ns0:is>
          <ns0:t>E0432</ns0:t>
        </ns0:is>
      </ns0:c>
      <ns0:c r="G1530" t="n">
        <ns0:v>0</ns0:v>
      </ns0:c>
      <ns0:c r="H1530" t="n">
        <ns0:v>84365</ns0:v>
      </ns0:c>
      <ns0:c r="I1530" t="n">
        <ns0:v>4656</ns0:v>
      </ns0:c>
      <ns0:c r="J1530" t="n">
        <ns0:v>89021</ns0:v>
      </ns0:c>
      <ns0:c r="K1530" t="n">
        <ns0:v>25</ns0:v>
      </ns0:c>
      <ns0:c r="L1530" t="n">
        <ns0:v>0</ns0:v>
      </ns0:c>
      <ns0:c r="M1530" t="n">
        <ns0:v>50785</ns0:v>
      </ns0:c>
      <ns0:c r="N1530" t="n">
        <ns0:v>1378</ns0:v>
      </ns0:c>
      <ns0:c r="O1530" t="n">
        <ns0:v>52163</ns0:v>
      </ns0:c>
      <ns0:c r="P1530" t="n">
        <ns0:v>5</ns0:v>
      </ns0:c>
      <ns0:c r="Q1530">
        <ns0:f>IF(AND(L1530=1,O1530*Calculations!$B$2&lt;=Calculations!$B$10*Calculations!$B$4),1,0)</ns0:f>
        <ns0:v>0</ns0:v>
      </ns0:c>
      <ns0:c r="R1530">
        <ns0:f>IF(AND(L1530=1,O1530*Calculations!$B$2&lt;=Calculations!$B$11*Calculations!$B$4),1,0)</ns0:f>
        <ns0:v>0</ns0:v>
      </ns0:c>
    </ns0:row>
    <ns0:row r="1531">
      <ns0:c r="A1531" t="inlineStr">
        <ns0:is>
          <ns0:t>case_1530</ns0:t>
        </ns0:is>
      </ns0:c>
      <ns0:c r="B1531" t="inlineStr">
        <ns0:is>
          <ns0:t>function_0445</ns0:t>
        </ns0:is>
      </ns0:c>
      <ns0:c r="C1531" t="inlineStr">
        <ns0:is>
          <ns0:t>run_013</ns0:t>
        </ns0:is>
      </ns0:c>
      <ns0:c r="D1531" t="inlineStr">
        <ns0:is>
          <ns0:t>rand</ns0:t>
        </ns0:is>
      </ns0:c>
      <ns0:c r="E1531" t="inlineStr">
        <ns0:is>
          <ns0:t>gemini-2.5-flash-nothinking</ns0:t>
        </ns0:is>
      </ns0:c>
      <ns0:c r="F1531" t="inlineStr">
        <ns0:is>
          <ns0:t>E0432,E0433</ns0:t>
        </ns0:is>
      </ns0:c>
      <ns0:c r="G1531" t="n">
        <ns0:v>0</ns0:v>
      </ns0:c>
      <ns0:c r="H1531" t="n">
        <ns0:v>11074</ns0:v>
      </ns0:c>
      <ns0:c r="I1531" t="n">
        <ns0:v>1362</ns0:v>
      </ns0:c>
      <ns0:c r="J1531" t="n">
        <ns0:v>12436</ns0:v>
      </ns0:c>
      <ns0:c r="K1531" t="n">
        <ns0:v>3</ns0:v>
      </ns0:c>
      <ns0:c r="L1531" t="n">
        <ns0:v>0</ns0:v>
      </ns0:c>
      <ns0:c r="M1531" t="n">
        <ns0:v>199350</ns0:v>
      </ns0:c>
      <ns0:c r="N1531" t="n">
        <ns0:v>6435</ns0:v>
      </ns0:c>
      <ns0:c r="O1531" t="n">
        <ns0:v>205785</ns0:v>
      </ns0:c>
      <ns0:c r="P1531" t="n">
        <ns0:v>20</ns0:v>
      </ns0:c>
      <ns0:c r="Q1531">
        <ns0:f>IF(AND(L1531=1,O1531*Calculations!$B$2&lt;=Calculations!$B$10*Calculations!$B$4),1,0)</ns0:f>
        <ns0:v>0</ns0:v>
      </ns0:c>
      <ns0:c r="R1531">
        <ns0:f>IF(AND(L1531=1,O1531*Calculations!$B$2&lt;=Calculations!$B$11*Calculations!$B$4),1,0)</ns0:f>
        <ns0:v>0</ns0:v>
      </ns0:c>
    </ns0:row>
    <ns0:row r="1532">
      <ns0:c r="A1532" t="inlineStr">
        <ns0:is>
          <ns0:t>case_1531</ns0:t>
        </ns0:is>
      </ns0:c>
      <ns0:c r="B1532" t="inlineStr">
        <ns0:is>
          <ns0:t>function_0446</ns0:t>
        </ns0:is>
      </ns0:c>
      <ns0:c r="C1532" t="inlineStr">
        <ns0:is>
          <ns0:t>run_013</ns0:t>
        </ns0:is>
      </ns0:c>
      <ns0:c r="D1532" t="inlineStr">
        <ns0:is>
          <ns0:t>rand</ns0:t>
        </ns0:is>
      </ns0:c>
      <ns0:c r="E1532" t="inlineStr">
        <ns0:is>
          <ns0:t>gemini-2.5-flash-nothinking</ns0:t>
        </ns0:is>
      </ns0:c>
      <ns0:c r="F1532" t="inlineStr">
        <ns0:is>
          <ns0:t>E0432,E0433</ns0:t>
        </ns0:is>
      </ns0:c>
      <ns0:c r="G1532" t="n">
        <ns0:v>1</ns0:v>
      </ns0:c>
      <ns0:c r="H1532" t="n">
        <ns0:v>0</ns0:v>
      </ns0:c>
      <ns0:c r="I1532" t="n">
        <ns0:v>0</ns0:v>
      </ns0:c>
      <ns0:c r="J1532" t="n">
        <ns0:v>0</ns0:v>
      </ns0:c>
      <ns0:c r="K1532" t="n">
        <ns0:v>0</ns0:v>
      </ns0:c>
      <ns0:c r="L1532" t="n">
        <ns0:v>1</ns0:v>
      </ns0:c>
      <ns0:c r="M1532" t="n">
        <ns0:v>37126</ns0:v>
      </ns0:c>
      <ns0:c r="N1532" t="n">
        <ns0:v>619</ns0:v>
      </ns0:c>
      <ns0:c r="O1532" t="n">
        <ns0:v>37745</ns0:v>
      </ns0:c>
      <ns0:c r="P1532" t="n">
        <ns0:v>4</ns0:v>
      </ns0:c>
      <ns0:c r="Q1532">
        <ns0:f>IF(AND(L1532=1,O1532*Calculations!$B$2&lt;=Calculations!$B$10*Calculations!$B$4),1,0)</ns0:f>
        <ns0:v>0</ns0:v>
      </ns0:c>
      <ns0:c r="R1532">
        <ns0:f>IF(AND(L1532=1,O1532*Calculations!$B$2&lt;=Calculations!$B$11*Calculations!$B$4),1,0)</ns0:f>
        <ns0:v>1</ns0:v>
      </ns0:c>
    </ns0:row>
    <ns0:row r="1533">
      <ns0:c r="A1533" t="inlineStr">
        <ns0:is>
          <ns0:t>case_1532</ns0:t>
        </ns0:is>
      </ns0:c>
      <ns0:c r="B1533" t="inlineStr">
        <ns0:is>
          <ns0:t>function_0446</ns0:t>
        </ns0:is>
      </ns0:c>
      <ns0:c r="C1533" t="inlineStr">
        <ns0:is>
          <ns0:t>run_013</ns0:t>
        </ns0:is>
      </ns0:c>
      <ns0:c r="D1533" t="inlineStr">
        <ns0:is>
          <ns0:t>rand</ns0:t>
        </ns0:is>
      </ns0:c>
      <ns0:c r="E1533" t="inlineStr">
        <ns0:is>
          <ns0:t>gemini-2.5-flash-nothinking</ns0:t>
        </ns0:is>
      </ns0:c>
      <ns0:c r="F1533" t="inlineStr">
        <ns0:is>
          <ns0:t>E0432,E0433</ns0:t>
        </ns0:is>
      </ns0:c>
      <ns0:c r="G1533" t="n">
        <ns0:v>1</ns0:v>
      </ns0:c>
      <ns0:c r="H1533" t="n">
        <ns0:v>0</ns0:v>
      </ns0:c>
      <ns0:c r="I1533" t="n">
        <ns0:v>0</ns0:v>
      </ns0:c>
      <ns0:c r="J1533" t="n">
        <ns0:v>0</ns0:v>
      </ns0:c>
      <ns0:c r="K1533" t="n">
        <ns0:v>0</ns0:v>
      </ns0:c>
      <ns0:c r="L1533" t="n">
        <ns0:v>1</ns0:v>
      </ns0:c>
      <ns0:c r="M1533" t="n">
        <ns0:v>35369</ns0:v>
      </ns0:c>
      <ns0:c r="N1533" t="n">
        <ns0:v>690</ns0:v>
      </ns0:c>
      <ns0:c r="O1533" t="n">
        <ns0:v>36059</ns0:v>
      </ns0:c>
      <ns0:c r="P1533" t="n">
        <ns0:v>5</ns0:v>
      </ns0:c>
      <ns0:c r="Q1533">
        <ns0:f>IF(AND(L1533=1,O1533*Calculations!$B$2&lt;=Calculations!$B$10*Calculations!$B$4),1,0)</ns0:f>
        <ns0:v>0</ns0:v>
      </ns0:c>
      <ns0:c r="R1533">
        <ns0:f>IF(AND(L1533=1,O1533*Calculations!$B$2&lt;=Calculations!$B$11*Calculations!$B$4),1,0)</ns0:f>
        <ns0:v>1</ns0:v>
      </ns0:c>
    </ns0:row>
    <ns0:row r="1534">
      <ns0:c r="A1534" t="inlineStr">
        <ns0:is>
          <ns0:t>case_1533</ns0:t>
        </ns0:is>
      </ns0:c>
      <ns0:c r="B1534" t="inlineStr">
        <ns0:is>
          <ns0:t>function_0447</ns0:t>
        </ns0:is>
      </ns0:c>
      <ns0:c r="C1534" t="inlineStr">
        <ns0:is>
          <ns0:t>run_013</ns0:t>
        </ns0:is>
      </ns0:c>
      <ns0:c r="D1534" t="inlineStr">
        <ns0:is>
          <ns0:t>rand</ns0:t>
        </ns0:is>
      </ns0:c>
      <ns0:c r="E1534" t="inlineStr">
        <ns0:is>
          <ns0:t>gemini-2.5-flash-nothinking</ns0:t>
        </ns0:is>
      </ns0:c>
      <ns0:c r="F1534" t="inlineStr">
        <ns0:is>
          <ns0:t>E0119,E0432</ns0:t>
        </ns0:is>
      </ns0:c>
      <ns0:c r="G1534" t="n">
        <ns0:v>0</ns0:v>
      </ns0:c>
      <ns0:c r="H1534" t="n">
        <ns0:v>3578</ns0:v>
      </ns0:c>
      <ns0:c r="I1534" t="n">
        <ns0:v>387</ns0:v>
      </ns0:c>
      <ns0:c r="J1534" t="n">
        <ns0:v>3965</ns0:v>
      </ns0:c>
      <ns0:c r="K1534" t="n">
        <ns0:v>3</ns0:v>
      </ns0:c>
      <ns0:c r="L1534" t="n">
        <ns0:v>1</ns0:v>
      </ns0:c>
      <ns0:c r="M1534" t="n">
        <ns0:v>29965</ns0:v>
      </ns0:c>
      <ns0:c r="N1534" t="n">
        <ns0:v>529</ns0:v>
      </ns0:c>
      <ns0:c r="O1534" t="n">
        <ns0:v>30494</ns0:v>
      </ns0:c>
      <ns0:c r="P1534" t="n">
        <ns0:v>4</ns0:v>
      </ns0:c>
      <ns0:c r="Q1534">
        <ns0:f>IF(AND(L1534=1,O1534*Calculations!$B$2&lt;=Calculations!$B$10*Calculations!$B$4),1,0)</ns0:f>
        <ns0:v>0</ns0:v>
      </ns0:c>
      <ns0:c r="R1534">
        <ns0:f>IF(AND(L1534=1,O1534*Calculations!$B$2&lt;=Calculations!$B$11*Calculations!$B$4),1,0)</ns0:f>
        <ns0:v>1</ns0:v>
      </ns0:c>
    </ns0:row>
    <ns0:row r="1535">
      <ns0:c r="A1535" t="inlineStr">
        <ns0:is>
          <ns0:t>case_1534</ns0:t>
        </ns0:is>
      </ns0:c>
      <ns0:c r="B1535" t="inlineStr">
        <ns0:is>
          <ns0:t>function_0447</ns0:t>
        </ns0:is>
      </ns0:c>
      <ns0:c r="C1535" t="inlineStr">
        <ns0:is>
          <ns0:t>run_013</ns0:t>
        </ns0:is>
      </ns0:c>
      <ns0:c r="D1535" t="inlineStr">
        <ns0:is>
          <ns0:t>rand</ns0:t>
        </ns0:is>
      </ns0:c>
      <ns0:c r="E1535" t="inlineStr">
        <ns0:is>
          <ns0:t>gemini-2.5-flash-nothinking</ns0:t>
        </ns0:is>
      </ns0:c>
      <ns0:c r="F1535" t="inlineStr">
        <ns0:is>
          <ns0:t>E0119,E0432,E0433</ns0:t>
        </ns0:is>
      </ns0:c>
      <ns0:c r="G1535" t="n">
        <ns0:v>0</ns0:v>
      </ns0:c>
      <ns0:c r="H1535" t="n">
        <ns0:v>3828</ns0:v>
      </ns0:c>
      <ns0:c r="I1535" t="n">
        <ns0:v>444</ns0:v>
      </ns0:c>
      <ns0:c r="J1535" t="n">
        <ns0:v>4272</ns0:v>
      </ns0:c>
      <ns0:c r="K1535" t="n">
        <ns0:v>3</ns0:v>
      </ns0:c>
      <ns0:c r="L1535" t="n">
        <ns0:v>1</ns0:v>
      </ns0:c>
      <ns0:c r="M1535" t="n">
        <ns0:v>60553</ns0:v>
      </ns0:c>
      <ns0:c r="N1535" t="n">
        <ns0:v>2313</ns0:v>
      </ns0:c>
      <ns0:c r="O1535" t="n">
        <ns0:v>62866</ns0:v>
      </ns0:c>
      <ns0:c r="P1535" t="n">
        <ns0:v>4</ns0:v>
      </ns0:c>
      <ns0:c r="Q1535">
        <ns0:f>IF(AND(L1535=1,O1535*Calculations!$B$2&lt;=Calculations!$B$10*Calculations!$B$4),1,0)</ns0:f>
        <ns0:v>0</ns0:v>
      </ns0:c>
      <ns0:c r="R1535">
        <ns0:f>IF(AND(L1535=1,O1535*Calculations!$B$2&lt;=Calculations!$B$11*Calculations!$B$4),1,0)</ns0:f>
        <ns0:v>0</ns0:v>
      </ns0:c>
    </ns0:row>
    <ns0:row r="1536">
      <ns0:c r="A1536" t="inlineStr">
        <ns0:is>
          <ns0:t>case_1535</ns0:t>
        </ns0:is>
      </ns0:c>
      <ns0:c r="B1536" t="inlineStr">
        <ns0:is>
          <ns0:t>function_0447</ns0:t>
        </ns0:is>
      </ns0:c>
      <ns0:c r="C1536" t="inlineStr">
        <ns0:is>
          <ns0:t>run_013</ns0:t>
        </ns0:is>
      </ns0:c>
      <ns0:c r="D1536" t="inlineStr">
        <ns0:is>
          <ns0:t>rand</ns0:t>
        </ns0:is>
      </ns0:c>
      <ns0:c r="E1536" t="inlineStr">
        <ns0:is>
          <ns0:t>gemini-2.5-flash-nothinking</ns0:t>
        </ns0:is>
      </ns0:c>
      <ns0:c r="F1536" t="inlineStr">
        <ns0:is>
          <ns0:t>E0119</ns0:t>
        </ns0:is>
      </ns0:c>
      <ns0:c r="G1536" t="n">
        <ns0:v>0</ns0:v>
      </ns0:c>
      <ns0:c r="H1536" t="n">
        <ns0:v>3392</ns0:v>
      </ns0:c>
      <ns0:c r="I1536" t="n">
        <ns0:v>348</ns0:v>
      </ns0:c>
      <ns0:c r="J1536" t="n">
        <ns0:v>3740</ns0:v>
      </ns0:c>
      <ns0:c r="K1536" t="n">
        <ns0:v>3</ns0:v>
      </ns0:c>
      <ns0:c r="L1536" t="n">
        <ns0:v>1</ns0:v>
      </ns0:c>
      <ns0:c r="M1536" t="n">
        <ns0:v>61870</ns0:v>
      </ns0:c>
      <ns0:c r="N1536" t="n">
        <ns0:v>740</ns0:v>
      </ns0:c>
      <ns0:c r="O1536" t="n">
        <ns0:v>62610</ns0:v>
      </ns0:c>
      <ns0:c r="P1536" t="n">
        <ns0:v>7</ns0:v>
      </ns0:c>
      <ns0:c r="Q1536">
        <ns0:f>IF(AND(L1536=1,O1536*Calculations!$B$2&lt;=Calculations!$B$10*Calculations!$B$4),1,0)</ns0:f>
        <ns0:v>0</ns0:v>
      </ns0:c>
      <ns0:c r="R1536">
        <ns0:f>IF(AND(L1536=1,O1536*Calculations!$B$2&lt;=Calculations!$B$11*Calculations!$B$4),1,0)</ns0:f>
        <ns0:v>0</ns0:v>
      </ns0:c>
    </ns0:row>
    <ns0:row r="1537">
      <ns0:c r="A1537" t="inlineStr">
        <ns0:is>
          <ns0:t>case_1536</ns0:t>
        </ns0:is>
      </ns0:c>
      <ns0:c r="B1537" t="inlineStr">
        <ns0:is>
          <ns0:t>function_0448</ns0:t>
        </ns0:is>
      </ns0:c>
      <ns0:c r="C1537" t="inlineStr">
        <ns0:is>
          <ns0:t>run_013</ns0:t>
        </ns0:is>
      </ns0:c>
      <ns0:c r="D1537" t="inlineStr">
        <ns0:is>
          <ns0:t>rand</ns0:t>
        </ns0:is>
      </ns0:c>
      <ns0:c r="E1537" t="inlineStr">
        <ns0:is>
          <ns0:t>gemini-2.5-flash-nothinking</ns0:t>
        </ns0:is>
      </ns0:c>
      <ns0:c r="F1537" t="inlineStr">
        <ns0:is>
          <ns0:t>E0432,E0433</ns0:t>
        </ns0:is>
      </ns0:c>
      <ns0:c r="G1537" t="n">
        <ns0:v>1</ns0:v>
      </ns0:c>
      <ns0:c r="H1537" t="n">
        <ns0:v>0</ns0:v>
      </ns0:c>
      <ns0:c r="I1537" t="n">
        <ns0:v>0</ns0:v>
      </ns0:c>
      <ns0:c r="J1537" t="n">
        <ns0:v>0</ns0:v>
      </ns0:c>
      <ns0:c r="K1537" t="n">
        <ns0:v>0</ns0:v>
      </ns0:c>
      <ns0:c r="L1537" t="n">
        <ns0:v>1</ns0:v>
      </ns0:c>
      <ns0:c r="M1537" t="n">
        <ns0:v>112058</ns0:v>
      </ns0:c>
      <ns0:c r="N1537" t="n">
        <ns0:v>2525</ns0:v>
      </ns0:c>
      <ns0:c r="O1537" t="n">
        <ns0:v>114583</ns0:v>
      </ns0:c>
      <ns0:c r="P1537" t="n">
        <ns0:v>8</ns0:v>
      </ns0:c>
      <ns0:c r="Q1537">
        <ns0:f>IF(AND(L1537=1,O1537*Calculations!$B$2&lt;=Calculations!$B$10*Calculations!$B$4),1,0)</ns0:f>
        <ns0:v>0</ns0:v>
      </ns0:c>
      <ns0:c r="R1537">
        <ns0:f>IF(AND(L1537=1,O1537*Calculations!$B$2&lt;=Calculations!$B$11*Calculations!$B$4),1,0)</ns0:f>
        <ns0:v>0</ns0:v>
      </ns0:c>
    </ns0:row>
    <ns0:row r="1538">
      <ns0:c r="A1538" t="inlineStr">
        <ns0:is>
          <ns0:t>case_1537</ns0:t>
        </ns0:is>
      </ns0:c>
      <ns0:c r="B1538" t="inlineStr">
        <ns0:is>
          <ns0:t>function_0448</ns0:t>
        </ns0:is>
      </ns0:c>
      <ns0:c r="C1538" t="inlineStr">
        <ns0:is>
          <ns0:t>run_013</ns0:t>
        </ns0:is>
      </ns0:c>
      <ns0:c r="D1538" t="inlineStr">
        <ns0:is>
          <ns0:t>rand</ns0:t>
        </ns0:is>
      </ns0:c>
      <ns0:c r="E1538" t="inlineStr">
        <ns0:is>
          <ns0:t>gemini-2.5-flash-nothinking</ns0:t>
        </ns0:is>
      </ns0:c>
      <ns0:c r="F1538" t="inlineStr">
        <ns0:is>
          <ns0:t>E0432,E0433</ns0:t>
        </ns0:is>
      </ns0:c>
      <ns0:c r="G1538" t="n">
        <ns0:v>1</ns0:v>
      </ns0:c>
      <ns0:c r="H1538" t="n">
        <ns0:v>0</ns0:v>
      </ns0:c>
      <ns0:c r="I1538" t="n">
        <ns0:v>0</ns0:v>
      </ns0:c>
      <ns0:c r="J1538" t="n">
        <ns0:v>0</ns0:v>
      </ns0:c>
      <ns0:c r="K1538" t="n">
        <ns0:v>0</ns0:v>
      </ns0:c>
      <ns0:c r="L1538" t="n">
        <ns0:v>1</ns0:v>
      </ns0:c>
      <ns0:c r="M1538" t="n">
        <ns0:v>70840</ns0:v>
      </ns0:c>
      <ns0:c r="N1538" t="n">
        <ns0:v>3545</ns0:v>
      </ns0:c>
      <ns0:c r="O1538" t="n">
        <ns0:v>74385</ns0:v>
      </ns0:c>
      <ns0:c r="P1538" t="n">
        <ns0:v>6</ns0:v>
      </ns0:c>
      <ns0:c r="Q1538">
        <ns0:f>IF(AND(L1538=1,O1538*Calculations!$B$2&lt;=Calculations!$B$10*Calculations!$B$4),1,0)</ns0:f>
        <ns0:v>0</ns0:v>
      </ns0:c>
      <ns0:c r="R1538">
        <ns0:f>IF(AND(L1538=1,O1538*Calculations!$B$2&lt;=Calculations!$B$11*Calculations!$B$4),1,0)</ns0:f>
        <ns0:v>0</ns0:v>
      </ns0:c>
    </ns0:row>
    <ns0:row r="1539">
      <ns0:c r="A1539" t="inlineStr">
        <ns0:is>
          <ns0:t>case_1538</ns0:t>
        </ns0:is>
      </ns0:c>
      <ns0:c r="B1539" t="inlineStr">
        <ns0:is>
          <ns0:t>function_0448</ns0:t>
        </ns0:is>
      </ns0:c>
      <ns0:c r="C1539" t="inlineStr">
        <ns0:is>
          <ns0:t>run_013</ns0:t>
        </ns0:is>
      </ns0:c>
      <ns0:c r="D1539" t="inlineStr">
        <ns0:is>
          <ns0:t>rand</ns0:t>
        </ns0:is>
      </ns0:c>
      <ns0:c r="E1539" t="inlineStr">
        <ns0:is>
          <ns0:t>gemini-2.5-flash-nothinking</ns0:t>
        </ns0:is>
      </ns0:c>
      <ns0:c r="F1539" t="inlineStr">
        <ns0:is>
          <ns0:t>E0432,E0433</ns0:t>
        </ns0:is>
      </ns0:c>
      <ns0:c r="G1539" t="n">
        <ns0:v>1</ns0:v>
      </ns0:c>
      <ns0:c r="H1539" t="n">
        <ns0:v>0</ns0:v>
      </ns0:c>
      <ns0:c r="I1539" t="n">
        <ns0:v>0</ns0:v>
      </ns0:c>
      <ns0:c r="J1539" t="n">
        <ns0:v>0</ns0:v>
      </ns0:c>
      <ns0:c r="K1539" t="n">
        <ns0:v>0</ns0:v>
      </ns0:c>
      <ns0:c r="L1539" t="n">
        <ns0:v>0</ns0:v>
      </ns0:c>
      <ns0:c r="M1539" t="n">
        <ns0:v>30545</ns0:v>
      </ns0:c>
      <ns0:c r="N1539" t="n">
        <ns0:v>1802</ns0:v>
      </ns0:c>
      <ns0:c r="O1539" t="n">
        <ns0:v>32347</ns0:v>
      </ns0:c>
      <ns0:c r="P1539" t="n">
        <ns0:v>4</ns0:v>
      </ns0:c>
      <ns0:c r="Q1539">
        <ns0:f>IF(AND(L1539=1,O1539*Calculations!$B$2&lt;=Calculations!$B$10*Calculations!$B$4),1,0)</ns0:f>
        <ns0:v>0</ns0:v>
      </ns0:c>
      <ns0:c r="R1539">
        <ns0:f>IF(AND(L1539=1,O1539*Calculations!$B$2&lt;=Calculations!$B$11*Calculations!$B$4),1,0)</ns0:f>
        <ns0:v>0</ns0:v>
      </ns0:c>
    </ns0:row>
    <ns0:row r="1540">
      <ns0:c r="A1540" t="inlineStr">
        <ns0:is>
          <ns0:t>case_1539</ns0:t>
        </ns0:is>
      </ns0:c>
      <ns0:c r="B1540" t="inlineStr">
        <ns0:is>
          <ns0:t>function_0449</ns0:t>
        </ns0:is>
      </ns0:c>
      <ns0:c r="C1540" t="inlineStr">
        <ns0:is>
          <ns0:t>run_013</ns0:t>
        </ns0:is>
      </ns0:c>
      <ns0:c r="D1540" t="inlineStr">
        <ns0:is>
          <ns0:t>rand</ns0:t>
        </ns0:is>
      </ns0:c>
      <ns0:c r="E1540" t="inlineStr">
        <ns0:is>
          <ns0:t>gemini-2.5-flash-nothinking</ns0:t>
        </ns0:is>
      </ns0:c>
      <ns0:c r="F1540" t="inlineStr">
        <ns0:is>
          <ns0:t>E0119,E0432,E0433</ns0:t>
        </ns0:is>
      </ns0:c>
      <ns0:c r="G1540" t="n">
        <ns0:v>0</ns0:v>
      </ns0:c>
      <ns0:c r="H1540" t="n">
        <ns0:v>3059</ns0:v>
      </ns0:c>
      <ns0:c r="I1540" t="n">
        <ns0:v>290</ns0:v>
      </ns0:c>
      <ns0:c r="J1540" t="n">
        <ns0:v>3349</ns0:v>
      </ns0:c>
      <ns0:c r="K1540" t="n">
        <ns0:v>3</ns0:v>
      </ns0:c>
      <ns0:c r="L1540" t="n">
        <ns0:v>0</ns0:v>
      </ns0:c>
      <ns0:c r="M1540" t="n">
        <ns0:v>253464</ns0:v>
      </ns0:c>
      <ns0:c r="N1540" t="n">
        <ns0:v>14112</ns0:v>
      </ns0:c>
      <ns0:c r="O1540" t="n">
        <ns0:v>267576</ns0:v>
      </ns0:c>
      <ns0:c r="P1540" t="n">
        <ns0:v>22</ns0:v>
      </ns0:c>
      <ns0:c r="Q1540">
        <ns0:f>IF(AND(L1540=1,O1540*Calculations!$B$2&lt;=Calculations!$B$10*Calculations!$B$4),1,0)</ns0:f>
        <ns0:v>0</ns0:v>
      </ns0:c>
      <ns0:c r="R1540">
        <ns0:f>IF(AND(L1540=1,O1540*Calculations!$B$2&lt;=Calculations!$B$11*Calculations!$B$4),1,0)</ns0:f>
        <ns0:v>0</ns0:v>
      </ns0:c>
    </ns0:row>
    <ns0:row r="1541">
      <ns0:c r="A1541" t="inlineStr">
        <ns0:is>
          <ns0:t>case_1540</ns0:t>
        </ns0:is>
      </ns0:c>
      <ns0:c r="B1541" t="inlineStr">
        <ns0:is>
          <ns0:t>function_0449</ns0:t>
        </ns0:is>
      </ns0:c>
      <ns0:c r="C1541" t="inlineStr">
        <ns0:is>
          <ns0:t>run_013</ns0:t>
        </ns0:is>
      </ns0:c>
      <ns0:c r="D1541" t="inlineStr">
        <ns0:is>
          <ns0:t>rand</ns0:t>
        </ns0:is>
      </ns0:c>
      <ns0:c r="E1541" t="inlineStr">
        <ns0:is>
          <ns0:t>gemini-2.5-flash-nothinking</ns0:t>
        </ns0:is>
      </ns0:c>
      <ns0:c r="F1541" t="inlineStr">
        <ns0:is>
          <ns0:t>E0432,E0433</ns0:t>
        </ns0:is>
      </ns0:c>
      <ns0:c r="G1541" t="n">
        <ns0:v>1</ns0:v>
      </ns0:c>
      <ns0:c r="H1541" t="n">
        <ns0:v>0</ns0:v>
      </ns0:c>
      <ns0:c r="I1541" t="n">
        <ns0:v>0</ns0:v>
      </ns0:c>
      <ns0:c r="J1541" t="n">
        <ns0:v>0</ns0:v>
      </ns0:c>
      <ns0:c r="K1541" t="n">
        <ns0:v>0</ns0:v>
      </ns0:c>
      <ns0:c r="L1541" t="n">
        <ns0:v>1</ns0:v>
      </ns0:c>
      <ns0:c r="M1541" t="n">
        <ns0:v>78780</ns0:v>
      </ns0:c>
      <ns0:c r="N1541" t="n">
        <ns0:v>1291</ns0:v>
      </ns0:c>
      <ns0:c r="O1541" t="n">
        <ns0:v>80071</ns0:v>
      </ns0:c>
      <ns0:c r="P1541" t="n">
        <ns0:v>5</ns0:v>
      </ns0:c>
      <ns0:c r="Q1541">
        <ns0:f>IF(AND(L1541=1,O1541*Calculations!$B$2&lt;=Calculations!$B$10*Calculations!$B$4),1,0)</ns0:f>
        <ns0:v>0</ns0:v>
      </ns0:c>
      <ns0:c r="R1541">
        <ns0:f>IF(AND(L1541=1,O1541*Calculations!$B$2&lt;=Calculations!$B$11*Calculations!$B$4),1,0)</ns0:f>
        <ns0:v>0</ns0:v>
      </ns0:c>
    </ns0:row>
    <ns0:row r="1542">
      <ns0:c r="A1542" t="inlineStr">
        <ns0:is>
          <ns0:t>case_1541</ns0:t>
        </ns0:is>
      </ns0:c>
      <ns0:c r="B1542" t="inlineStr">
        <ns0:is>
          <ns0:t>function_0449</ns0:t>
        </ns0:is>
      </ns0:c>
      <ns0:c r="C1542" t="inlineStr">
        <ns0:is>
          <ns0:t>run_013</ns0:t>
        </ns0:is>
      </ns0:c>
      <ns0:c r="D1542" t="inlineStr">
        <ns0:is>
          <ns0:t>rand</ns0:t>
        </ns0:is>
      </ns0:c>
      <ns0:c r="E1542" t="inlineStr">
        <ns0:is>
          <ns0:t>gemini-2.5-flash-nothinking</ns0:t>
        </ns0:is>
      </ns0:c>
      <ns0:c r="F1542" t="inlineStr">
        <ns0:is>
          <ns0:t>E0119,E0432,E0433</ns0:t>
        </ns0:is>
      </ns0:c>
      <ns0:c r="G1542" t="n">
        <ns0:v>0</ns0:v>
      </ns0:c>
      <ns0:c r="H1542" t="n">
        <ns0:v>2803</ns0:v>
      </ns0:c>
      <ns0:c r="I1542" t="n">
        <ns0:v>220</ns0:v>
      </ns0:c>
      <ns0:c r="J1542" t="n">
        <ns0:v>3023</ns0:v>
      </ns0:c>
      <ns0:c r="K1542" t="n">
        <ns0:v>3</ns0:v>
      </ns0:c>
      <ns0:c r="L1542" t="n">
        <ns0:v>1</ns0:v>
      </ns0:c>
      <ns0:c r="M1542" t="n">
        <ns0:v>54757</ns0:v>
      </ns0:c>
      <ns0:c r="N1542" t="n">
        <ns0:v>924</ns0:v>
      </ns0:c>
      <ns0:c r="O1542" t="n">
        <ns0:v>55681</ns0:v>
      </ns0:c>
      <ns0:c r="P1542" t="n">
        <ns0:v>6</ns0:v>
      </ns0:c>
      <ns0:c r="Q1542">
        <ns0:f>IF(AND(L1542=1,O1542*Calculations!$B$2&lt;=Calculations!$B$10*Calculations!$B$4),1,0)</ns0:f>
        <ns0:v>0</ns0:v>
      </ns0:c>
      <ns0:c r="R1542">
        <ns0:f>IF(AND(L1542=1,O1542*Calculations!$B$2&lt;=Calculations!$B$11*Calculations!$B$4),1,0)</ns0:f>
        <ns0:v>0</ns0:v>
      </ns0:c>
    </ns0:row>
    <ns0:row r="1543">
      <ns0:c r="A1543" t="inlineStr">
        <ns0:is>
          <ns0:t>case_1542</ns0:t>
        </ns0:is>
      </ns0:c>
      <ns0:c r="B1543" t="inlineStr">
        <ns0:is>
          <ns0:t>function_0450</ns0:t>
        </ns0:is>
      </ns0:c>
      <ns0:c r="C1543" t="inlineStr">
        <ns0:is>
          <ns0:t>run_013</ns0:t>
        </ns0:is>
      </ns0:c>
      <ns0:c r="D1543" t="inlineStr">
        <ns0:is>
          <ns0:t>rand</ns0:t>
        </ns0:is>
      </ns0:c>
      <ns0:c r="E1543" t="inlineStr">
        <ns0:is>
          <ns0:t>gemini-2.5-flash-nothinking</ns0:t>
        </ns0:is>
      </ns0:c>
      <ns0:c r="F1543" t="inlineStr">
        <ns0:is>
          <ns0:t>E0432,E0433</ns0:t>
        </ns0:is>
      </ns0:c>
      <ns0:c r="G1543" t="n">
        <ns0:v>1</ns0:v>
      </ns0:c>
      <ns0:c r="H1543" t="n">
        <ns0:v>0</ns0:v>
      </ns0:c>
      <ns0:c r="I1543" t="n">
        <ns0:v>0</ns0:v>
      </ns0:c>
      <ns0:c r="J1543" t="n">
        <ns0:v>0</ns0:v>
      </ns0:c>
      <ns0:c r="K1543" t="n">
        <ns0:v>0</ns0:v>
      </ns0:c>
      <ns0:c r="L1543" t="n">
        <ns0:v>1</ns0:v>
      </ns0:c>
      <ns0:c r="M1543" t="n">
        <ns0:v>428090</ns0:v>
      </ns0:c>
      <ns0:c r="N1543" t="n">
        <ns0:v>3902</ns0:v>
      </ns0:c>
      <ns0:c r="O1543" t="n">
        <ns0:v>431992</ns0:v>
      </ns0:c>
      <ns0:c r="P1543" t="n">
        <ns0:v>20</ns0:v>
      </ns0:c>
      <ns0:c r="Q1543">
        <ns0:f>IF(AND(L1543=1,O1543*Calculations!$B$2&lt;=Calculations!$B$10*Calculations!$B$4),1,0)</ns0:f>
        <ns0:v>0</ns0:v>
      </ns0:c>
      <ns0:c r="R1543">
        <ns0:f>IF(AND(L1543=1,O1543*Calculations!$B$2&lt;=Calculations!$B$11*Calculations!$B$4),1,0)</ns0:f>
        <ns0:v>0</ns0:v>
      </ns0:c>
    </ns0:row>
    <ns0:row r="1544">
      <ns0:c r="A1544" t="inlineStr">
        <ns0:is>
          <ns0:t>case_1543</ns0:t>
        </ns0:is>
      </ns0:c>
      <ns0:c r="B1544" t="inlineStr">
        <ns0:is>
          <ns0:t>function_0450</ns0:t>
        </ns0:is>
      </ns0:c>
      <ns0:c r="C1544" t="inlineStr">
        <ns0:is>
          <ns0:t>run_013</ns0:t>
        </ns0:is>
      </ns0:c>
      <ns0:c r="D1544" t="inlineStr">
        <ns0:is>
          <ns0:t>rand</ns0:t>
        </ns0:is>
      </ns0:c>
      <ns0:c r="E1544" t="inlineStr">
        <ns0:is>
          <ns0:t>gemini-2.5-flash-nothinking</ns0:t>
        </ns0:is>
      </ns0:c>
      <ns0:c r="F1544" t="inlineStr">
        <ns0:is>
          <ns0:t>E0432,E0433</ns0:t>
        </ns0:is>
      </ns0:c>
      <ns0:c r="G1544" t="n">
        <ns0:v>1</ns0:v>
      </ns0:c>
      <ns0:c r="H1544" t="n">
        <ns0:v>0</ns0:v>
      </ns0:c>
      <ns0:c r="I1544" t="n">
        <ns0:v>0</ns0:v>
      </ns0:c>
      <ns0:c r="J1544" t="n">
        <ns0:v>0</ns0:v>
      </ns0:c>
      <ns0:c r="K1544" t="n">
        <ns0:v>0</ns0:v>
      </ns0:c>
      <ns0:c r="L1544" t="n">
        <ns0:v>0</ns0:v>
      </ns0:c>
      <ns0:c r="M1544" t="n">
        <ns0:v>192558</ns0:v>
      </ns0:c>
      <ns0:c r="N1544" t="n">
        <ns0:v>5980</ns0:v>
      </ns0:c>
      <ns0:c r="O1544" t="n">
        <ns0:v>198538</ns0:v>
      </ns0:c>
      <ns0:c r="P1544" t="n">
        <ns0:v>20</ns0:v>
      </ns0:c>
      <ns0:c r="Q1544">
        <ns0:f>IF(AND(L1544=1,O1544*Calculations!$B$2&lt;=Calculations!$B$10*Calculations!$B$4),1,0)</ns0:f>
        <ns0:v>0</ns0:v>
      </ns0:c>
      <ns0:c r="R1544">
        <ns0:f>IF(AND(L1544=1,O1544*Calculations!$B$2&lt;=Calculations!$B$11*Calculations!$B$4),1,0)</ns0:f>
        <ns0:v>0</ns0:v>
      </ns0:c>
    </ns0:row>
    <ns0:row r="1545">
      <ns0:c r="A1545" t="inlineStr">
        <ns0:is>
          <ns0:t>case_1544</ns0:t>
        </ns0:is>
      </ns0:c>
      <ns0:c r="B1545" t="inlineStr">
        <ns0:is>
          <ns0:t>function_0450</ns0:t>
        </ns0:is>
      </ns0:c>
      <ns0:c r="C1545" t="inlineStr">
        <ns0:is>
          <ns0:t>run_013</ns0:t>
        </ns0:is>
      </ns0:c>
      <ns0:c r="D1545" t="inlineStr">
        <ns0:is>
          <ns0:t>rand</ns0:t>
        </ns0:is>
      </ns0:c>
      <ns0:c r="E1545" t="inlineStr">
        <ns0:is>
          <ns0:t>gemini-2.5-flash-nothinking</ns0:t>
        </ns0:is>
      </ns0:c>
      <ns0:c r="F1545" t="inlineStr">
        <ns0:is>
          <ns0:t>E0432,E0433</ns0:t>
        </ns0:is>
      </ns0:c>
      <ns0:c r="G1545" t="n">
        <ns0:v>1</ns0:v>
      </ns0:c>
      <ns0:c r="H1545" t="n">
        <ns0:v>0</ns0:v>
      </ns0:c>
      <ns0:c r="I1545" t="n">
        <ns0:v>0</ns0:v>
      </ns0:c>
      <ns0:c r="J1545" t="n">
        <ns0:v>0</ns0:v>
      </ns0:c>
      <ns0:c r="K1545" t="n">
        <ns0:v>0</ns0:v>
      </ns0:c>
      <ns0:c r="L1545" t="n">
        <ns0:v>1</ns0:v>
      </ns0:c>
      <ns0:c r="M1545" t="n">
        <ns0:v>113167</ns0:v>
      </ns0:c>
      <ns0:c r="N1545" t="n">
        <ns0:v>1305</ns0:v>
      </ns0:c>
      <ns0:c r="O1545" t="n">
        <ns0:v>114472</ns0:v>
      </ns0:c>
      <ns0:c r="P1545" t="n">
        <ns0:v>7</ns0:v>
      </ns0:c>
      <ns0:c r="Q1545">
        <ns0:f>IF(AND(L1545=1,O1545*Calculations!$B$2&lt;=Calculations!$B$10*Calculations!$B$4),1,0)</ns0:f>
        <ns0:v>0</ns0:v>
      </ns0:c>
      <ns0:c r="R1545">
        <ns0:f>IF(AND(L1545=1,O1545*Calculations!$B$2&lt;=Calculations!$B$11*Calculations!$B$4),1,0)</ns0:f>
        <ns0:v>0</ns0:v>
      </ns0:c>
    </ns0:row>
    <ns0:row r="1546">
      <ns0:c r="A1546" t="inlineStr">
        <ns0:is>
          <ns0:t>case_1545</ns0:t>
        </ns0:is>
      </ns0:c>
      <ns0:c r="B1546" t="inlineStr">
        <ns0:is>
          <ns0:t>function_0451</ns0:t>
        </ns0:is>
      </ns0:c>
      <ns0:c r="C1546" t="inlineStr">
        <ns0:is>
          <ns0:t>run_013</ns0:t>
        </ns0:is>
      </ns0:c>
      <ns0:c r="D1546" t="inlineStr">
        <ns0:is>
          <ns0:t>rand</ns0:t>
        </ns0:is>
      </ns0:c>
      <ns0:c r="E1546" t="inlineStr">
        <ns0:is>
          <ns0:t>gemini-2.5-flash-nothinking</ns0:t>
        </ns0:is>
      </ns0:c>
      <ns0:c r="F1546" t="inlineStr">
        <ns0:is>
          <ns0:t>E0412,E0432,E0433</ns0:t>
        </ns0:is>
      </ns0:c>
      <ns0:c r="G1546" t="n">
        <ns0:v>0</ns0:v>
      </ns0:c>
      <ns0:c r="H1546" t="n">
        <ns0:v>4010</ns0:v>
      </ns0:c>
      <ns0:c r="I1546" t="n">
        <ns0:v>1419</ns0:v>
      </ns0:c>
      <ns0:c r="J1546" t="n">
        <ns0:v>5429</ns0:v>
      </ns0:c>
      <ns0:c r="K1546" t="n">
        <ns0:v>3</ns0:v>
      </ns0:c>
      <ns0:c r="L1546" t="n">
        <ns0:v>1</ns0:v>
      </ns0:c>
      <ns0:c r="M1546" t="n">
        <ns0:v>124078</ns0:v>
      </ns0:c>
      <ns0:c r="N1546" t="n">
        <ns0:v>2058</ns0:v>
      </ns0:c>
      <ns0:c r="O1546" t="n">
        <ns0:v>126136</ns0:v>
      </ns0:c>
      <ns0:c r="P1546" t="n">
        <ns0:v>14</ns0:v>
      </ns0:c>
      <ns0:c r="Q1546">
        <ns0:f>IF(AND(L1546=1,O1546*Calculations!$B$2&lt;=Calculations!$B$10*Calculations!$B$4),1,0)</ns0:f>
        <ns0:v>0</ns0:v>
      </ns0:c>
      <ns0:c r="R1546">
        <ns0:f>IF(AND(L1546=1,O1546*Calculations!$B$2&lt;=Calculations!$B$11*Calculations!$B$4),1,0)</ns0:f>
        <ns0:v>0</ns0:v>
      </ns0:c>
    </ns0:row>
    <ns0:row r="1547">
      <ns0:c r="A1547" t="inlineStr">
        <ns0:is>
          <ns0:t>case_1546</ns0:t>
        </ns0:is>
      </ns0:c>
      <ns0:c r="B1547" t="inlineStr">
        <ns0:is>
          <ns0:t>function_0451</ns0:t>
        </ns0:is>
      </ns0:c>
      <ns0:c r="C1547" t="inlineStr">
        <ns0:is>
          <ns0:t>run_013</ns0:t>
        </ns0:is>
      </ns0:c>
      <ns0:c r="D1547" t="inlineStr">
        <ns0:is>
          <ns0:t>rand</ns0:t>
        </ns0:is>
      </ns0:c>
      <ns0:c r="E1547" t="inlineStr">
        <ns0:is>
          <ns0:t>gemini-2.5-flash-nothinking</ns0:t>
        </ns0:is>
      </ns0:c>
      <ns0:c r="F1547" t="inlineStr">
        <ns0:is>
          <ns0:t>E0432,E0433</ns0:t>
        </ns0:is>
      </ns0:c>
      <ns0:c r="G1547" t="n">
        <ns0:v>1</ns0:v>
      </ns0:c>
      <ns0:c r="H1547" t="n">
        <ns0:v>0</ns0:v>
      </ns0:c>
      <ns0:c r="I1547" t="n">
        <ns0:v>0</ns0:v>
      </ns0:c>
      <ns0:c r="J1547" t="n">
        <ns0:v>0</ns0:v>
      </ns0:c>
      <ns0:c r="K1547" t="n">
        <ns0:v>0</ns0:v>
      </ns0:c>
      <ns0:c r="L1547" t="n">
        <ns0:v>1</ns0:v>
      </ns0:c>
      <ns0:c r="M1547" t="n">
        <ns0:v>59028</ns0:v>
      </ns0:c>
      <ns0:c r="N1547" t="n">
        <ns0:v>1089</ns0:v>
      </ns0:c>
      <ns0:c r="O1547" t="n">
        <ns0:v>60117</ns0:v>
      </ns0:c>
      <ns0:c r="P1547" t="n">
        <ns0:v>4</ns0:v>
      </ns0:c>
      <ns0:c r="Q1547">
        <ns0:f>IF(AND(L1547=1,O1547*Calculations!$B$2&lt;=Calculations!$B$10*Calculations!$B$4),1,0)</ns0:f>
        <ns0:v>0</ns0:v>
      </ns0:c>
      <ns0:c r="R1547">
        <ns0:f>IF(AND(L1547=1,O1547*Calculations!$B$2&lt;=Calculations!$B$11*Calculations!$B$4),1,0)</ns0:f>
        <ns0:v>0</ns0:v>
      </ns0:c>
    </ns0:row>
    <ns0:row r="1548">
      <ns0:c r="A1548" t="inlineStr">
        <ns0:is>
          <ns0:t>case_1547</ns0:t>
        </ns0:is>
      </ns0:c>
      <ns0:c r="B1548" t="inlineStr">
        <ns0:is>
          <ns0:t>function_0451</ns0:t>
        </ns0:is>
      </ns0:c>
      <ns0:c r="C1548" t="inlineStr">
        <ns0:is>
          <ns0:t>run_013</ns0:t>
        </ns0:is>
      </ns0:c>
      <ns0:c r="D1548" t="inlineStr">
        <ns0:is>
          <ns0:t>rand</ns0:t>
        </ns0:is>
      </ns0:c>
      <ns0:c r="E1548" t="inlineStr">
        <ns0:is>
          <ns0:t>gemini-2.5-flash-nothinking</ns0:t>
        </ns0:is>
      </ns0:c>
      <ns0:c r="F1548" t="inlineStr">
        <ns0:is>
          <ns0:t>E0119,E0407,E0432,E0433</ns0:t>
        </ns0:is>
      </ns0:c>
      <ns0:c r="G1548" t="n">
        <ns0:v>0</ns0:v>
      </ns0:c>
      <ns0:c r="H1548" t="n">
        <ns0:v>3383</ns0:v>
      </ns0:c>
      <ns0:c r="I1548" t="n">
        <ns0:v>228</ns0:v>
      </ns0:c>
      <ns0:c r="J1548" t="n">
        <ns0:v>3611</ns0:v>
      </ns0:c>
      <ns0:c r="K1548" t="n">
        <ns0:v>3</ns0:v>
      </ns0:c>
      <ns0:c r="L1548" t="n">
        <ns0:v>0</ns0:v>
      </ns0:c>
      <ns0:c r="M1548" t="n">
        <ns0:v>91747</ns0:v>
      </ns0:c>
      <ns0:c r="N1548" t="n">
        <ns0:v>6815</ns0:v>
      </ns0:c>
      <ns0:c r="O1548" t="n">
        <ns0:v>98562</ns0:v>
      </ns0:c>
      <ns0:c r="P1548" t="n">
        <ns0:v>10</ns0:v>
      </ns0:c>
      <ns0:c r="Q1548">
        <ns0:f>IF(AND(L1548=1,O1548*Calculations!$B$2&lt;=Calculations!$B$10*Calculations!$B$4),1,0)</ns0:f>
        <ns0:v>0</ns0:v>
      </ns0:c>
      <ns0:c r="R1548">
        <ns0:f>IF(AND(L1548=1,O1548*Calculations!$B$2&lt;=Calculations!$B$11*Calculations!$B$4),1,0)</ns0:f>
        <ns0:v>0</ns0:v>
      </ns0:c>
    </ns0:row>
    <ns0:row r="1549">
      <ns0:c r="A1549" t="inlineStr">
        <ns0:is>
          <ns0:t>case_1548</ns0:t>
        </ns0:is>
      </ns0:c>
      <ns0:c r="B1549" t="inlineStr">
        <ns0:is>
          <ns0:t>function_0452</ns0:t>
        </ns0:is>
      </ns0:c>
      <ns0:c r="C1549" t="inlineStr">
        <ns0:is>
          <ns0:t>run_013</ns0:t>
        </ns0:is>
      </ns0:c>
      <ns0:c r="D1549" t="inlineStr">
        <ns0:is>
          <ns0:t>rand</ns0:t>
        </ns0:is>
      </ns0:c>
      <ns0:c r="E1549" t="inlineStr">
        <ns0:is>
          <ns0:t>gemini-2.5-flash-nothinking</ns0:t>
        </ns0:is>
      </ns0:c>
      <ns0:c r="F1549" t="inlineStr">
        <ns0:is>
          <ns0:t>E0432,E0433</ns0:t>
        </ns0:is>
      </ns0:c>
      <ns0:c r="G1549" t="n">
        <ns0:v>0</ns0:v>
      </ns0:c>
      <ns0:c r="H1549" t="n">
        <ns0:v>5772</ns0:v>
      </ns0:c>
      <ns0:c r="I1549" t="n">
        <ns0:v>177</ns0:v>
      </ns0:c>
      <ns0:c r="J1549" t="n">
        <ns0:v>5949</ns0:v>
      </ns0:c>
      <ns0:c r="K1549" t="n">
        <ns0:v>3</ns0:v>
      </ns0:c>
      <ns0:c r="L1549" t="n">
        <ns0:v>1</ns0:v>
      </ns0:c>
      <ns0:c r="M1549" t="n">
        <ns0:v>124839</ns0:v>
      </ns0:c>
      <ns0:c r="N1549" t="n">
        <ns0:v>1330</ns0:v>
      </ns0:c>
      <ns0:c r="O1549" t="n">
        <ns0:v>126169</ns0:v>
      </ns0:c>
      <ns0:c r="P1549" t="n">
        <ns0:v>8</ns0:v>
      </ns0:c>
      <ns0:c r="Q1549">
        <ns0:f>IF(AND(L1549=1,O1549*Calculations!$B$2&lt;=Calculations!$B$10*Calculations!$B$4),1,0)</ns0:f>
        <ns0:v>0</ns0:v>
      </ns0:c>
      <ns0:c r="R1549">
        <ns0:f>IF(AND(L1549=1,O1549*Calculations!$B$2&lt;=Calculations!$B$11*Calculations!$B$4),1,0)</ns0:f>
        <ns0:v>0</ns0:v>
      </ns0:c>
    </ns0:row>
    <ns0:row r="1550">
      <ns0:c r="A1550" t="inlineStr">
        <ns0:is>
          <ns0:t>case_1549</ns0:t>
        </ns0:is>
      </ns0:c>
      <ns0:c r="B1550" t="inlineStr">
        <ns0:is>
          <ns0:t>function_0452</ns0:t>
        </ns0:is>
      </ns0:c>
      <ns0:c r="C1550" t="inlineStr">
        <ns0:is>
          <ns0:t>run_013</ns0:t>
        </ns0:is>
      </ns0:c>
      <ns0:c r="D1550" t="inlineStr">
        <ns0:is>
          <ns0:t>rand</ns0:t>
        </ns0:is>
      </ns0:c>
      <ns0:c r="E1550" t="inlineStr">
        <ns0:is>
          <ns0:t>gemini-2.5-flash-nothinking</ns0:t>
        </ns0:is>
      </ns0:c>
      <ns0:c r="F1550" t="inlineStr">
        <ns0:is>
          <ns0:t>E0432,E0433</ns0:t>
        </ns0:is>
      </ns0:c>
      <ns0:c r="G1550" t="n">
        <ns0:v>0</ns0:v>
      </ns0:c>
      <ns0:c r="H1550" t="n">
        <ns0:v>11096</ns0:v>
      </ns0:c>
      <ns0:c r="I1550" t="n">
        <ns0:v>450</ns0:v>
      </ns0:c>
      <ns0:c r="J1550" t="n">
        <ns0:v>11546</ns0:v>
      </ns0:c>
      <ns0:c r="K1550" t="n">
        <ns0:v>6</ns0:v>
      </ns0:c>
      <ns0:c r="L1550" t="n">
        <ns0:v>0</ns0:v>
      </ns0:c>
      <ns0:c r="M1550" t="n">
        <ns0:v>186886</ns0:v>
      </ns0:c>
      <ns0:c r="N1550" t="n">
        <ns0:v>3421</ns0:v>
      </ns0:c>
      <ns0:c r="O1550" t="n">
        <ns0:v>190307</ns0:v>
      </ns0:c>
      <ns0:c r="P1550" t="n">
        <ns0:v>20</ns0:v>
      </ns0:c>
      <ns0:c r="Q1550">
        <ns0:f>IF(AND(L1550=1,O1550*Calculations!$B$2&lt;=Calculations!$B$10*Calculations!$B$4),1,0)</ns0:f>
        <ns0:v>0</ns0:v>
      </ns0:c>
      <ns0:c r="R1550">
        <ns0:f>IF(AND(L1550=1,O1550*Calculations!$B$2&lt;=Calculations!$B$11*Calculations!$B$4),1,0)</ns0:f>
        <ns0:v>0</ns0:v>
      </ns0:c>
    </ns0:row>
    <ns0:row r="1551">
      <ns0:c r="A1551" t="inlineStr">
        <ns0:is>
          <ns0:t>case_1550</ns0:t>
        </ns0:is>
      </ns0:c>
      <ns0:c r="B1551" t="inlineStr">
        <ns0:is>
          <ns0:t>function_0452</ns0:t>
        </ns0:is>
      </ns0:c>
      <ns0:c r="C1551" t="inlineStr">
        <ns0:is>
          <ns0:t>run_013</ns0:t>
        </ns0:is>
      </ns0:c>
      <ns0:c r="D1551" t="inlineStr">
        <ns0:is>
          <ns0:t>rand</ns0:t>
        </ns0:is>
      </ns0:c>
      <ns0:c r="E1551" t="inlineStr">
        <ns0:is>
          <ns0:t>gemini-2.5-flash-nothinking</ns0:t>
        </ns0:is>
      </ns0:c>
      <ns0:c r="F1551" t="inlineStr">
        <ns0:is>
          <ns0:t>E0432,E0433</ns0:t>
        </ns0:is>
      </ns0:c>
      <ns0:c r="G1551" t="n">
        <ns0:v>0</ns0:v>
      </ns0:c>
      <ns0:c r="H1551" t="n">
        <ns0:v>3227</ns0:v>
      </ns0:c>
      <ns0:c r="I1551" t="n">
        <ns0:v>345</ns0:v>
      </ns0:c>
      <ns0:c r="J1551" t="n">
        <ns0:v>3572</ns0:v>
      </ns0:c>
      <ns0:c r="K1551" t="n">
        <ns0:v>3</ns0:v>
      </ns0:c>
      <ns0:c r="L1551" t="n">
        <ns0:v>0</ns0:v>
      </ns0:c>
      <ns0:c r="M1551" t="n">
        <ns0:v>15251</ns0:v>
      </ns0:c>
      <ns0:c r="N1551" t="n">
        <ns0:v>740</ns0:v>
      </ns0:c>
      <ns0:c r="O1551" t="n">
        <ns0:v>15991</ns0:v>
      </ns0:c>
      <ns0:c r="P1551" t="n">
        <ns0:v>2</ns0:v>
      </ns0:c>
      <ns0:c r="Q1551">
        <ns0:f>IF(AND(L1551=1,O1551*Calculations!$B$2&lt;=Calculations!$B$10*Calculations!$B$4),1,0)</ns0:f>
        <ns0:v>0</ns0:v>
      </ns0:c>
      <ns0:c r="R1551">
        <ns0:f>IF(AND(L1551=1,O1551*Calculations!$B$2&lt;=Calculations!$B$11*Calculations!$B$4),1,0)</ns0:f>
        <ns0:v>0</ns0:v>
      </ns0:c>
    </ns0:row>
    <ns0:row r="1552">
      <ns0:c r="A1552" t="inlineStr">
        <ns0:is>
          <ns0:t>case_1551</ns0:t>
        </ns0:is>
      </ns0:c>
      <ns0:c r="B1552" t="inlineStr">
        <ns0:is>
          <ns0:t>function_0453</ns0:t>
        </ns0:is>
      </ns0:c>
      <ns0:c r="C1552" t="inlineStr">
        <ns0:is>
          <ns0:t>run_013</ns0:t>
        </ns0:is>
      </ns0:c>
      <ns0:c r="D1552" t="inlineStr">
        <ns0:is>
          <ns0:t>rand</ns0:t>
        </ns0:is>
      </ns0:c>
      <ns0:c r="E1552" t="inlineStr">
        <ns0:is>
          <ns0:t>gemini-2.5-flash-nothinking</ns0:t>
        </ns0:is>
      </ns0:c>
      <ns0:c r="F1552" t="inlineStr">
        <ns0:is>
          <ns0:t>E0412,E0432,E0433</ns0:t>
        </ns0:is>
      </ns0:c>
      <ns0:c r="G1552" t="n">
        <ns0:v>0</ns0:v>
      </ns0:c>
      <ns0:c r="H1552" t="n">
        <ns0:v>4409</ns0:v>
      </ns0:c>
      <ns0:c r="I1552" t="n">
        <ns0:v>1649</ns0:v>
      </ns0:c>
      <ns0:c r="J1552" t="n">
        <ns0:v>6058</ns0:v>
      </ns0:c>
      <ns0:c r="K1552" t="n">
        <ns0:v>3</ns0:v>
      </ns0:c>
      <ns0:c r="L1552" t="n">
        <ns0:v>1</ns0:v>
      </ns0:c>
      <ns0:c r="M1552" t="n">
        <ns0:v>277071</ns0:v>
      </ns0:c>
      <ns0:c r="N1552" t="n">
        <ns0:v>1661</ns0:v>
      </ns0:c>
      <ns0:c r="O1552" t="n">
        <ns0:v>278732</ns0:v>
      </ns0:c>
      <ns0:c r="P1552" t="n">
        <ns0:v>13</ns0:v>
      </ns0:c>
      <ns0:c r="Q1552">
        <ns0:f>IF(AND(L1552=1,O1552*Calculations!$B$2&lt;=Calculations!$B$10*Calculations!$B$4),1,0)</ns0:f>
        <ns0:v>0</ns0:v>
      </ns0:c>
      <ns0:c r="R1552">
        <ns0:f>IF(AND(L1552=1,O1552*Calculations!$B$2&lt;=Calculations!$B$11*Calculations!$B$4),1,0)</ns0:f>
        <ns0:v>0</ns0:v>
      </ns0:c>
    </ns0:row>
    <ns0:row r="1553">
      <ns0:c r="A1553" t="inlineStr">
        <ns0:is>
          <ns0:t>case_1552</ns0:t>
        </ns0:is>
      </ns0:c>
      <ns0:c r="B1553" t="inlineStr">
        <ns0:is>
          <ns0:t>function_0453</ns0:t>
        </ns0:is>
      </ns0:c>
      <ns0:c r="C1553" t="inlineStr">
        <ns0:is>
          <ns0:t>run_013</ns0:t>
        </ns0:is>
      </ns0:c>
      <ns0:c r="D1553" t="inlineStr">
        <ns0:is>
          <ns0:t>rand</ns0:t>
        </ns0:is>
      </ns0:c>
      <ns0:c r="E1553" t="inlineStr">
        <ns0:is>
          <ns0:t>gemini-2.5-flash-nothinking</ns0:t>
        </ns0:is>
      </ns0:c>
      <ns0:c r="F1553" t="inlineStr">
        <ns0:is>
          <ns0:t>E0412,E0432,E0433</ns0:t>
        </ns0:is>
      </ns0:c>
      <ns0:c r="G1553" t="n">
        <ns0:v>0</ns0:v>
      </ns0:c>
      <ns0:c r="H1553" t="n">
        <ns0:v>2786</ns0:v>
      </ns0:c>
      <ns0:c r="I1553" t="n">
        <ns0:v>457</ns0:v>
      </ns0:c>
      <ns0:c r="J1553" t="n">
        <ns0:v>3243</ns0:v>
      </ns0:c>
      <ns0:c r="K1553" t="n">
        <ns0:v>3</ns0:v>
      </ns0:c>
      <ns0:c r="L1553" t="n">
        <ns0:v>1</ns0:v>
      </ns0:c>
      <ns0:c r="M1553" t="n">
        <ns0:v>78668</ns0:v>
      </ns0:c>
      <ns0:c r="N1553" t="n">
        <ns0:v>645</ns0:v>
      </ns0:c>
      <ns0:c r="O1553" t="n">
        <ns0:v>79313</ns0:v>
      </ns0:c>
      <ns0:c r="P1553" t="n">
        <ns0:v>5</ns0:v>
      </ns0:c>
      <ns0:c r="Q1553">
        <ns0:f>IF(AND(L1553=1,O1553*Calculations!$B$2&lt;=Calculations!$B$10*Calculations!$B$4),1,0)</ns0:f>
        <ns0:v>0</ns0:v>
      </ns0:c>
      <ns0:c r="R1553">
        <ns0:f>IF(AND(L1553=1,O1553*Calculations!$B$2&lt;=Calculations!$B$11*Calculations!$B$4),1,0)</ns0:f>
        <ns0:v>0</ns0:v>
      </ns0:c>
    </ns0:row>
    <ns0:row r="1554">
      <ns0:c r="A1554" t="inlineStr">
        <ns0:is>
          <ns0:t>case_1553</ns0:t>
        </ns0:is>
      </ns0:c>
      <ns0:c r="B1554" t="inlineStr">
        <ns0:is>
          <ns0:t>function_0453</ns0:t>
        </ns0:is>
      </ns0:c>
      <ns0:c r="C1554" t="inlineStr">
        <ns0:is>
          <ns0:t>run_013</ns0:t>
        </ns0:is>
      </ns0:c>
      <ns0:c r="D1554" t="inlineStr">
        <ns0:is>
          <ns0:t>rand</ns0:t>
        </ns0:is>
      </ns0:c>
      <ns0:c r="E1554" t="inlineStr">
        <ns0:is>
          <ns0:t>gemini-2.5-flash-nothinking</ns0:t>
        </ns0:is>
      </ns0:c>
      <ns0:c r="F1554" t="inlineStr">
        <ns0:is>
          <ns0:t>E0412,E0432,E0433</ns0:t>
        </ns0:is>
      </ns0:c>
      <ns0:c r="G1554" t="n">
        <ns0:v>0</ns0:v>
      </ns0:c>
      <ns0:c r="H1554" t="n">
        <ns0:v>3735</ns0:v>
      </ns0:c>
      <ns0:c r="I1554" t="n">
        <ns0:v>1149</ns0:v>
      </ns0:c>
      <ns0:c r="J1554" t="n">
        <ns0:v>4884</ns0:v>
      </ns0:c>
      <ns0:c r="K1554" t="n">
        <ns0:v>3</ns0:v>
      </ns0:c>
      <ns0:c r="L1554" t="n">
        <ns0:v>0</ns0:v>
      </ns0:c>
      <ns0:c r="M1554" t="n">
        <ns0:v>187052</ns0:v>
      </ns0:c>
      <ns0:c r="N1554" t="n">
        <ns0:v>2448</ns0:v>
      </ns0:c>
      <ns0:c r="O1554" t="n">
        <ns0:v>189500</ns0:v>
      </ns0:c>
      <ns0:c r="P1554" t="n">
        <ns0:v>20</ns0:v>
      </ns0:c>
      <ns0:c r="Q1554">
        <ns0:f>IF(AND(L1554=1,O1554*Calculations!$B$2&lt;=Calculations!$B$10*Calculations!$B$4),1,0)</ns0:f>
        <ns0:v>0</ns0:v>
      </ns0:c>
      <ns0:c r="R1554">
        <ns0:f>IF(AND(L1554=1,O1554*Calculations!$B$2&lt;=Calculations!$B$11*Calculations!$B$4),1,0)</ns0:f>
        <ns0:v>0</ns0:v>
      </ns0:c>
    </ns0:row>
    <ns0:row r="1555">
      <ns0:c r="A1555" t="inlineStr">
        <ns0:is>
          <ns0:t>case_1554</ns0:t>
        </ns0:is>
      </ns0:c>
      <ns0:c r="B1555" t="inlineStr">
        <ns0:is>
          <ns0:t>function_0454</ns0:t>
        </ns0:is>
      </ns0:c>
      <ns0:c r="C1555" t="inlineStr">
        <ns0:is>
          <ns0:t>run_013</ns0:t>
        </ns0:is>
      </ns0:c>
      <ns0:c r="D1555" t="inlineStr">
        <ns0:is>
          <ns0:t>rand</ns0:t>
        </ns0:is>
      </ns0:c>
      <ns0:c r="E1555" t="inlineStr">
        <ns0:is>
          <ns0:t>gemini-2.5-flash-nothinking</ns0:t>
        </ns0:is>
      </ns0:c>
      <ns0:c r="F1555" t="inlineStr">
        <ns0:is>
          <ns0:t>E0119,E0412,E0432,E0433</ns0:t>
        </ns0:is>
      </ns0:c>
      <ns0:c r="G1555" t="n">
        <ns0:v>0</ns0:v>
      </ns0:c>
      <ns0:c r="H1555" t="n">
        <ns0:v>5313</ns0:v>
      </ns0:c>
      <ns0:c r="I1555" t="n">
        <ns0:v>1455</ns0:v>
      </ns0:c>
      <ns0:c r="J1555" t="n">
        <ns0:v>6768</ns0:v>
      </ns0:c>
      <ns0:c r="K1555" t="n">
        <ns0:v>3</ns0:v>
      </ns0:c>
      <ns0:c r="L1555" t="n">
        <ns0:v>1</ns0:v>
      </ns0:c>
      <ns0:c r="M1555" t="n">
        <ns0:v>58013</ns0:v>
      </ns0:c>
      <ns0:c r="N1555" t="n">
        <ns0:v>1118</ns0:v>
      </ns0:c>
      <ns0:c r="O1555" t="n">
        <ns0:v>59131</ns0:v>
      </ns0:c>
      <ns0:c r="P1555" t="n">
        <ns0:v>6</ns0:v>
      </ns0:c>
      <ns0:c r="Q1555">
        <ns0:f>IF(AND(L1555=1,O1555*Calculations!$B$2&lt;=Calculations!$B$10*Calculations!$B$4),1,0)</ns0:f>
        <ns0:v>0</ns0:v>
      </ns0:c>
      <ns0:c r="R1555">
        <ns0:f>IF(AND(L1555=1,O1555*Calculations!$B$2&lt;=Calculations!$B$11*Calculations!$B$4),1,0)</ns0:f>
        <ns0:v>0</ns0:v>
      </ns0:c>
    </ns0:row>
    <ns0:row r="1556">
      <ns0:c r="A1556" t="inlineStr">
        <ns0:is>
          <ns0:t>case_1555</ns0:t>
        </ns0:is>
      </ns0:c>
      <ns0:c r="B1556" t="inlineStr">
        <ns0:is>
          <ns0:t>function_0454</ns0:t>
        </ns0:is>
      </ns0:c>
      <ns0:c r="C1556" t="inlineStr">
        <ns0:is>
          <ns0:t>run_013</ns0:t>
        </ns0:is>
      </ns0:c>
      <ns0:c r="D1556" t="inlineStr">
        <ns0:is>
          <ns0:t>rand</ns0:t>
        </ns0:is>
      </ns0:c>
      <ns0:c r="E1556" t="inlineStr">
        <ns0:is>
          <ns0:t>gemini-2.5-flash-nothinking</ns0:t>
        </ns0:is>
      </ns0:c>
      <ns0:c r="F1556" t="inlineStr">
        <ns0:is>
          <ns0:t>E0119,E0432,E0433</ns0:t>
        </ns0:is>
      </ns0:c>
      <ns0:c r="G1556" t="n">
        <ns0:v>0</ns0:v>
      </ns0:c>
      <ns0:c r="H1556" t="n">
        <ns0:v>4563</ns0:v>
      </ns0:c>
      <ns0:c r="I1556" t="n">
        <ns0:v>458</ns0:v>
      </ns0:c>
      <ns0:c r="J1556" t="n">
        <ns0:v>5021</ns0:v>
      </ns0:c>
      <ns0:c r="K1556" t="n">
        <ns0:v>4</ns0:v>
      </ns0:c>
      <ns0:c r="L1556" t="n">
        <ns0:v>0</ns0:v>
      </ns0:c>
      <ns0:c r="M1556" t="n">
        <ns0:v>82897</ns0:v>
      </ns0:c>
      <ns0:c r="N1556" t="n">
        <ns0:v>2057</ns0:v>
      </ns0:c>
      <ns0:c r="O1556" t="n">
        <ns0:v>84954</ns0:v>
      </ns0:c>
      <ns0:c r="P1556" t="n">
        <ns0:v>8</ns0:v>
      </ns0:c>
      <ns0:c r="Q1556">
        <ns0:f>IF(AND(L1556=1,O1556*Calculations!$B$2&lt;=Calculations!$B$10*Calculations!$B$4),1,0)</ns0:f>
        <ns0:v>0</ns0:v>
      </ns0:c>
      <ns0:c r="R1556">
        <ns0:f>IF(AND(L1556=1,O1556*Calculations!$B$2&lt;=Calculations!$B$11*Calculations!$B$4),1,0)</ns0:f>
        <ns0:v>0</ns0:v>
      </ns0:c>
    </ns0:row>
    <ns0:row r="1557">
      <ns0:c r="A1557" t="inlineStr">
        <ns0:is>
          <ns0:t>case_1556</ns0:t>
        </ns0:is>
      </ns0:c>
      <ns0:c r="B1557" t="inlineStr">
        <ns0:is>
          <ns0:t>function_0454</ns0:t>
        </ns0:is>
      </ns0:c>
      <ns0:c r="C1557" t="inlineStr">
        <ns0:is>
          <ns0:t>run_013</ns0:t>
        </ns0:is>
      </ns0:c>
      <ns0:c r="D1557" t="inlineStr">
        <ns0:is>
          <ns0:t>rand</ns0:t>
        </ns0:is>
      </ns0:c>
      <ns0:c r="E1557" t="inlineStr">
        <ns0:is>
          <ns0:t>gemini-2.5-flash-nothinking</ns0:t>
        </ns0:is>
      </ns0:c>
      <ns0:c r="F1557" t="inlineStr">
        <ns0:is>
          <ns0:t>E0119,E0412,E0432,E0433</ns0:t>
        </ns0:is>
      </ns0:c>
      <ns0:c r="G1557" t="n">
        <ns0:v>0</ns0:v>
      </ns0:c>
      <ns0:c r="H1557" t="n">
        <ns0:v>3752</ns0:v>
      </ns0:c>
      <ns0:c r="I1557" t="n">
        <ns0:v>327</ns0:v>
      </ns0:c>
      <ns0:c r="J1557" t="n">
        <ns0:v>4079</ns0:v>
      </ns0:c>
      <ns0:c r="K1557" t="n">
        <ns0:v>3</ns0:v>
      </ns0:c>
      <ns0:c r="L1557" t="n">
        <ns0:v>0</ns0:v>
      </ns0:c>
      <ns0:c r="M1557" t="n">
        <ns0:v>250922</ns0:v>
      </ns0:c>
      <ns0:c r="N1557" t="n">
        <ns0:v>11084</ns0:v>
      </ns0:c>
      <ns0:c r="O1557" t="n">
        <ns0:v>262006</ns0:v>
      </ns0:c>
      <ns0:c r="P1557" t="n">
        <ns0:v>20</ns0:v>
      </ns0:c>
      <ns0:c r="Q1557">
        <ns0:f>IF(AND(L1557=1,O1557*Calculations!$B$2&lt;=Calculations!$B$10*Calculations!$B$4),1,0)</ns0:f>
        <ns0:v>0</ns0:v>
      </ns0:c>
      <ns0:c r="R1557">
        <ns0:f>IF(AND(L1557=1,O1557*Calculations!$B$2&lt;=Calculations!$B$11*Calculations!$B$4),1,0)</ns0:f>
        <ns0:v>0</ns0:v>
      </ns0:c>
    </ns0:row>
    <ns0:row r="1558">
      <ns0:c r="A1558" t="inlineStr">
        <ns0:is>
          <ns0:t>case_1557</ns0:t>
        </ns0:is>
      </ns0:c>
      <ns0:c r="B1558" t="inlineStr">
        <ns0:is>
          <ns0:t>function_0455</ns0:t>
        </ns0:is>
      </ns0:c>
      <ns0:c r="C1558" t="inlineStr">
        <ns0:is>
          <ns0:t>run_013</ns0:t>
        </ns0:is>
      </ns0:c>
      <ns0:c r="D1558" t="inlineStr">
        <ns0:is>
          <ns0:t>rand</ns0:t>
        </ns0:is>
      </ns0:c>
      <ns0:c r="E1558" t="inlineStr">
        <ns0:is>
          <ns0:t>gemini-2.5-flash-nothinking</ns0:t>
        </ns0:is>
      </ns0:c>
      <ns0:c r="F1558" t="inlineStr">
        <ns0:is>
          <ns0:t>E0412,E0433</ns0:t>
        </ns0:is>
      </ns0:c>
      <ns0:c r="G1558" t="n">
        <ns0:v>0</ns0:v>
      </ns0:c>
      <ns0:c r="H1558" t="n">
        <ns0:v>3039</ns0:v>
      </ns0:c>
      <ns0:c r="I1558" t="n">
        <ns0:v>225</ns0:v>
      </ns0:c>
      <ns0:c r="J1558" t="n">
        <ns0:v>3264</ns0:v>
      </ns0:c>
      <ns0:c r="K1558" t="n">
        <ns0:v>3</ns0:v>
      </ns0:c>
      <ns0:c r="L1558" t="n">
        <ns0:v>1</ns0:v>
      </ns0:c>
      <ns0:c r="M1558" t="n">
        <ns0:v>56946</ns0:v>
      </ns0:c>
      <ns0:c r="N1558" t="n">
        <ns0:v>624</ns0:v>
      </ns0:c>
      <ns0:c r="O1558" t="n">
        <ns0:v>57570</ns0:v>
      </ns0:c>
      <ns0:c r="P1558" t="n">
        <ns0:v>7</ns0:v>
      </ns0:c>
      <ns0:c r="Q1558">
        <ns0:f>IF(AND(L1558=1,O1558*Calculations!$B$2&lt;=Calculations!$B$10*Calculations!$B$4),1,0)</ns0:f>
        <ns0:v>0</ns0:v>
      </ns0:c>
      <ns0:c r="R1558">
        <ns0:f>IF(AND(L1558=1,O1558*Calculations!$B$2&lt;=Calculations!$B$11*Calculations!$B$4),1,0)</ns0:f>
        <ns0:v>0</ns0:v>
      </ns0:c>
    </ns0:row>
    <ns0:row r="1559">
      <ns0:c r="A1559" t="inlineStr">
        <ns0:is>
          <ns0:t>case_1558</ns0:t>
        </ns0:is>
      </ns0:c>
      <ns0:c r="B1559" t="inlineStr">
        <ns0:is>
          <ns0:t>function_0455</ns0:t>
        </ns0:is>
      </ns0:c>
      <ns0:c r="C1559" t="inlineStr">
        <ns0:is>
          <ns0:t>run_013</ns0:t>
        </ns0:is>
      </ns0:c>
      <ns0:c r="D1559" t="inlineStr">
        <ns0:is>
          <ns0:t>rand</ns0:t>
        </ns0:is>
      </ns0:c>
      <ns0:c r="E1559" t="inlineStr">
        <ns0:is>
          <ns0:t>gemini-2.5-flash-nothinking</ns0:t>
        </ns0:is>
      </ns0:c>
      <ns0:c r="F1559" t="inlineStr">
        <ns0:is>
          <ns0:t>E0412</ns0:t>
        </ns0:is>
      </ns0:c>
      <ns0:c r="G1559" t="n">
        <ns0:v>1</ns0:v>
      </ns0:c>
      <ns0:c r="H1559" t="n">
        <ns0:v>992</ns0:v>
      </ns0:c>
      <ns0:c r="I1559" t="n">
        <ns0:v>276</ns0:v>
      </ns0:c>
      <ns0:c r="J1559" t="n">
        <ns0:v>1268</ns0:v>
      </ns0:c>
      <ns0:c r="K1559" t="n">
        <ns0:v>1</ns0:v>
      </ns0:c>
      <ns0:c r="L1559" t="n">
        <ns0:v>1</ns0:v>
      </ns0:c>
      <ns0:c r="M1559" t="n">
        <ns0:v>21715</ns0:v>
      </ns0:c>
      <ns0:c r="N1559" t="n">
        <ns0:v>280</ns0:v>
      </ns0:c>
      <ns0:c r="O1559" t="n">
        <ns0:v>21995</ns0:v>
      </ns0:c>
      <ns0:c r="P1559" t="n">
        <ns0:v>3</ns0:v>
      </ns0:c>
      <ns0:c r="Q1559">
        <ns0:f>IF(AND(L1559=1,O1559*Calculations!$B$2&lt;=Calculations!$B$10*Calculations!$B$4),1,0)</ns0:f>
        <ns0:v>1</ns0:v>
      </ns0:c>
      <ns0:c r="R1559">
        <ns0:f>IF(AND(L1559=1,O1559*Calculations!$B$2&lt;=Calculations!$B$11*Calculations!$B$4),1,0)</ns0:f>
        <ns0:v>1</ns0:v>
      </ns0:c>
    </ns0:row>
    <ns0:row r="1560">
      <ns0:c r="A1560" t="inlineStr">
        <ns0:is>
          <ns0:t>case_1559</ns0:t>
        </ns0:is>
      </ns0:c>
      <ns0:c r="B1560" t="inlineStr">
        <ns0:is>
          <ns0:t>function_0455</ns0:t>
        </ns0:is>
      </ns0:c>
      <ns0:c r="C1560" t="inlineStr">
        <ns0:is>
          <ns0:t>run_013</ns0:t>
        </ns0:is>
      </ns0:c>
      <ns0:c r="D1560" t="inlineStr">
        <ns0:is>
          <ns0:t>rand</ns0:t>
        </ns0:is>
      </ns0:c>
      <ns0:c r="E1560" t="inlineStr">
        <ns0:is>
          <ns0:t>gemini-2.5-flash-nothinking</ns0:t>
        </ns0:is>
      </ns0:c>
      <ns0:c r="F1560" t="inlineStr">
        <ns0:is>
          <ns0:t>E0433</ns0:t>
        </ns0:is>
      </ns0:c>
      <ns0:c r="G1560" t="n">
        <ns0:v>1</ns0:v>
      </ns0:c>
      <ns0:c r="H1560" t="n">
        <ns0:v>0</ns0:v>
      </ns0:c>
      <ns0:c r="I1560" t="n">
        <ns0:v>0</ns0:v>
      </ns0:c>
      <ns0:c r="J1560" t="n">
        <ns0:v>0</ns0:v>
      </ns0:c>
      <ns0:c r="K1560" t="n">
        <ns0:v>0</ns0:v>
      </ns0:c>
      <ns0:c r="L1560" t="n">
        <ns0:v>1</ns0:v>
      </ns0:c>
      <ns0:c r="M1560" t="n">
        <ns0:v>21074</ns0:v>
      </ns0:c>
      <ns0:c r="N1560" t="n">
        <ns0:v>348</ns0:v>
      </ns0:c>
      <ns0:c r="O1560" t="n">
        <ns0:v>21422</ns0:v>
      </ns0:c>
      <ns0:c r="P1560" t="n">
        <ns0:v>3</ns0:v>
      </ns0:c>
      <ns0:c r="Q1560">
        <ns0:f>IF(AND(L1560=1,O1560*Calculations!$B$2&lt;=Calculations!$B$10*Calculations!$B$4),1,0)</ns0:f>
        <ns0:v>1</ns0:v>
      </ns0:c>
      <ns0:c r="R1560">
        <ns0:f>IF(AND(L1560=1,O1560*Calculations!$B$2&lt;=Calculations!$B$11*Calculations!$B$4),1,0)</ns0:f>
        <ns0:v>1</ns0:v>
      </ns0:c>
    </ns0:row>
    <ns0:row r="1561">
      <ns0:c r="A1561" t="inlineStr">
        <ns0:is>
          <ns0:t>case_1560</ns0:t>
        </ns0:is>
      </ns0:c>
      <ns0:c r="B1561" t="inlineStr">
        <ns0:is>
          <ns0:t>function_0456</ns0:t>
        </ns0:is>
      </ns0:c>
      <ns0:c r="C1561" t="inlineStr">
        <ns0:is>
          <ns0:t>run_013</ns0:t>
        </ns0:is>
      </ns0:c>
      <ns0:c r="D1561" t="inlineStr">
        <ns0:is>
          <ns0:t>rand</ns0:t>
        </ns0:is>
      </ns0:c>
      <ns0:c r="E1561" t="inlineStr">
        <ns0:is>
          <ns0:t>gemini-2.5-flash-nothinking</ns0:t>
        </ns0:is>
      </ns0:c>
      <ns0:c r="F1561" t="inlineStr">
        <ns0:is>
          <ns0:t>E0433</ns0:t>
        </ns0:is>
      </ns0:c>
      <ns0:c r="G1561" t="n">
        <ns0:v>0</ns0:v>
      </ns0:c>
      <ns0:c r="H1561" t="n">
        <ns0:v>9022</ns0:v>
      </ns0:c>
      <ns0:c r="I1561" t="n">
        <ns0:v>355</ns0:v>
      </ns0:c>
      <ns0:c r="J1561" t="n">
        <ns0:v>9377</ns0:v>
      </ns0:c>
      <ns0:c r="K1561" t="n">
        <ns0:v>3</ns0:v>
      </ns0:c>
      <ns0:c r="L1561" t="n">
        <ns0:v>0</ns0:v>
      </ns0:c>
      <ns0:c r="M1561" t="n">
        <ns0:v>29363</ns0:v>
      </ns0:c>
      <ns0:c r="N1561" t="n">
        <ns0:v>4120</ns0:v>
      </ns0:c>
      <ns0:c r="O1561" t="n">
        <ns0:v>33483</ns0:v>
      </ns0:c>
      <ns0:c r="P1561" t="n">
        <ns0:v>4</ns0:v>
      </ns0:c>
      <ns0:c r="Q1561">
        <ns0:f>IF(AND(L1561=1,O1561*Calculations!$B$2&lt;=Calculations!$B$10*Calculations!$B$4),1,0)</ns0:f>
        <ns0:v>0</ns0:v>
      </ns0:c>
      <ns0:c r="R1561">
        <ns0:f>IF(AND(L1561=1,O1561*Calculations!$B$2&lt;=Calculations!$B$11*Calculations!$B$4),1,0)</ns0:f>
        <ns0:v>0</ns0:v>
      </ns0:c>
    </ns0:row>
    <ns0:row r="1562">
      <ns0:c r="A1562" t="inlineStr">
        <ns0:is>
          <ns0:t>case_1561</ns0:t>
        </ns0:is>
      </ns0:c>
      <ns0:c r="B1562" t="inlineStr">
        <ns0:is>
          <ns0:t>function_0456</ns0:t>
        </ns0:is>
      </ns0:c>
      <ns0:c r="C1562" t="inlineStr">
        <ns0:is>
          <ns0:t>run_013</ns0:t>
        </ns0:is>
      </ns0:c>
      <ns0:c r="D1562" t="inlineStr">
        <ns0:is>
          <ns0:t>rand</ns0:t>
        </ns0:is>
      </ns0:c>
      <ns0:c r="E1562" t="inlineStr">
        <ns0:is>
          <ns0:t>gemini-2.5-flash-nothinking</ns0:t>
        </ns0:is>
      </ns0:c>
      <ns0:c r="F1562" t="inlineStr">
        <ns0:is>
          <ns0:t>E0405,E0423</ns0:t>
        </ns0:is>
      </ns0:c>
      <ns0:c r="G1562" t="n">
        <ns0:v>0</ns0:v>
      </ns0:c>
      <ns0:c r="H1562" t="n">
        <ns0:v>0</ns0:v>
      </ns0:c>
      <ns0:c r="I1562" t="n">
        <ns0:v>0</ns0:v>
      </ns0:c>
      <ns0:c r="J1562" t="n">
        <ns0:v>0</ns0:v>
      </ns0:c>
      <ns0:c r="K1562" t="n">
        <ns0:v>0</ns0:v>
      </ns0:c>
      <ns0:c r="L1562" t="n">
        <ns0:v>0</ns0:v>
      </ns0:c>
      <ns0:c r="M1562" t="n">
        <ns0:v>286729</ns0:v>
      </ns0:c>
      <ns0:c r="N1562" t="n">
        <ns0:v>3395</ns0:v>
      </ns0:c>
      <ns0:c r="O1562" t="n">
        <ns0:v>290124</ns0:v>
      </ns0:c>
      <ns0:c r="P1562" t="n">
        <ns0:v>21</ns0:v>
      </ns0:c>
      <ns0:c r="Q1562">
        <ns0:f>IF(AND(L1562=1,O1562*Calculations!$B$2&lt;=Calculations!$B$10*Calculations!$B$4),1,0)</ns0:f>
        <ns0:v>0</ns0:v>
      </ns0:c>
      <ns0:c r="R1562">
        <ns0:f>IF(AND(L1562=1,O1562*Calculations!$B$2&lt;=Calculations!$B$11*Calculations!$B$4),1,0)</ns0:f>
        <ns0:v>0</ns0:v>
      </ns0:c>
    </ns0:row>
    <ns0:row r="1563">
      <ns0:c r="A1563" t="inlineStr">
        <ns0:is>
          <ns0:t>case_1562</ns0:t>
        </ns0:is>
      </ns0:c>
      <ns0:c r="B1563" t="inlineStr">
        <ns0:is>
          <ns0:t>function_0456</ns0:t>
        </ns0:is>
      </ns0:c>
      <ns0:c r="C1563" t="inlineStr">
        <ns0:is>
          <ns0:t>run_013</ns0:t>
        </ns0:is>
      </ns0:c>
      <ns0:c r="D1563" t="inlineStr">
        <ns0:is>
          <ns0:t>rand</ns0:t>
        </ns0:is>
      </ns0:c>
      <ns0:c r="E1563" t="inlineStr">
        <ns0:is>
          <ns0:t>gemini-2.5-flash-nothinking</ns0:t>
        </ns0:is>
      </ns0:c>
      <ns0:c r="F1563" t="inlineStr">
        <ns0:is>
          <ns0:t>E0433</ns0:t>
        </ns0:is>
      </ns0:c>
      <ns0:c r="G1563" t="n">
        <ns0:v>0</ns0:v>
      </ns0:c>
      <ns0:c r="H1563" t="n">
        <ns0:v>11683</ns0:v>
      </ns0:c>
      <ns0:c r="I1563" t="n">
        <ns0:v>1104</ns0:v>
      </ns0:c>
      <ns0:c r="J1563" t="n">
        <ns0:v>12787</ns0:v>
      </ns0:c>
      <ns0:c r="K1563" t="n">
        <ns0:v>3</ns0:v>
      </ns0:c>
      <ns0:c r="L1563" t="n">
        <ns0:v>1</ns0:v>
      </ns0:c>
      <ns0:c r="M1563" t="n">
        <ns0:v>309557</ns0:v>
      </ns0:c>
      <ns0:c r="N1563" t="n">
        <ns0:v>5320</ns0:v>
      </ns0:c>
      <ns0:c r="O1563" t="n">
        <ns0:v>314877</ns0:v>
      </ns0:c>
      <ns0:c r="P1563" t="n">
        <ns0:v>16</ns0:v>
      </ns0:c>
      <ns0:c r="Q1563">
        <ns0:f>IF(AND(L1563=1,O1563*Calculations!$B$2&lt;=Calculations!$B$10*Calculations!$B$4),1,0)</ns0:f>
        <ns0:v>0</ns0:v>
      </ns0:c>
      <ns0:c r="R1563">
        <ns0:f>IF(AND(L1563=1,O1563*Calculations!$B$2&lt;=Calculations!$B$11*Calculations!$B$4),1,0)</ns0:f>
        <ns0:v>0</ns0:v>
      </ns0:c>
    </ns0:row>
    <ns0:row r="1564">
      <ns0:c r="A1564" t="inlineStr">
        <ns0:is>
          <ns0:t>case_1563</ns0:t>
        </ns0:is>
      </ns0:c>
      <ns0:c r="B1564" t="inlineStr">
        <ns0:is>
          <ns0:t>function_0456</ns0:t>
        </ns0:is>
      </ns0:c>
      <ns0:c r="C1564" t="inlineStr">
        <ns0:is>
          <ns0:t>run_013</ns0:t>
        </ns0:is>
      </ns0:c>
      <ns0:c r="D1564" t="inlineStr">
        <ns0:is>
          <ns0:t>rand</ns0:t>
        </ns0:is>
      </ns0:c>
      <ns0:c r="E1564" t="inlineStr">
        <ns0:is>
          <ns0:t>gemini-2.5-flash-nothinking</ns0:t>
        </ns0:is>
      </ns0:c>
      <ns0:c r="F1564" t="inlineStr">
        <ns0:is>
          <ns0:t>E0599</ns0:t>
        </ns0:is>
      </ns0:c>
      <ns0:c r="G1564" t="n">
        <ns0:v>0</ns0:v>
      </ns0:c>
      <ns0:c r="H1564" t="n">
        <ns0:v>2264</ns0:v>
      </ns0:c>
      <ns0:c r="I1564" t="n">
        <ns0:v>485</ns0:v>
      </ns0:c>
      <ns0:c r="J1564" t="n">
        <ns0:v>2749</ns0:v>
      </ns0:c>
      <ns0:c r="K1564" t="n">
        <ns0:v>3</ns0:v>
      </ns0:c>
      <ns0:c r="L1564" t="n">
        <ns0:v>0</ns0:v>
      </ns0:c>
      <ns0:c r="M1564" t="n">
        <ns0:v>191652</ns0:v>
      </ns0:c>
      <ns0:c r="N1564" t="n">
        <ns0:v>6552</ns0:v>
      </ns0:c>
      <ns0:c r="O1564" t="n">
        <ns0:v>198204</ns0:v>
      </ns0:c>
      <ns0:c r="P1564" t="n">
        <ns0:v>20</ns0:v>
      </ns0:c>
      <ns0:c r="Q1564">
        <ns0:f>IF(AND(L1564=1,O1564*Calculations!$B$2&lt;=Calculations!$B$10*Calculations!$B$4),1,0)</ns0:f>
        <ns0:v>0</ns0:v>
      </ns0:c>
      <ns0:c r="R1564">
        <ns0:f>IF(AND(L1564=1,O1564*Calculations!$B$2&lt;=Calculations!$B$11*Calculations!$B$4),1,0)</ns0:f>
        <ns0:v>0</ns0:v>
      </ns0:c>
    </ns0:row>
    <ns0:row r="1565">
      <ns0:c r="A1565" t="inlineStr">
        <ns0:is>
          <ns0:t>case_1564</ns0:t>
        </ns0:is>
      </ns0:c>
      <ns0:c r="B1565" t="inlineStr">
        <ns0:is>
          <ns0:t>function_0457</ns0:t>
        </ns0:is>
      </ns0:c>
      <ns0:c r="C1565" t="inlineStr">
        <ns0:is>
          <ns0:t>run_013</ns0:t>
        </ns0:is>
      </ns0:c>
      <ns0:c r="D1565" t="inlineStr">
        <ns0:is>
          <ns0:t>rand</ns0:t>
        </ns0:is>
      </ns0:c>
      <ns0:c r="E1565" t="inlineStr">
        <ns0:is>
          <ns0:t>gemini-2.5-flash-nothinking</ns0:t>
        </ns0:is>
      </ns0:c>
      <ns0:c r="F1565" t="inlineStr">
        <ns0:is>
          <ns0:t>E0432,E0433</ns0:t>
        </ns0:is>
      </ns0:c>
      <ns0:c r="G1565" t="n">
        <ns0:v>1</ns0:v>
      </ns0:c>
      <ns0:c r="H1565" t="n">
        <ns0:v>0</ns0:v>
      </ns0:c>
      <ns0:c r="I1565" t="n">
        <ns0:v>0</ns0:v>
      </ns0:c>
      <ns0:c r="J1565" t="n">
        <ns0:v>0</ns0:v>
      </ns0:c>
      <ns0:c r="K1565" t="n">
        <ns0:v>0</ns0:v>
      </ns0:c>
      <ns0:c r="L1565" t="n">
        <ns0:v>1</ns0:v>
      </ns0:c>
      <ns0:c r="M1565" t="n">
        <ns0:v>35337</ns0:v>
      </ns0:c>
      <ns0:c r="N1565" t="n">
        <ns0:v>847</ns0:v>
      </ns0:c>
      <ns0:c r="O1565" t="n">
        <ns0:v>36184</ns0:v>
      </ns0:c>
      <ns0:c r="P1565" t="n">
        <ns0:v>4</ns0:v>
      </ns0:c>
      <ns0:c r="Q1565">
        <ns0:f>IF(AND(L1565=1,O1565*Calculations!$B$2&lt;=Calculations!$B$10*Calculations!$B$4),1,0)</ns0:f>
        <ns0:v>0</ns0:v>
      </ns0:c>
      <ns0:c r="R1565">
        <ns0:f>IF(AND(L1565=1,O1565*Calculations!$B$2&lt;=Calculations!$B$11*Calculations!$B$4),1,0)</ns0:f>
        <ns0:v>1</ns0:v>
      </ns0:c>
    </ns0:row>
    <ns0:row r="1566">
      <ns0:c r="A1566" t="inlineStr">
        <ns0:is>
          <ns0:t>case_1565</ns0:t>
        </ns0:is>
      </ns0:c>
      <ns0:c r="B1566" t="inlineStr">
        <ns0:is>
          <ns0:t>function_0457</ns0:t>
        </ns0:is>
      </ns0:c>
      <ns0:c r="C1566" t="inlineStr">
        <ns0:is>
          <ns0:t>run_013</ns0:t>
        </ns0:is>
      </ns0:c>
      <ns0:c r="D1566" t="inlineStr">
        <ns0:is>
          <ns0:t>rand</ns0:t>
        </ns0:is>
      </ns0:c>
      <ns0:c r="E1566" t="inlineStr">
        <ns0:is>
          <ns0:t>gemini-2.5-flash-nothinking</ns0:t>
        </ns0:is>
      </ns0:c>
      <ns0:c r="F1566" t="inlineStr">
        <ns0:is>
          <ns0:t>E0432</ns0:t>
        </ns0:is>
      </ns0:c>
      <ns0:c r="G1566" t="n">
        <ns0:v>1</ns0:v>
      </ns0:c>
      <ns0:c r="H1566" t="n">
        <ns0:v>0</ns0:v>
      </ns0:c>
      <ns0:c r="I1566" t="n">
        <ns0:v>0</ns0:v>
      </ns0:c>
      <ns0:c r="J1566" t="n">
        <ns0:v>0</ns0:v>
      </ns0:c>
      <ns0:c r="K1566" t="n">
        <ns0:v>0</ns0:v>
      </ns0:c>
      <ns0:c r="L1566" t="n">
        <ns0:v>1</ns0:v>
      </ns0:c>
      <ns0:c r="M1566" t="n">
        <ns0:v>22751</ns0:v>
      </ns0:c>
      <ns0:c r="N1566" t="n">
        <ns0:v>480</ns0:v>
      </ns0:c>
      <ns0:c r="O1566" t="n">
        <ns0:v>23231</ns0:v>
      </ns0:c>
      <ns0:c r="P1566" t="n">
        <ns0:v>3</ns0:v>
      </ns0:c>
      <ns0:c r="Q1566">
        <ns0:f>IF(AND(L1566=1,O1566*Calculations!$B$2&lt;=Calculations!$B$10*Calculations!$B$4),1,0)</ns0:f>
        <ns0:v>1</ns0:v>
      </ns0:c>
      <ns0:c r="R1566">
        <ns0:f>IF(AND(L1566=1,O1566*Calculations!$B$2&lt;=Calculations!$B$11*Calculations!$B$4),1,0)</ns0:f>
        <ns0:v>1</ns0:v>
      </ns0:c>
    </ns0:row>
    <ns0:row r="1567">
      <ns0:c r="A1567" t="inlineStr">
        <ns0:is>
          <ns0:t>case_1566</ns0:t>
        </ns0:is>
      </ns0:c>
      <ns0:c r="B1567" t="inlineStr">
        <ns0:is>
          <ns0:t>function_0457</ns0:t>
        </ns0:is>
      </ns0:c>
      <ns0:c r="C1567" t="inlineStr">
        <ns0:is>
          <ns0:t>run_013</ns0:t>
        </ns0:is>
      </ns0:c>
      <ns0:c r="D1567" t="inlineStr">
        <ns0:is>
          <ns0:t>rand</ns0:t>
        </ns0:is>
      </ns0:c>
      <ns0:c r="E1567" t="inlineStr">
        <ns0:is>
          <ns0:t>gemini-2.5-flash-nothinking</ns0:t>
        </ns0:is>
      </ns0:c>
      <ns0:c r="F1567" t="inlineStr">
        <ns0:is>
          <ns0:t>E0046,E0432,E0433</ns0:t>
        </ns0:is>
      </ns0:c>
      <ns0:c r="G1567" t="n">
        <ns0:v>0</ns0:v>
      </ns0:c>
      <ns0:c r="H1567" t="n">
        <ns0:v>3350</ns0:v>
      </ns0:c>
      <ns0:c r="I1567" t="n">
        <ns0:v>291</ns0:v>
      </ns0:c>
      <ns0:c r="J1567" t="n">
        <ns0:v>3641</ns0:v>
      </ns0:c>
      <ns0:c r="K1567" t="n">
        <ns0:v>3</ns0:v>
      </ns0:c>
      <ns0:c r="L1567" t="n">
        <ns0:v>1</ns0:v>
      </ns0:c>
      <ns0:c r="M1567" t="n">
        <ns0:v>80353</ns0:v>
      </ns0:c>
      <ns0:c r="N1567" t="n">
        <ns0:v>1320</ns0:v>
      </ns0:c>
      <ns0:c r="O1567" t="n">
        <ns0:v>81673</ns0:v>
      </ns0:c>
      <ns0:c r="P1567" t="n">
        <ns0:v>6</ns0:v>
      </ns0:c>
      <ns0:c r="Q1567">
        <ns0:f>IF(AND(L1567=1,O1567*Calculations!$B$2&lt;=Calculations!$B$10*Calculations!$B$4),1,0)</ns0:f>
        <ns0:v>0</ns0:v>
      </ns0:c>
      <ns0:c r="R1567">
        <ns0:f>IF(AND(L1567=1,O1567*Calculations!$B$2&lt;=Calculations!$B$11*Calculations!$B$4),1,0)</ns0:f>
        <ns0:v>0</ns0:v>
      </ns0:c>
    </ns0:row>
    <ns0:row r="1568">
      <ns0:c r="A1568" t="inlineStr">
        <ns0:is>
          <ns0:t>case_1567</ns0:t>
        </ns0:is>
      </ns0:c>
      <ns0:c r="B1568" t="inlineStr">
        <ns0:is>
          <ns0:t>function_0458</ns0:t>
        </ns0:is>
      </ns0:c>
      <ns0:c r="C1568" t="inlineStr">
        <ns0:is>
          <ns0:t>run_013</ns0:t>
        </ns0:is>
      </ns0:c>
      <ns0:c r="D1568" t="inlineStr">
        <ns0:is>
          <ns0:t>rand</ns0:t>
        </ns0:is>
      </ns0:c>
      <ns0:c r="E1568" t="inlineStr">
        <ns0:is>
          <ns0:t>gemini-2.5-flash-nothinking</ns0:t>
        </ns0:is>
      </ns0:c>
      <ns0:c r="F1568" t="inlineStr">
        <ns0:is>
          <ns0:t>E0405,E0412</ns0:t>
        </ns0:is>
      </ns0:c>
      <ns0:c r="G1568" t="n">
        <ns0:v>0</ns0:v>
      </ns0:c>
      <ns0:c r="H1568" t="n">
        <ns0:v>7418</ns0:v>
      </ns0:c>
      <ns0:c r="I1568" t="n">
        <ns0:v>1065</ns0:v>
      </ns0:c>
      <ns0:c r="J1568" t="n">
        <ns0:v>8483</ns0:v>
      </ns0:c>
      <ns0:c r="K1568" t="n">
        <ns0:v>3</ns0:v>
      </ns0:c>
      <ns0:c r="L1568" t="n">
        <ns0:v>0</ns0:v>
      </ns0:c>
      <ns0:c r="M1568" t="n">
        <ns0:v>208280</ns0:v>
      </ns0:c>
      <ns0:c r="N1568" t="n">
        <ns0:v>1900</ns0:v>
      </ns0:c>
      <ns0:c r="O1568" t="n">
        <ns0:v>210180</ns0:v>
      </ns0:c>
      <ns0:c r="P1568" t="n">
        <ns0:v>20</ns0:v>
      </ns0:c>
      <ns0:c r="Q1568">
        <ns0:f>IF(AND(L1568=1,O1568*Calculations!$B$2&lt;=Calculations!$B$10*Calculations!$B$4),1,0)</ns0:f>
        <ns0:v>0</ns0:v>
      </ns0:c>
      <ns0:c r="R1568">
        <ns0:f>IF(AND(L1568=1,O1568*Calculations!$B$2&lt;=Calculations!$B$11*Calculations!$B$4),1,0)</ns0:f>
        <ns0:v>0</ns0:v>
      </ns0:c>
    </ns0:row>
    <ns0:row r="1569">
      <ns0:c r="A1569" t="inlineStr">
        <ns0:is>
          <ns0:t>case_1568</ns0:t>
        </ns0:is>
      </ns0:c>
      <ns0:c r="B1569" t="inlineStr">
        <ns0:is>
          <ns0:t>function_0458</ns0:t>
        </ns0:is>
      </ns0:c>
      <ns0:c r="C1569" t="inlineStr">
        <ns0:is>
          <ns0:t>run_013</ns0:t>
        </ns0:is>
      </ns0:c>
      <ns0:c r="D1569" t="inlineStr">
        <ns0:is>
          <ns0:t>rand</ns0:t>
        </ns0:is>
      </ns0:c>
      <ns0:c r="E1569" t="inlineStr">
        <ns0:is>
          <ns0:t>gemini-2.5-flash-nothinking</ns0:t>
        </ns0:is>
      </ns0:c>
      <ns0:c r="F1569" t="inlineStr">
        <ns0:is>
          <ns0:t>E0063,E0433</ns0:t>
        </ns0:is>
      </ns0:c>
      <ns0:c r="G1569" t="n">
        <ns0:v>0</ns0:v>
      </ns0:c>
      <ns0:c r="H1569" t="n">
        <ns0:v>8019</ns0:v>
      </ns0:c>
      <ns0:c r="I1569" t="n">
        <ns0:v>568</ns0:v>
      </ns0:c>
      <ns0:c r="J1569" t="n">
        <ns0:v>8587</ns0:v>
      </ns0:c>
      <ns0:c r="K1569" t="n">
        <ns0:v>3</ns0:v>
      </ns0:c>
      <ns0:c r="L1569" t="n">
        <ns0:v>1</ns0:v>
      </ns0:c>
      <ns0:c r="M1569" t="n">
        <ns0:v>182985</ns0:v>
      </ns0:c>
      <ns0:c r="N1569" t="n">
        <ns0:v>2332</ns0:v>
      </ns0:c>
      <ns0:c r="O1569" t="n">
        <ns0:v>185317</ns0:v>
      </ns0:c>
      <ns0:c r="P1569" t="n">
        <ns0:v>20</ns0:v>
      </ns0:c>
      <ns0:c r="Q1569">
        <ns0:f>IF(AND(L1569=1,O1569*Calculations!$B$2&lt;=Calculations!$B$10*Calculations!$B$4),1,0)</ns0:f>
        <ns0:v>0</ns0:v>
      </ns0:c>
      <ns0:c r="R1569">
        <ns0:f>IF(AND(L1569=1,O1569*Calculations!$B$2&lt;=Calculations!$B$11*Calculations!$B$4),1,0)</ns0:f>
        <ns0:v>0</ns0:v>
      </ns0:c>
    </ns0:row>
    <ns0:row r="1570">
      <ns0:c r="A1570" t="inlineStr">
        <ns0:is>
          <ns0:t>case_1569</ns0:t>
        </ns0:is>
      </ns0:c>
      <ns0:c r="B1570" t="inlineStr">
        <ns0:is>
          <ns0:t>function_0458</ns0:t>
        </ns0:is>
      </ns0:c>
      <ns0:c r="C1570" t="inlineStr">
        <ns0:is>
          <ns0:t>run_013</ns0:t>
        </ns0:is>
      </ns0:c>
      <ns0:c r="D1570" t="inlineStr">
        <ns0:is>
          <ns0:t>rand</ns0:t>
        </ns0:is>
      </ns0:c>
      <ns0:c r="E1570" t="inlineStr">
        <ns0:is>
          <ns0:t>gemini-2.5-flash-nothinking</ns0:t>
        </ns0:is>
      </ns0:c>
      <ns0:c r="F1570" t="inlineStr">
        <ns0:is>
          <ns0:t>E0053,E0063,E0412,E0432,E0433,E0599</ns0:t>
        </ns0:is>
      </ns0:c>
      <ns0:c r="G1570" t="n">
        <ns0:v>0</ns0:v>
      </ns0:c>
      <ns0:c r="H1570" t="n">
        <ns0:v>9297</ns0:v>
      </ns0:c>
      <ns0:c r="I1570" t="n">
        <ns0:v>1588</ns0:v>
      </ns0:c>
      <ns0:c r="J1570" t="n">
        <ns0:v>10885</ns0:v>
      </ns0:c>
      <ns0:c r="K1570" t="n">
        <ns0:v>3</ns0:v>
      </ns0:c>
      <ns0:c r="L1570" t="n">
        <ns0:v>0</ns0:v>
      </ns0:c>
      <ns0:c r="M1570" t="n">
        <ns0:v>268647</ns0:v>
      </ns0:c>
      <ns0:c r="N1570" t="n">
        <ns0:v>5568</ns0:v>
      </ns0:c>
      <ns0:c r="O1570" t="n">
        <ns0:v>274215</ns0:v>
      </ns0:c>
      <ns0:c r="P1570" t="n">
        <ns0:v>20</ns0:v>
      </ns0:c>
      <ns0:c r="Q1570">
        <ns0:f>IF(AND(L1570=1,O1570*Calculations!$B$2&lt;=Calculations!$B$10*Calculations!$B$4),1,0)</ns0:f>
        <ns0:v>0</ns0:v>
      </ns0:c>
      <ns0:c r="R1570">
        <ns0:f>IF(AND(L1570=1,O1570*Calculations!$B$2&lt;=Calculations!$B$11*Calculations!$B$4),1,0)</ns0:f>
        <ns0:v>0</ns0:v>
      </ns0:c>
    </ns0:row>
    <ns0:row r="1571">
      <ns0:c r="A1571" t="inlineStr">
        <ns0:is>
          <ns0:t>case_1570</ns0:t>
        </ns0:is>
      </ns0:c>
      <ns0:c r="B1571" t="inlineStr">
        <ns0:is>
          <ns0:t>function_0458</ns0:t>
        </ns0:is>
      </ns0:c>
      <ns0:c r="C1571" t="inlineStr">
        <ns0:is>
          <ns0:t>run_013</ns0:t>
        </ns0:is>
      </ns0:c>
      <ns0:c r="D1571" t="inlineStr">
        <ns0:is>
          <ns0:t>rand</ns0:t>
        </ns0:is>
      </ns0:c>
      <ns0:c r="E1571" t="inlineStr">
        <ns0:is>
          <ns0:t>gemini-2.5-flash-nothinking</ns0:t>
        </ns0:is>
      </ns0:c>
      <ns0:c r="F1571" t="inlineStr">
        <ns0:is>
          <ns0:t>E0063,E0432,E0599</ns0:t>
        </ns0:is>
      </ns0:c>
      <ns0:c r="G1571" t="n">
        <ns0:v>0</ns0:v>
      </ns0:c>
      <ns0:c r="H1571" t="n">
        <ns0:v>7615</ns0:v>
      </ns0:c>
      <ns0:c r="I1571" t="n">
        <ns0:v>936</ns0:v>
      </ns0:c>
      <ns0:c r="J1571" t="n">
        <ns0:v>8551</ns0:v>
      </ns0:c>
      <ns0:c r="K1571" t="n">
        <ns0:v>3</ns0:v>
      </ns0:c>
      <ns0:c r="L1571" t="n">
        <ns0:v>1</ns0:v>
      </ns0:c>
      <ns0:c r="M1571" t="n">
        <ns0:v>174095</ns0:v>
      </ns0:c>
      <ns0:c r="N1571" t="n">
        <ns0:v>2386</ns0:v>
      </ns0:c>
      <ns0:c r="O1571" t="n">
        <ns0:v>176481</ns0:v>
      </ns0:c>
      <ns0:c r="P1571" t="n">
        <ns0:v>17</ns0:v>
      </ns0:c>
      <ns0:c r="Q1571">
        <ns0:f>IF(AND(L1571=1,O1571*Calculations!$B$2&lt;=Calculations!$B$10*Calculations!$B$4),1,0)</ns0:f>
        <ns0:v>0</ns0:v>
      </ns0:c>
      <ns0:c r="R1571">
        <ns0:f>IF(AND(L1571=1,O1571*Calculations!$B$2&lt;=Calculations!$B$11*Calculations!$B$4),1,0)</ns0:f>
        <ns0:v>0</ns0:v>
      </ns0:c>
    </ns0:row>
    <ns0:row r="1572">
      <ns0:c r="A1572" t="inlineStr">
        <ns0:is>
          <ns0:t>case_1571</ns0:t>
        </ns0:is>
      </ns0:c>
      <ns0:c r="B1572" t="inlineStr">
        <ns0:is>
          <ns0:t>function_0459</ns0:t>
        </ns0:is>
      </ns0:c>
      <ns0:c r="C1572" t="inlineStr">
        <ns0:is>
          <ns0:t>run_013</ns0:t>
        </ns0:is>
      </ns0:c>
      <ns0:c r="D1572" t="inlineStr">
        <ns0:is>
          <ns0:t>rand</ns0:t>
        </ns0:is>
      </ns0:c>
      <ns0:c r="E1572" t="inlineStr">
        <ns0:is>
          <ns0:t>gemini-2.5-flash-nothinking</ns0:t>
        </ns0:is>
      </ns0:c>
      <ns0:c r="F1572" t="inlineStr">
        <ns0:is>
          <ns0:t>E0432</ns0:t>
        </ns0:is>
      </ns0:c>
      <ns0:c r="G1572" t="n">
        <ns0:v>0</ns0:v>
      </ns0:c>
      <ns0:c r="H1572" t="n">
        <ns0:v>7285</ns0:v>
      </ns0:c>
      <ns0:c r="I1572" t="n">
        <ns0:v>1061</ns0:v>
      </ns0:c>
      <ns0:c r="J1572" t="n">
        <ns0:v>8346</ns0:v>
      </ns0:c>
      <ns0:c r="K1572" t="n">
        <ns0:v>3</ns0:v>
      </ns0:c>
      <ns0:c r="L1572" t="n">
        <ns0:v>0</ns0:v>
      </ns0:c>
      <ns0:c r="M1572" t="n">
        <ns0:v>216814</ns0:v>
      </ns0:c>
      <ns0:c r="N1572" t="n">
        <ns0:v>3492</ns0:v>
      </ns0:c>
      <ns0:c r="O1572" t="n">
        <ns0:v>220306</ns0:v>
      </ns0:c>
      <ns0:c r="P1572" t="n">
        <ns0:v>20</ns0:v>
      </ns0:c>
      <ns0:c r="Q1572">
        <ns0:f>IF(AND(L1572=1,O1572*Calculations!$B$2&lt;=Calculations!$B$10*Calculations!$B$4),1,0)</ns0:f>
        <ns0:v>0</ns0:v>
      </ns0:c>
      <ns0:c r="R1572">
        <ns0:f>IF(AND(L1572=1,O1572*Calculations!$B$2&lt;=Calculations!$B$11*Calculations!$B$4),1,0)</ns0:f>
        <ns0:v>0</ns0:v>
      </ns0:c>
    </ns0:row>
    <ns0:row r="1573">
      <ns0:c r="A1573" t="inlineStr">
        <ns0:is>
          <ns0:t>case_1572</ns0:t>
        </ns0:is>
      </ns0:c>
      <ns0:c r="B1573" t="inlineStr">
        <ns0:is>
          <ns0:t>function_0459</ns0:t>
        </ns0:is>
      </ns0:c>
      <ns0:c r="C1573" t="inlineStr">
        <ns0:is>
          <ns0:t>run_013</ns0:t>
        </ns0:is>
      </ns0:c>
      <ns0:c r="D1573" t="inlineStr">
        <ns0:is>
          <ns0:t>rand</ns0:t>
        </ns0:is>
      </ns0:c>
      <ns0:c r="E1573" t="inlineStr">
        <ns0:is>
          <ns0:t>gemini-2.5-flash-nothinking</ns0:t>
        </ns0:is>
      </ns0:c>
      <ns0:c r="F1573" t="inlineStr">
        <ns0:is>
          <ns0:t>E0405</ns0:t>
        </ns0:is>
      </ns0:c>
      <ns0:c r="G1573" t="n">
        <ns0:v>0</ns0:v>
      </ns0:c>
      <ns0:c r="H1573" t="n">
        <ns0:v>6692</ns0:v>
      </ns0:c>
      <ns0:c r="I1573" t="n">
        <ns0:v>912</ns0:v>
      </ns0:c>
      <ns0:c r="J1573" t="n">
        <ns0:v>7604</ns0:v>
      </ns0:c>
      <ns0:c r="K1573" t="n">
        <ns0:v>3</ns0:v>
      </ns0:c>
      <ns0:c r="L1573" t="n">
        <ns0:v>0</ns0:v>
      </ns0:c>
      <ns0:c r="M1573" t="n">
        <ns0:v>283886</ns0:v>
      </ns0:c>
      <ns0:c r="N1573" t="n">
        <ns0:v>4551</ns0:v>
      </ns0:c>
      <ns0:c r="O1573" t="n">
        <ns0:v>288437</ns0:v>
      </ns0:c>
      <ns0:c r="P1573" t="n">
        <ns0:v>20</ns0:v>
      </ns0:c>
      <ns0:c r="Q1573">
        <ns0:f>IF(AND(L1573=1,O1573*Calculations!$B$2&lt;=Calculations!$B$10*Calculations!$B$4),1,0)</ns0:f>
        <ns0:v>0</ns0:v>
      </ns0:c>
      <ns0:c r="R1573">
        <ns0:f>IF(AND(L1573=1,O1573*Calculations!$B$2&lt;=Calculations!$B$11*Calculations!$B$4),1,0)</ns0:f>
        <ns0:v>0</ns0:v>
      </ns0:c>
    </ns0:row>
    <ns0:row r="1574">
      <ns0:c r="A1574" t="inlineStr">
        <ns0:is>
          <ns0:t>case_1573</ns0:t>
        </ns0:is>
      </ns0:c>
      <ns0:c r="B1574" t="inlineStr">
        <ns0:is>
          <ns0:t>function_0459</ns0:t>
        </ns0:is>
      </ns0:c>
      <ns0:c r="C1574" t="inlineStr">
        <ns0:is>
          <ns0:t>run_013</ns0:t>
        </ns0:is>
      </ns0:c>
      <ns0:c r="D1574" t="inlineStr">
        <ns0:is>
          <ns0:t>rand</ns0:t>
        </ns0:is>
      </ns0:c>
      <ns0:c r="E1574" t="inlineStr">
        <ns0:is>
          <ns0:t>gemini-2.5-flash-nothinking</ns0:t>
        </ns0:is>
      </ns0:c>
      <ns0:c r="F1574" t="inlineStr">
        <ns0:is>
          <ns0:t>E0432</ns0:t>
        </ns0:is>
      </ns0:c>
      <ns0:c r="G1574" t="n">
        <ns0:v>0</ns0:v>
      </ns0:c>
      <ns0:c r="H1574" t="n">
        <ns0:v>7252</ns0:v>
      </ns0:c>
      <ns0:c r="I1574" t="n">
        <ns0:v>372</ns0:v>
      </ns0:c>
      <ns0:c r="J1574" t="n">
        <ns0:v>7624</ns0:v>
      </ns0:c>
      <ns0:c r="K1574" t="n">
        <ns0:v>3</ns0:v>
      </ns0:c>
      <ns0:c r="L1574" t="n">
        <ns0:v>0</ns0:v>
      </ns0:c>
      <ns0:c r="M1574" t="n">
        <ns0:v>201229</ns0:v>
      </ns0:c>
      <ns0:c r="N1574" t="n">
        <ns0:v>3026</ns0:v>
      </ns0:c>
      <ns0:c r="O1574" t="n">
        <ns0:v>204255</ns0:v>
      </ns0:c>
      <ns0:c r="P1574" t="n">
        <ns0:v>20</ns0:v>
      </ns0:c>
      <ns0:c r="Q1574">
        <ns0:f>IF(AND(L1574=1,O1574*Calculations!$B$2&lt;=Calculations!$B$10*Calculations!$B$4),1,0)</ns0:f>
        <ns0:v>0</ns0:v>
      </ns0:c>
      <ns0:c r="R1574">
        <ns0:f>IF(AND(L1574=1,O1574*Calculations!$B$2&lt;=Calculations!$B$11*Calculations!$B$4),1,0)</ns0:f>
        <ns0:v>0</ns0:v>
      </ns0:c>
    </ns0:row>
    <ns0:row r="1575">
      <ns0:c r="A1575" t="inlineStr">
        <ns0:is>
          <ns0:t>case_1574</ns0:t>
        </ns0:is>
      </ns0:c>
      <ns0:c r="B1575" t="inlineStr">
        <ns0:is>
          <ns0:t>function_0459</ns0:t>
        </ns0:is>
      </ns0:c>
      <ns0:c r="C1575" t="inlineStr">
        <ns0:is>
          <ns0:t>run_013</ns0:t>
        </ns0:is>
      </ns0:c>
      <ns0:c r="D1575" t="inlineStr">
        <ns0:is>
          <ns0:t>rand</ns0:t>
        </ns0:is>
      </ns0:c>
      <ns0:c r="E1575" t="inlineStr">
        <ns0:is>
          <ns0:t>gemini-2.5-flash-nothinking</ns0:t>
        </ns0:is>
      </ns0:c>
      <ns0:c r="F1575" t="inlineStr">
        <ns0:is>
          <ns0:t>E0432</ns0:t>
        </ns0:is>
      </ns0:c>
      <ns0:c r="G1575" t="n">
        <ns0:v>0</ns0:v>
      </ns0:c>
      <ns0:c r="H1575" t="n">
        <ns0:v>8226</ns0:v>
      </ns0:c>
      <ns0:c r="I1575" t="n">
        <ns0:v>1937</ns0:v>
      </ns0:c>
      <ns0:c r="J1575" t="n">
        <ns0:v>10163</ns0:v>
      </ns0:c>
      <ns0:c r="K1575" t="n">
        <ns0:v>3</ns0:v>
      </ns0:c>
      <ns0:c r="L1575" t="n">
        <ns0:v>0</ns0:v>
      </ns0:c>
      <ns0:c r="M1575" t="n">
        <ns0:v>165764</ns0:v>
      </ns0:c>
      <ns0:c r="N1575" t="n">
        <ns0:v>4764</ns0:v>
      </ns0:c>
      <ns0:c r="O1575" t="n">
        <ns0:v>170528</ns0:v>
      </ns0:c>
      <ns0:c r="P1575" t="n">
        <ns0:v>20</ns0:v>
      </ns0:c>
      <ns0:c r="Q1575">
        <ns0:f>IF(AND(L1575=1,O1575*Calculations!$B$2&lt;=Calculations!$B$10*Calculations!$B$4),1,0)</ns0:f>
        <ns0:v>0</ns0:v>
      </ns0:c>
      <ns0:c r="R1575">
        <ns0:f>IF(AND(L1575=1,O1575*Calculations!$B$2&lt;=Calculations!$B$11*Calculations!$B$4),1,0)</ns0:f>
        <ns0:v>0</ns0:v>
      </ns0:c>
    </ns0:row>
    <ns0:row r="1576">
      <ns0:c r="A1576" t="inlineStr">
        <ns0:is>
          <ns0:t>case_1575</ns0:t>
        </ns0:is>
      </ns0:c>
      <ns0:c r="B1576" t="inlineStr">
        <ns0:is>
          <ns0:t>function_0460</ns0:t>
        </ns0:is>
      </ns0:c>
      <ns0:c r="C1576" t="inlineStr">
        <ns0:is>
          <ns0:t>run_013</ns0:t>
        </ns0:is>
      </ns0:c>
      <ns0:c r="D1576" t="inlineStr">
        <ns0:is>
          <ns0:t>rand</ns0:t>
        </ns0:is>
      </ns0:c>
      <ns0:c r="E1576" t="inlineStr">
        <ns0:is>
          <ns0:t>gemini-2.5-flash-nothinking</ns0:t>
        </ns0:is>
      </ns0:c>
      <ns0:c r="F1576" t="inlineStr">
        <ns0:is>
          <ns0:t>E0277,E0599</ns0:t>
        </ns0:is>
      </ns0:c>
      <ns0:c r="G1576" t="n">
        <ns0:v>1</ns0:v>
      </ns0:c>
      <ns0:c r="H1576" t="n">
        <ns0:v>2262</ns0:v>
      </ns0:c>
      <ns0:c r="I1576" t="n">
        <ns0:v>351</ns0:v>
      </ns0:c>
      <ns0:c r="J1576" t="n">
        <ns0:v>2613</ns0:v>
      </ns0:c>
      <ns0:c r="K1576" t="n">
        <ns0:v>2</ns0:v>
      </ns0:c>
      <ns0:c r="L1576" t="n">
        <ns0:v>1</ns0:v>
      </ns0:c>
      <ns0:c r="M1576" t="n">
        <ns0:v>58491</ns0:v>
      </ns0:c>
      <ns0:c r="N1576" t="n">
        <ns0:v>647</ns0:v>
      </ns0:c>
      <ns0:c r="O1576" t="n">
        <ns0:v>59138</ns0:v>
      </ns0:c>
      <ns0:c r="P1576" t="n">
        <ns0:v>7</ns0:v>
      </ns0:c>
      <ns0:c r="Q1576">
        <ns0:f>IF(AND(L1576=1,O1576*Calculations!$B$2&lt;=Calculations!$B$10*Calculations!$B$4),1,0)</ns0:f>
        <ns0:v>0</ns0:v>
      </ns0:c>
      <ns0:c r="R1576">
        <ns0:f>IF(AND(L1576=1,O1576*Calculations!$B$2&lt;=Calculations!$B$11*Calculations!$B$4),1,0)</ns0:f>
        <ns0:v>0</ns0:v>
      </ns0:c>
    </ns0:row>
    <ns0:row r="1577">
      <ns0:c r="A1577" t="inlineStr">
        <ns0:is>
          <ns0:t>case_1576</ns0:t>
        </ns0:is>
      </ns0:c>
      <ns0:c r="B1577" t="inlineStr">
        <ns0:is>
          <ns0:t>function_0461</ns0:t>
        </ns0:is>
      </ns0:c>
      <ns0:c r="C1577" t="inlineStr">
        <ns0:is>
          <ns0:t>run_013</ns0:t>
        </ns0:is>
      </ns0:c>
      <ns0:c r="D1577" t="inlineStr">
        <ns0:is>
          <ns0:t>rand</ns0:t>
        </ns0:is>
      </ns0:c>
      <ns0:c r="E1577" t="inlineStr">
        <ns0:is>
          <ns0:t>gemini-2.5-flash-nothinking</ns0:t>
        </ns0:is>
      </ns0:c>
      <ns0:c r="F1577" t="inlineStr">
        <ns0:is>
          <ns0:t>E0405,E0433</ns0:t>
        </ns0:is>
      </ns0:c>
      <ns0:c r="G1577" t="n">
        <ns0:v>0</ns0:v>
      </ns0:c>
      <ns0:c r="H1577" t="n">
        <ns0:v>7652</ns0:v>
      </ns0:c>
      <ns0:c r="I1577" t="n">
        <ns0:v>300</ns0:v>
      </ns0:c>
      <ns0:c r="J1577" t="n">
        <ns0:v>7952</ns0:v>
      </ns0:c>
      <ns0:c r="K1577" t="n">
        <ns0:v>3</ns0:v>
      </ns0:c>
      <ns0:c r="L1577" t="n">
        <ns0:v>0</ns0:v>
      </ns0:c>
      <ns0:c r="M1577" t="n">
        <ns0:v>168641</ns0:v>
      </ns0:c>
      <ns0:c r="N1577" t="n">
        <ns0:v>2938</ns0:v>
      </ns0:c>
      <ns0:c r="O1577" t="n">
        <ns0:v>171579</ns0:v>
      </ns0:c>
      <ns0:c r="P1577" t="n">
        <ns0:v>20</ns0:v>
      </ns0:c>
      <ns0:c r="Q1577">
        <ns0:f>IF(AND(L1577=1,O1577*Calculations!$B$2&lt;=Calculations!$B$10*Calculations!$B$4),1,0)</ns0:f>
        <ns0:v>0</ns0:v>
      </ns0:c>
      <ns0:c r="R1577">
        <ns0:f>IF(AND(L1577=1,O1577*Calculations!$B$2&lt;=Calculations!$B$11*Calculations!$B$4),1,0)</ns0:f>
        <ns0:v>0</ns0:v>
      </ns0:c>
    </ns0:row>
    <ns0:row r="1578">
      <ns0:c r="A1578" t="inlineStr">
        <ns0:is>
          <ns0:t>case_1577</ns0:t>
        </ns0:is>
      </ns0:c>
      <ns0:c r="B1578" t="inlineStr">
        <ns0:is>
          <ns0:t>function_0461</ns0:t>
        </ns0:is>
      </ns0:c>
      <ns0:c r="C1578" t="inlineStr">
        <ns0:is>
          <ns0:t>run_013</ns0:t>
        </ns0:is>
      </ns0:c>
      <ns0:c r="D1578" t="inlineStr">
        <ns0:is>
          <ns0:t>rand</ns0:t>
        </ns0:is>
      </ns0:c>
      <ns0:c r="E1578" t="inlineStr">
        <ns0:is>
          <ns0:t>gemini-2.5-flash-nothinking</ns0:t>
        </ns0:is>
      </ns0:c>
      <ns0:c r="F1578" t="inlineStr">
        <ns0:is>
          <ns0:t>E0433</ns0:t>
        </ns0:is>
      </ns0:c>
      <ns0:c r="G1578" t="n">
        <ns0:v>0</ns0:v>
      </ns0:c>
      <ns0:c r="H1578" t="n">
        <ns0:v>6524</ns0:v>
      </ns0:c>
      <ns0:c r="I1578" t="n">
        <ns0:v>441</ns0:v>
      </ns0:c>
      <ns0:c r="J1578" t="n">
        <ns0:v>6965</ns0:v>
      </ns0:c>
      <ns0:c r="K1578" t="n">
        <ns0:v>3</ns0:v>
      </ns0:c>
      <ns0:c r="L1578" t="n">
        <ns0:v>0</ns0:v>
      </ns0:c>
      <ns0:c r="M1578" t="n">
        <ns0:v>236936</ns0:v>
      </ns0:c>
      <ns0:c r="N1578" t="n">
        <ns0:v>1829</ns0:v>
      </ns0:c>
      <ns0:c r="O1578" t="n">
        <ns0:v>238765</ns0:v>
      </ns0:c>
      <ns0:c r="P1578" t="n">
        <ns0:v>20</ns0:v>
      </ns0:c>
      <ns0:c r="Q1578">
        <ns0:f>IF(AND(L1578=1,O1578*Calculations!$B$2&lt;=Calculations!$B$10*Calculations!$B$4),1,0)</ns0:f>
        <ns0:v>0</ns0:v>
      </ns0:c>
      <ns0:c r="R1578">
        <ns0:f>IF(AND(L1578=1,O1578*Calculations!$B$2&lt;=Calculations!$B$11*Calculations!$B$4),1,0)</ns0:f>
        <ns0:v>0</ns0:v>
      </ns0:c>
    </ns0:row>
    <ns0:row r="1579">
      <ns0:c r="A1579" t="inlineStr">
        <ns0:is>
          <ns0:t>case_1578</ns0:t>
        </ns0:is>
      </ns0:c>
      <ns0:c r="B1579" t="inlineStr">
        <ns0:is>
          <ns0:t>function_0461</ns0:t>
        </ns0:is>
      </ns0:c>
      <ns0:c r="C1579" t="inlineStr">
        <ns0:is>
          <ns0:t>run_013</ns0:t>
        </ns0:is>
      </ns0:c>
      <ns0:c r="D1579" t="inlineStr">
        <ns0:is>
          <ns0:t>rand</ns0:t>
        </ns0:is>
      </ns0:c>
      <ns0:c r="E1579" t="inlineStr">
        <ns0:is>
          <ns0:t>gemini-2.5-flash-nothinking</ns0:t>
        </ns0:is>
      </ns0:c>
      <ns0:c r="F1579" t="inlineStr">
        <ns0:is>
          <ns0:t>E0061,E0432</ns0:t>
        </ns0:is>
      </ns0:c>
      <ns0:c r="G1579" t="n">
        <ns0:v>0</ns0:v>
      </ns0:c>
      <ns0:c r="H1579" t="n">
        <ns0:v>9639</ns0:v>
      </ns0:c>
      <ns0:c r="I1579" t="n">
        <ns0:v>423</ns0:v>
      </ns0:c>
      <ns0:c r="J1579" t="n">
        <ns0:v>10062</ns0:v>
      </ns0:c>
      <ns0:c r="K1579" t="n">
        <ns0:v>3</ns0:v>
      </ns0:c>
      <ns0:c r="L1579" t="n">
        <ns0:v>0</ns0:v>
      </ns0:c>
      <ns0:c r="M1579" t="n">
        <ns0:v>141041</ns0:v>
      </ns0:c>
      <ns0:c r="N1579" t="n">
        <ns0:v>2086</ns0:v>
      </ns0:c>
      <ns0:c r="O1579" t="n">
        <ns0:v>143127</ns0:v>
      </ns0:c>
      <ns0:c r="P1579" t="n">
        <ns0:v>9</ns0:v>
      </ns0:c>
      <ns0:c r="Q1579">
        <ns0:f>IF(AND(L1579=1,O1579*Calculations!$B$2&lt;=Calculations!$B$10*Calculations!$B$4),1,0)</ns0:f>
        <ns0:v>0</ns0:v>
      </ns0:c>
      <ns0:c r="R1579">
        <ns0:f>IF(AND(L1579=1,O1579*Calculations!$B$2&lt;=Calculations!$B$11*Calculations!$B$4),1,0)</ns0:f>
        <ns0:v>0</ns0:v>
      </ns0:c>
    </ns0:row>
    <ns0:row r="1580">
      <ns0:c r="A1580" t="inlineStr">
        <ns0:is>
          <ns0:t>case_1579</ns0:t>
        </ns0:is>
      </ns0:c>
      <ns0:c r="B1580" t="inlineStr">
        <ns0:is>
          <ns0:t>function_0461</ns0:t>
        </ns0:is>
      </ns0:c>
      <ns0:c r="C1580" t="inlineStr">
        <ns0:is>
          <ns0:t>run_013</ns0:t>
        </ns0:is>
      </ns0:c>
      <ns0:c r="D1580" t="inlineStr">
        <ns0:is>
          <ns0:t>rand</ns0:t>
        </ns0:is>
      </ns0:c>
      <ns0:c r="E1580" t="inlineStr">
        <ns0:is>
          <ns0:t>gemini-2.5-flash-nothinking</ns0:t>
        </ns0:is>
      </ns0:c>
      <ns0:c r="F1580" t="inlineStr">
        <ns0:is>
          <ns0:t>E0061,E0432</ns0:t>
        </ns0:is>
      </ns0:c>
      <ns0:c r="G1580" t="n">
        <ns0:v>0</ns0:v>
      </ns0:c>
      <ns0:c r="H1580" t="n">
        <ns0:v>7852</ns0:v>
      </ns0:c>
      <ns0:c r="I1580" t="n">
        <ns0:v>330</ns0:v>
      </ns0:c>
      <ns0:c r="J1580" t="n">
        <ns0:v>8182</ns0:v>
      </ns0:c>
      <ns0:c r="K1580" t="n">
        <ns0:v>3</ns0:v>
      </ns0:c>
      <ns0:c r="L1580" t="n">
        <ns0:v>0</ns0:v>
      </ns0:c>
      <ns0:c r="M1580" t="n">
        <ns0:v>167822</ns0:v>
      </ns0:c>
      <ns0:c r="N1580" t="n">
        <ns0:v>2189</ns0:v>
      </ns0:c>
      <ns0:c r="O1580" t="n">
        <ns0:v>170011</ns0:v>
      </ns0:c>
      <ns0:c r="P1580" t="n">
        <ns0:v>13</ns0:v>
      </ns0:c>
      <ns0:c r="Q1580">
        <ns0:f>IF(AND(L1580=1,O1580*Calculations!$B$2&lt;=Calculations!$B$10*Calculations!$B$4),1,0)</ns0:f>
        <ns0:v>0</ns0:v>
      </ns0:c>
      <ns0:c r="R1580">
        <ns0:f>IF(AND(L1580=1,O1580*Calculations!$B$2&lt;=Calculations!$B$11*Calculations!$B$4),1,0)</ns0:f>
        <ns0:v>0</ns0:v>
      </ns0:c>
    </ns0:row>
    <ns0:row r="1581">
      <ns0:c r="A1581" t="inlineStr">
        <ns0:is>
          <ns0:t>case_1580</ns0:t>
        </ns0:is>
      </ns0:c>
      <ns0:c r="B1581" t="inlineStr">
        <ns0:is>
          <ns0:t>function_0462</ns0:t>
        </ns0:is>
      </ns0:c>
      <ns0:c r="C1581" t="inlineStr">
        <ns0:is>
          <ns0:t>run_013</ns0:t>
        </ns0:is>
      </ns0:c>
      <ns0:c r="D1581" t="inlineStr">
        <ns0:is>
          <ns0:t>rand</ns0:t>
        </ns0:is>
      </ns0:c>
      <ns0:c r="E1581" t="inlineStr">
        <ns0:is>
          <ns0:t>gemini-2.5-flash-nothinking</ns0:t>
        </ns0:is>
      </ns0:c>
      <ns0:c r="F1581" t="inlineStr">
        <ns0:is>
          <ns0:t>E0603</ns0:t>
        </ns0:is>
      </ns0:c>
      <ns0:c r="G1581" t="n">
        <ns0:v>0</ns0:v>
      </ns0:c>
      <ns0:c r="H1581" t="n">
        <ns0:v>3026</ns0:v>
      </ns0:c>
      <ns0:c r="I1581" t="n">
        <ns0:v>396</ns0:v>
      </ns0:c>
      <ns0:c r="J1581" t="n">
        <ns0:v>3422</ns0:v>
      </ns0:c>
      <ns0:c r="K1581" t="n">
        <ns0:v>3</ns0:v>
      </ns0:c>
      <ns0:c r="L1581" t="n">
        <ns0:v>0</ns0:v>
      </ns0:c>
      <ns0:c r="M1581" t="n">
        <ns0:v>59827</ns0:v>
      </ns0:c>
      <ns0:c r="N1581" t="n">
        <ns0:v>536</ns0:v>
      </ns0:c>
      <ns0:c r="O1581" t="n">
        <ns0:v>60363</ns0:v>
      </ns0:c>
      <ns0:c r="P1581" t="n">
        <ns0:v>5</ns0:v>
      </ns0:c>
      <ns0:c r="Q1581">
        <ns0:f>IF(AND(L1581=1,O1581*Calculations!$B$2&lt;=Calculations!$B$10*Calculations!$B$4),1,0)</ns0:f>
        <ns0:v>0</ns0:v>
      </ns0:c>
      <ns0:c r="R1581">
        <ns0:f>IF(AND(L1581=1,O1581*Calculations!$B$2&lt;=Calculations!$B$11*Calculations!$B$4),1,0)</ns0:f>
        <ns0:v>0</ns0:v>
      </ns0:c>
    </ns0:row>
    <ns0:row r="1582">
      <ns0:c r="A1582" t="inlineStr">
        <ns0:is>
          <ns0:t>case_1581</ns0:t>
        </ns0:is>
      </ns0:c>
      <ns0:c r="B1582" t="inlineStr">
        <ns0:is>
          <ns0:t>function_0462</ns0:t>
        </ns0:is>
      </ns0:c>
      <ns0:c r="C1582" t="inlineStr">
        <ns0:is>
          <ns0:t>run_013</ns0:t>
        </ns0:is>
      </ns0:c>
      <ns0:c r="D1582" t="inlineStr">
        <ns0:is>
          <ns0:t>rand</ns0:t>
        </ns0:is>
      </ns0:c>
      <ns0:c r="E1582" t="inlineStr">
        <ns0:is>
          <ns0:t>gemini-2.5-flash-nothinking</ns0:t>
        </ns0:is>
      </ns0:c>
      <ns0:c r="F1582" t="inlineStr">
        <ns0:is>
          <ns0:t>E0425,E0433</ns0:t>
        </ns0:is>
      </ns0:c>
      <ns0:c r="G1582" t="n">
        <ns0:v>0</ns0:v>
      </ns0:c>
      <ns0:c r="H1582" t="n">
        <ns0:v>6964</ns0:v>
      </ns0:c>
      <ns0:c r="I1582" t="n">
        <ns0:v>935</ns0:v>
      </ns0:c>
      <ns0:c r="J1582" t="n">
        <ns0:v>7899</ns0:v>
      </ns0:c>
      <ns0:c r="K1582" t="n">
        <ns0:v>3</ns0:v>
      </ns0:c>
      <ns0:c r="L1582" t="n">
        <ns0:v>0</ns0:v>
      </ns0:c>
      <ns0:c r="M1582" t="n">
        <ns0:v>542115</ns0:v>
      </ns0:c>
      <ns0:c r="N1582" t="n">
        <ns0:v>7009</ns0:v>
      </ns0:c>
      <ns0:c r="O1582" t="n">
        <ns0:v>549124</ns0:v>
      </ns0:c>
      <ns0:c r="P1582" t="n">
        <ns0:v>27</ns0:v>
      </ns0:c>
      <ns0:c r="Q1582">
        <ns0:f>IF(AND(L1582=1,O1582*Calculations!$B$2&lt;=Calculations!$B$10*Calculations!$B$4),1,0)</ns0:f>
        <ns0:v>0</ns0:v>
      </ns0:c>
      <ns0:c r="R1582">
        <ns0:f>IF(AND(L1582=1,O1582*Calculations!$B$2&lt;=Calculations!$B$11*Calculations!$B$4),1,0)</ns0:f>
        <ns0:v>0</ns0:v>
      </ns0:c>
    </ns0:row>
    <ns0:row r="1583">
      <ns0:c r="A1583" t="inlineStr">
        <ns0:is>
          <ns0:t>case_1582</ns0:t>
        </ns0:is>
      </ns0:c>
      <ns0:c r="B1583" t="inlineStr">
        <ns0:is>
          <ns0:t>function_0463</ns0:t>
        </ns0:is>
      </ns0:c>
      <ns0:c r="C1583" t="inlineStr">
        <ns0:is>
          <ns0:t>run_013</ns0:t>
        </ns0:is>
      </ns0:c>
      <ns0:c r="D1583" t="inlineStr">
        <ns0:is>
          <ns0:t>rand</ns0:t>
        </ns0:is>
      </ns0:c>
      <ns0:c r="E1583" t="inlineStr">
        <ns0:is>
          <ns0:t>gemini-2.5-flash-nothinking</ns0:t>
        </ns0:is>
      </ns0:c>
      <ns0:c r="F1583" t="inlineStr">
        <ns0:is>
          <ns0:t>E0599</ns0:t>
        </ns0:is>
      </ns0:c>
      <ns0:c r="G1583" t="n">
        <ns0:v>0</ns0:v>
      </ns0:c>
      <ns0:c r="H1583" t="n">
        <ns0:v>4605</ns0:v>
      </ns0:c>
      <ns0:c r="I1583" t="n">
        <ns0:v>1555</ns0:v>
      </ns0:c>
      <ns0:c r="J1583" t="n">
        <ns0:v>6160</ns0:v>
      </ns0:c>
      <ns0:c r="K1583" t="n">
        <ns0:v>3</ns0:v>
      </ns0:c>
      <ns0:c r="L1583" t="n">
        <ns0:v>0</ns0:v>
      </ns0:c>
      <ns0:c r="M1583" t="n">
        <ns0:v>274180</ns0:v>
      </ns0:c>
      <ns0:c r="N1583" t="n">
        <ns0:v>7274</ns0:v>
      </ns0:c>
      <ns0:c r="O1583" t="n">
        <ns0:v>281454</ns0:v>
      </ns0:c>
      <ns0:c r="P1583" t="n">
        <ns0:v>20</ns0:v>
      </ns0:c>
      <ns0:c r="Q1583">
        <ns0:f>IF(AND(L1583=1,O1583*Calculations!$B$2&lt;=Calculations!$B$10*Calculations!$B$4),1,0)</ns0:f>
        <ns0:v>0</ns0:v>
      </ns0:c>
      <ns0:c r="R1583">
        <ns0:f>IF(AND(L1583=1,O1583*Calculations!$B$2&lt;=Calculations!$B$11*Calculations!$B$4),1,0)</ns0:f>
        <ns0:v>0</ns0:v>
      </ns0:c>
    </ns0:row>
    <ns0:row r="1584">
      <ns0:c r="A1584" t="inlineStr">
        <ns0:is>
          <ns0:t>case_1583</ns0:t>
        </ns0:is>
      </ns0:c>
      <ns0:c r="B1584" t="inlineStr">
        <ns0:is>
          <ns0:t>function_0463</ns0:t>
        </ns0:is>
      </ns0:c>
      <ns0:c r="C1584" t="inlineStr">
        <ns0:is>
          <ns0:t>run_013</ns0:t>
        </ns0:is>
      </ns0:c>
      <ns0:c r="D1584" t="inlineStr">
        <ns0:is>
          <ns0:t>rand</ns0:t>
        </ns0:is>
      </ns0:c>
      <ns0:c r="E1584" t="inlineStr">
        <ns0:is>
          <ns0:t>gemini-2.5-flash-nothinking</ns0:t>
        </ns0:is>
      </ns0:c>
      <ns0:c r="F1584" t="inlineStr">
        <ns0:is>
          <ns0:t>E0433,E0603</ns0:t>
        </ns0:is>
      </ns0:c>
      <ns0:c r="G1584" t="n">
        <ns0:v>0</ns0:v>
      </ns0:c>
      <ns0:c r="H1584" t="n">
        <ns0:v>3561</ns0:v>
      </ns0:c>
      <ns0:c r="I1584" t="n">
        <ns0:v>1113</ns0:v>
      </ns0:c>
      <ns0:c r="J1584" t="n">
        <ns0:v>4674</ns0:v>
      </ns0:c>
      <ns0:c r="K1584" t="n">
        <ns0:v>3</ns0:v>
      </ns0:c>
      <ns0:c r="L1584" t="n">
        <ns0:v>0</ns0:v>
      </ns0:c>
      <ns0:c r="M1584" t="n">
        <ns0:v>59372</ns0:v>
      </ns0:c>
      <ns0:c r="N1584" t="n">
        <ns0:v>770</ns0:v>
      </ns0:c>
      <ns0:c r="O1584" t="n">
        <ns0:v>60142</ns0:v>
      </ns0:c>
      <ns0:c r="P1584" t="n">
        <ns0:v>7</ns0:v>
      </ns0:c>
      <ns0:c r="Q1584">
        <ns0:f>IF(AND(L1584=1,O1584*Calculations!$B$2&lt;=Calculations!$B$10*Calculations!$B$4),1,0)</ns0:f>
        <ns0:v>0</ns0:v>
      </ns0:c>
      <ns0:c r="R1584">
        <ns0:f>IF(AND(L1584=1,O1584*Calculations!$B$2&lt;=Calculations!$B$11*Calculations!$B$4),1,0)</ns0:f>
        <ns0:v>0</ns0:v>
      </ns0:c>
    </ns0:row>
    <ns0:row r="1585">
      <ns0:c r="A1585" t="inlineStr">
        <ns0:is>
          <ns0:t>case_1584</ns0:t>
        </ns0:is>
      </ns0:c>
      <ns0:c r="B1585" t="inlineStr">
        <ns0:is>
          <ns0:t>function_0464</ns0:t>
        </ns0:is>
      </ns0:c>
      <ns0:c r="C1585" t="inlineStr">
        <ns0:is>
          <ns0:t>run_013</ns0:t>
        </ns0:is>
      </ns0:c>
      <ns0:c r="D1585" t="inlineStr">
        <ns0:is>
          <ns0:t>rand</ns0:t>
        </ns0:is>
      </ns0:c>
      <ns0:c r="E1585" t="inlineStr">
        <ns0:is>
          <ns0:t>gemini-2.5-flash-nothinking</ns0:t>
        </ns0:is>
      </ns0:c>
      <ns0:c r="F1585" t="inlineStr">
        <ns0:is>
          <ns0:t>E0433</ns0:t>
        </ns0:is>
      </ns0:c>
      <ns0:c r="G1585" t="n">
        <ns0:v>1</ns0:v>
      </ns0:c>
      <ns0:c r="H1585" t="n">
        <ns0:v>0</ns0:v>
      </ns0:c>
      <ns0:c r="I1585" t="n">
        <ns0:v>0</ns0:v>
      </ns0:c>
      <ns0:c r="J1585" t="n">
        <ns0:v>0</ns0:v>
      </ns0:c>
      <ns0:c r="K1585" t="n">
        <ns0:v>0</ns0:v>
      </ns0:c>
      <ns0:c r="L1585" t="n">
        <ns0:v>1</ns0:v>
      </ns0:c>
      <ns0:c r="M1585" t="n">
        <ns0:v>35476</ns0:v>
      </ns0:c>
      <ns0:c r="N1585" t="n">
        <ns0:v>376</ns0:v>
      </ns0:c>
      <ns0:c r="O1585" t="n">
        <ns0:v>35852</ns0:v>
      </ns0:c>
      <ns0:c r="P1585" t="n">
        <ns0:v>5</ns0:v>
      </ns0:c>
      <ns0:c r="Q1585">
        <ns0:f>IF(AND(L1585=1,O1585*Calculations!$B$2&lt;=Calculations!$B$10*Calculations!$B$4),1,0)</ns0:f>
        <ns0:v>0</ns0:v>
      </ns0:c>
      <ns0:c r="R1585">
        <ns0:f>IF(AND(L1585=1,O1585*Calculations!$B$2&lt;=Calculations!$B$11*Calculations!$B$4),1,0)</ns0:f>
        <ns0:v>1</ns0:v>
      </ns0:c>
    </ns0:row>
    <ns0:row r="1586">
      <ns0:c r="A1586" t="inlineStr">
        <ns0:is>
          <ns0:t>case_1585</ns0:t>
        </ns0:is>
      </ns0:c>
      <ns0:c r="B1586" t="inlineStr">
        <ns0:is>
          <ns0:t>function_0465</ns0:t>
        </ns0:is>
      </ns0:c>
      <ns0:c r="C1586" t="inlineStr">
        <ns0:is>
          <ns0:t>run_013</ns0:t>
        </ns0:is>
      </ns0:c>
      <ns0:c r="D1586" t="inlineStr">
        <ns0:is>
          <ns0:t>rand</ns0:t>
        </ns0:is>
      </ns0:c>
      <ns0:c r="E1586" t="inlineStr">
        <ns0:is>
          <ns0:t>gemini-2.5-flash-nothinking</ns0:t>
        </ns0:is>
      </ns0:c>
      <ns0:c r="F1586" t="inlineStr">
        <ns0:is>
          <ns0:t>E0432</ns0:t>
        </ns0:is>
      </ns0:c>
      <ns0:c r="G1586" t="n">
        <ns0:v>0</ns0:v>
      </ns0:c>
      <ns0:c r="H1586" t="n">
        <ns0:v>2517</ns0:v>
      </ns0:c>
      <ns0:c r="I1586" t="n">
        <ns0:v>273</ns0:v>
      </ns0:c>
      <ns0:c r="J1586" t="n">
        <ns0:v>2790</ns0:v>
      </ns0:c>
      <ns0:c r="K1586" t="n">
        <ns0:v>3</ns0:v>
      </ns0:c>
      <ns0:c r="L1586" t="n">
        <ns0:v>1</ns0:v>
      </ns0:c>
      <ns0:c r="M1586" t="n">
        <ns0:v>27666</ns0:v>
      </ns0:c>
      <ns0:c r="N1586" t="n">
        <ns0:v>616</ns0:v>
      </ns0:c>
      <ns0:c r="O1586" t="n">
        <ns0:v>28282</ns0:v>
      </ns0:c>
      <ns0:c r="P1586" t="n">
        <ns0:v>4</ns0:v>
      </ns0:c>
      <ns0:c r="Q1586">
        <ns0:f>IF(AND(L1586=1,O1586*Calculations!$B$2&lt;=Calculations!$B$10*Calculations!$B$4),1,0)</ns0:f>
        <ns0:v>0</ns0:v>
      </ns0:c>
      <ns0:c r="R1586">
        <ns0:f>IF(AND(L1586=1,O1586*Calculations!$B$2&lt;=Calculations!$B$11*Calculations!$B$4),1,0)</ns0:f>
        <ns0:v>1</ns0:v>
      </ns0:c>
    </ns0:row>
    <ns0:row r="1587">
      <ns0:c r="A1587" t="inlineStr">
        <ns0:is>
          <ns0:t>case_1586</ns0:t>
        </ns0:is>
      </ns0:c>
      <ns0:c r="B1587" t="inlineStr">
        <ns0:is>
          <ns0:t>function_0465</ns0:t>
        </ns0:is>
      </ns0:c>
      <ns0:c r="C1587" t="inlineStr">
        <ns0:is>
          <ns0:t>run_013</ns0:t>
        </ns0:is>
      </ns0:c>
      <ns0:c r="D1587" t="inlineStr">
        <ns0:is>
          <ns0:t>rand</ns0:t>
        </ns0:is>
      </ns0:c>
      <ns0:c r="E1587" t="inlineStr">
        <ns0:is>
          <ns0:t>gemini-2.5-flash-nothinking</ns0:t>
        </ns0:is>
      </ns0:c>
      <ns0:c r="F1587" t="inlineStr">
        <ns0:is>
          <ns0:t>E0432</ns0:t>
        </ns0:is>
      </ns0:c>
      <ns0:c r="G1587" t="n">
        <ns0:v>0</ns0:v>
      </ns0:c>
      <ns0:c r="H1587" t="n">
        <ns0:v>2403</ns0:v>
      </ns0:c>
      <ns0:c r="I1587" t="n">
        <ns0:v>384</ns0:v>
      </ns0:c>
      <ns0:c r="J1587" t="n">
        <ns0:v>2787</ns0:v>
      </ns0:c>
      <ns0:c r="K1587" t="n">
        <ns0:v>3</ns0:v>
      </ns0:c>
      <ns0:c r="L1587" t="n">
        <ns0:v>1</ns0:v>
      </ns0:c>
      <ns0:c r="M1587" t="n">
        <ns0:v>27937</ns0:v>
      </ns0:c>
      <ns0:c r="N1587" t="n">
        <ns0:v>477</ns0:v>
      </ns0:c>
      <ns0:c r="O1587" t="n">
        <ns0:v>28414</ns0:v>
      </ns0:c>
      <ns0:c r="P1587" t="n">
        <ns0:v>4</ns0:v>
      </ns0:c>
      <ns0:c r="Q1587">
        <ns0:f>IF(AND(L1587=1,O1587*Calculations!$B$2&lt;=Calculations!$B$10*Calculations!$B$4),1,0)</ns0:f>
        <ns0:v>0</ns0:v>
      </ns0:c>
      <ns0:c r="R1587">
        <ns0:f>IF(AND(L1587=1,O1587*Calculations!$B$2&lt;=Calculations!$B$11*Calculations!$B$4),1,0)</ns0:f>
        <ns0:v>1</ns0:v>
      </ns0:c>
    </ns0:row>
    <ns0:row r="1588">
      <ns0:c r="A1588" t="inlineStr">
        <ns0:is>
          <ns0:t>case_1587</ns0:t>
        </ns0:is>
      </ns0:c>
      <ns0:c r="B1588" t="inlineStr">
        <ns0:is>
          <ns0:t>function_0465</ns0:t>
        </ns0:is>
      </ns0:c>
      <ns0:c r="C1588" t="inlineStr">
        <ns0:is>
          <ns0:t>run_013</ns0:t>
        </ns0:is>
      </ns0:c>
      <ns0:c r="D1588" t="inlineStr">
        <ns0:is>
          <ns0:t>rand</ns0:t>
        </ns0:is>
      </ns0:c>
      <ns0:c r="E1588" t="inlineStr">
        <ns0:is>
          <ns0:t>gemini-2.5-flash-nothinking</ns0:t>
        </ns0:is>
      </ns0:c>
      <ns0:c r="F1588" t="inlineStr">
        <ns0:is>
          <ns0:t>E0432</ns0:t>
        </ns0:is>
      </ns0:c>
      <ns0:c r="G1588" t="n">
        <ns0:v>1</ns0:v>
      </ns0:c>
      <ns0:c r="H1588" t="n">
        <ns0:v>0</ns0:v>
      </ns0:c>
      <ns0:c r="I1588" t="n">
        <ns0:v>0</ns0:v>
      </ns0:c>
      <ns0:c r="J1588" t="n">
        <ns0:v>0</ns0:v>
      </ns0:c>
      <ns0:c r="K1588" t="n">
        <ns0:v>0</ns0:v>
      </ns0:c>
      <ns0:c r="L1588" t="n">
        <ns0:v>1</ns0:v>
      </ns0:c>
      <ns0:c r="M1588" t="n">
        <ns0:v>20226</ns0:v>
      </ns0:c>
      <ns0:c r="N1588" t="n">
        <ns0:v>554</ns0:v>
      </ns0:c>
      <ns0:c r="O1588" t="n">
        <ns0:v>20780</ns0:v>
      </ns0:c>
      <ns0:c r="P1588" t="n">
        <ns0:v>3</ns0:v>
      </ns0:c>
      <ns0:c r="Q1588">
        <ns0:f>IF(AND(L1588=1,O1588*Calculations!$B$2&lt;=Calculations!$B$10*Calculations!$B$4),1,0)</ns0:f>
        <ns0:v>1</ns0:v>
      </ns0:c>
      <ns0:c r="R1588">
        <ns0:f>IF(AND(L1588=1,O1588*Calculations!$B$2&lt;=Calculations!$B$11*Calculations!$B$4),1,0)</ns0:f>
        <ns0:v>1</ns0:v>
      </ns0:c>
    </ns0:row>
    <ns0:row r="1589">
      <ns0:c r="A1589" t="inlineStr">
        <ns0:is>
          <ns0:t>case_1588</ns0:t>
        </ns0:is>
      </ns0:c>
      <ns0:c r="B1589" t="inlineStr">
        <ns0:is>
          <ns0:t>function_0466</ns0:t>
        </ns0:is>
      </ns0:c>
      <ns0:c r="C1589" t="inlineStr">
        <ns0:is>
          <ns0:t>run_013</ns0:t>
        </ns0:is>
      </ns0:c>
      <ns0:c r="D1589" t="inlineStr">
        <ns0:is>
          <ns0:t>rand</ns0:t>
        </ns0:is>
      </ns0:c>
      <ns0:c r="E1589" t="inlineStr">
        <ns0:is>
          <ns0:t>gemini-2.5-flash-nothinking</ns0:t>
        </ns0:is>
      </ns0:c>
      <ns0:c r="F1589" t="inlineStr">
        <ns0:is>
          <ns0:t>E0277,E0308</ns0:t>
        </ns0:is>
      </ns0:c>
      <ns0:c r="G1589" t="n">
        <ns0:v>0</ns0:v>
      </ns0:c>
      <ns0:c r="H1589" t="n">
        <ns0:v>17206</ns0:v>
      </ns0:c>
      <ns0:c r="I1589" t="n">
        <ns0:v>888</ns0:v>
      </ns0:c>
      <ns0:c r="J1589" t="n">
        <ns0:v>18094</ns0:v>
      </ns0:c>
      <ns0:c r="K1589" t="n">
        <ns0:v>7</ns0:v>
      </ns0:c>
      <ns0:c r="L1589" t="n">
        <ns0:v>1</ns0:v>
      </ns0:c>
      <ns0:c r="M1589" t="n">
        <ns0:v>96868</ns0:v>
      </ns0:c>
      <ns0:c r="N1589" t="n">
        <ns0:v>701</ns0:v>
      </ns0:c>
      <ns0:c r="O1589" t="n">
        <ns0:v>97569</ns0:v>
      </ns0:c>
      <ns0:c r="P1589" t="n">
        <ns0:v>4</ns0:v>
      </ns0:c>
      <ns0:c r="Q1589">
        <ns0:f>IF(AND(L1589=1,O1589*Calculations!$B$2&lt;=Calculations!$B$10*Calculations!$B$4),1,0)</ns0:f>
        <ns0:v>0</ns0:v>
      </ns0:c>
      <ns0:c r="R1589">
        <ns0:f>IF(AND(L1589=1,O1589*Calculations!$B$2&lt;=Calculations!$B$11*Calculations!$B$4),1,0)</ns0:f>
        <ns0:v>0</ns0:v>
      </ns0:c>
    </ns0:row>
    <ns0:row r="1590">
      <ns0:c r="A1590" t="inlineStr">
        <ns0:is>
          <ns0:t>case_1589</ns0:t>
        </ns0:is>
      </ns0:c>
      <ns0:c r="B1590" t="inlineStr">
        <ns0:is>
          <ns0:t>function_0466</ns0:t>
        </ns0:is>
      </ns0:c>
      <ns0:c r="C1590" t="inlineStr">
        <ns0:is>
          <ns0:t>run_013</ns0:t>
        </ns0:is>
      </ns0:c>
      <ns0:c r="D1590" t="inlineStr">
        <ns0:is>
          <ns0:t>rand</ns0:t>
        </ns0:is>
      </ns0:c>
      <ns0:c r="E1590" t="inlineStr">
        <ns0:is>
          <ns0:t>gemini-2.5-flash-nothinking</ns0:t>
        </ns0:is>
      </ns0:c>
      <ns0:c r="F1590" t="inlineStr">
        <ns0:is>
          <ns0:t>E0308</ns0:t>
        </ns0:is>
      </ns0:c>
      <ns0:c r="G1590" t="n">
        <ns0:v>0</ns0:v>
      </ns0:c>
      <ns0:c r="H1590" t="n">
        <ns0:v>9969</ns0:v>
      </ns0:c>
      <ns0:c r="I1590" t="n">
        <ns0:v>1588</ns0:v>
      </ns0:c>
      <ns0:c r="J1590" t="n">
        <ns0:v>11557</ns0:v>
      </ns0:c>
      <ns0:c r="K1590" t="n">
        <ns0:v>12</ns0:v>
      </ns0:c>
      <ns0:c r="L1590" t="n">
        <ns0:v>1</ns0:v>
      </ns0:c>
      <ns0:c r="M1590" t="n">
        <ns0:v>31520</ns0:v>
      </ns0:c>
      <ns0:c r="N1590" t="n">
        <ns0:v>530</ns0:v>
      </ns0:c>
      <ns0:c r="O1590" t="n">
        <ns0:v>32050</ns0:v>
      </ns0:c>
      <ns0:c r="P1590" t="n">
        <ns0:v>4</ns0:v>
      </ns0:c>
      <ns0:c r="Q1590">
        <ns0:f>IF(AND(L1590=1,O1590*Calculations!$B$2&lt;=Calculations!$B$10*Calculations!$B$4),1,0)</ns0:f>
        <ns0:v>0</ns0:v>
      </ns0:c>
      <ns0:c r="R1590">
        <ns0:f>IF(AND(L1590=1,O1590*Calculations!$B$2&lt;=Calculations!$B$11*Calculations!$B$4),1,0)</ns0:f>
        <ns0:v>1</ns0:v>
      </ns0:c>
    </ns0:row>
    <ns0:row r="1591">
      <ns0:c r="A1591" t="inlineStr">
        <ns0:is>
          <ns0:t>case_1590</ns0:t>
        </ns0:is>
      </ns0:c>
      <ns0:c r="B1591" t="inlineStr">
        <ns0:is>
          <ns0:t>function_0466</ns0:t>
        </ns0:is>
      </ns0:c>
      <ns0:c r="C1591" t="inlineStr">
        <ns0:is>
          <ns0:t>run_013</ns0:t>
        </ns0:is>
      </ns0:c>
      <ns0:c r="D1591" t="inlineStr">
        <ns0:is>
          <ns0:t>rand</ns0:t>
        </ns0:is>
      </ns0:c>
      <ns0:c r="E1591" t="inlineStr">
        <ns0:is>
          <ns0:t>gemini-2.5-flash-nothinking</ns0:t>
        </ns0:is>
      </ns0:c>
      <ns0:c r="F1591" t="inlineStr"/>
      <ns0:c r="G1591" t="n">
        <ns0:v>1</ns0:v>
      </ns0:c>
      <ns0:c r="H1591" t="n">
        <ns0:v>603</ns0:v>
      </ns0:c>
      <ns0:c r="I1591" t="n">
        <ns0:v>107</ns0:v>
      </ns0:c>
      <ns0:c r="J1591" t="n">
        <ns0:v>710</ns0:v>
      </ns0:c>
      <ns0:c r="K1591" t="n">
        <ns0:v>1</ns0:v>
      </ns0:c>
      <ns0:c r="L1591" t="n">
        <ns0:v>1</ns0:v>
      </ns0:c>
      <ns0:c r="M1591" t="n">
        <ns0:v>322833</ns0:v>
      </ns0:c>
      <ns0:c r="N1591" t="n">
        <ns0:v>1396</ns0:v>
      </ns0:c>
      <ns0:c r="O1591" t="n">
        <ns0:v>324229</ns0:v>
      </ns0:c>
      <ns0:c r="P1591" t="n">
        <ns0:v>13</ns0:v>
      </ns0:c>
      <ns0:c r="Q1591">
        <ns0:f>IF(AND(L1591=1,O1591*Calculations!$B$2&lt;=Calculations!$B$10*Calculations!$B$4),1,0)</ns0:f>
        <ns0:v>0</ns0:v>
      </ns0:c>
      <ns0:c r="R1591">
        <ns0:f>IF(AND(L1591=1,O1591*Calculations!$B$2&lt;=Calculations!$B$11*Calculations!$B$4),1,0)</ns0:f>
        <ns0:v>0</ns0:v>
      </ns0:c>
    </ns0:row>
    <ns0:row r="1592">
      <ns0:c r="A1592" t="inlineStr">
        <ns0:is>
          <ns0:t>case_1591</ns0:t>
        </ns0:is>
      </ns0:c>
      <ns0:c r="B1592" t="inlineStr">
        <ns0:is>
          <ns0:t>function_0467</ns0:t>
        </ns0:is>
      </ns0:c>
      <ns0:c r="C1592" t="inlineStr">
        <ns0:is>
          <ns0:t>run_013</ns0:t>
        </ns0:is>
      </ns0:c>
      <ns0:c r="D1592" t="inlineStr">
        <ns0:is>
          <ns0:t>rand</ns0:t>
        </ns0:is>
      </ns0:c>
      <ns0:c r="E1592" t="inlineStr">
        <ns0:is>
          <ns0:t>gemini-2.5-flash-nothinking</ns0:t>
        </ns0:is>
      </ns0:c>
      <ns0:c r="F1592" t="inlineStr">
        <ns0:is>
          <ns0:t>E0432</ns0:t>
        </ns0:is>
      </ns0:c>
      <ns0:c r="G1592" t="n">
        <ns0:v>1</ns0:v>
      </ns0:c>
      <ns0:c r="H1592" t="n">
        <ns0:v>0</ns0:v>
      </ns0:c>
      <ns0:c r="I1592" t="n">
        <ns0:v>0</ns0:v>
      </ns0:c>
      <ns0:c r="J1592" t="n">
        <ns0:v>0</ns0:v>
      </ns0:c>
      <ns0:c r="K1592" t="n">
        <ns0:v>0</ns0:v>
      </ns0:c>
      <ns0:c r="L1592" t="n">
        <ns0:v>1</ns0:v>
      </ns0:c>
      <ns0:c r="M1592" t="n">
        <ns0:v>95670</ns0:v>
      </ns0:c>
      <ns0:c r="N1592" t="n">
        <ns0:v>2860</ns0:v>
      </ns0:c>
      <ns0:c r="O1592" t="n">
        <ns0:v>98530</ns0:v>
      </ns0:c>
      <ns0:c r="P1592" t="n">
        <ns0:v>6</ns0:v>
      </ns0:c>
      <ns0:c r="Q1592">
        <ns0:f>IF(AND(L1592=1,O1592*Calculations!$B$2&lt;=Calculations!$B$10*Calculations!$B$4),1,0)</ns0:f>
        <ns0:v>0</ns0:v>
      </ns0:c>
      <ns0:c r="R1592">
        <ns0:f>IF(AND(L1592=1,O1592*Calculations!$B$2&lt;=Calculations!$B$11*Calculations!$B$4),1,0)</ns0:f>
        <ns0:v>0</ns0:v>
      </ns0:c>
    </ns0:row>
    <ns0:row r="1593">
      <ns0:c r="A1593" t="inlineStr">
        <ns0:is>
          <ns0:t>case_1592</ns0:t>
        </ns0:is>
      </ns0:c>
      <ns0:c r="B1593" t="inlineStr">
        <ns0:is>
          <ns0:t>function_0467</ns0:t>
        </ns0:is>
      </ns0:c>
      <ns0:c r="C1593" t="inlineStr">
        <ns0:is>
          <ns0:t>run_013</ns0:t>
        </ns0:is>
      </ns0:c>
      <ns0:c r="D1593" t="inlineStr">
        <ns0:is>
          <ns0:t>rand</ns0:t>
        </ns0:is>
      </ns0:c>
      <ns0:c r="E1593" t="inlineStr">
        <ns0:is>
          <ns0:t>gemini-2.5-flash-nothinking</ns0:t>
        </ns0:is>
      </ns0:c>
      <ns0:c r="F1593" t="inlineStr"/>
      <ns0:c r="G1593" t="n">
        <ns0:v>1</ns0:v>
      </ns0:c>
      <ns0:c r="H1593" t="n">
        <ns0:v>3505</ns0:v>
      </ns0:c>
      <ns0:c r="I1593" t="n">
        <ns0:v>853</ns0:v>
      </ns0:c>
      <ns0:c r="J1593" t="n">
        <ns0:v>4358</ns0:v>
      </ns0:c>
      <ns0:c r="K1593" t="n">
        <ns0:v>5</ns0:v>
      </ns0:c>
      <ns0:c r="L1593" t="n">
        <ns0:v>1</ns0:v>
      </ns0:c>
      <ns0:c r="M1593" t="n">
        <ns0:v>96739</ns0:v>
      </ns0:c>
      <ns0:c r="N1593" t="n">
        <ns0:v>318</ns0:v>
      </ns0:c>
      <ns0:c r="O1593" t="n">
        <ns0:v>97057</ns0:v>
      </ns0:c>
      <ns0:c r="P1593" t="n">
        <ns0:v>4</ns0:v>
      </ns0:c>
      <ns0:c r="Q1593">
        <ns0:f>IF(AND(L1593=1,O1593*Calculations!$B$2&lt;=Calculations!$B$10*Calculations!$B$4),1,0)</ns0:f>
        <ns0:v>0</ns0:v>
      </ns0:c>
      <ns0:c r="R1593">
        <ns0:f>IF(AND(L1593=1,O1593*Calculations!$B$2&lt;=Calculations!$B$11*Calculations!$B$4),1,0)</ns0:f>
        <ns0:v>0</ns0:v>
      </ns0:c>
    </ns0:row>
    <ns0:row r="1594">
      <ns0:c r="A1594" t="inlineStr">
        <ns0:is>
          <ns0:t>case_1593</ns0:t>
        </ns0:is>
      </ns0:c>
      <ns0:c r="B1594" t="inlineStr">
        <ns0:is>
          <ns0:t>function_0467</ns0:t>
        </ns0:is>
      </ns0:c>
      <ns0:c r="C1594" t="inlineStr">
        <ns0:is>
          <ns0:t>run_013</ns0:t>
        </ns0:is>
      </ns0:c>
      <ns0:c r="D1594" t="inlineStr">
        <ns0:is>
          <ns0:t>rand</ns0:t>
        </ns0:is>
      </ns0:c>
      <ns0:c r="E1594" t="inlineStr">
        <ns0:is>
          <ns0:t>gemini-2.5-flash-nothinking</ns0:t>
        </ns0:is>
      </ns0:c>
      <ns0:c r="F1594" t="inlineStr">
        <ns0:is>
          <ns0:t>E0432</ns0:t>
        </ns0:is>
      </ns0:c>
      <ns0:c r="G1594" t="n">
        <ns0:v>0</ns0:v>
      </ns0:c>
      <ns0:c r="H1594" t="n">
        <ns0:v>5364</ns0:v>
      </ns0:c>
      <ns0:c r="I1594" t="n">
        <ns0:v>1138</ns0:v>
      </ns0:c>
      <ns0:c r="J1594" t="n">
        <ns0:v>6502</ns0:v>
      </ns0:c>
      <ns0:c r="K1594" t="n">
        <ns0:v>7</ns0:v>
      </ns0:c>
      <ns0:c r="L1594" t="n">
        <ns0:v>1</ns0:v>
      </ns0:c>
      <ns0:c r="M1594" t="n">
        <ns0:v>25132</ns0:v>
      </ns0:c>
      <ns0:c r="N1594" t="n">
        <ns0:v>727</ns0:v>
      </ns0:c>
      <ns0:c r="O1594" t="n">
        <ns0:v>25859</ns0:v>
      </ns0:c>
      <ns0:c r="P1594" t="n">
        <ns0:v>3</ns0:v>
      </ns0:c>
      <ns0:c r="Q1594">
        <ns0:f>IF(AND(L1594=1,O1594*Calculations!$B$2&lt;=Calculations!$B$10*Calculations!$B$4),1,0)</ns0:f>
        <ns0:v>0</ns0:v>
      </ns0:c>
      <ns0:c r="R1594">
        <ns0:f>IF(AND(L1594=1,O1594*Calculations!$B$2&lt;=Calculations!$B$11*Calculations!$B$4),1,0)</ns0:f>
        <ns0:v>1</ns0:v>
      </ns0:c>
    </ns0:row>
    <ns0:row r="1595">
      <ns0:c r="A1595" t="inlineStr">
        <ns0:is>
          <ns0:t>case_1594</ns0:t>
        </ns0:is>
      </ns0:c>
      <ns0:c r="B1595" t="inlineStr">
        <ns0:is>
          <ns0:t>function_0468</ns0:t>
        </ns0:is>
      </ns0:c>
      <ns0:c r="C1595" t="inlineStr">
        <ns0:is>
          <ns0:t>run_013</ns0:t>
        </ns0:is>
      </ns0:c>
      <ns0:c r="D1595" t="inlineStr">
        <ns0:is>
          <ns0:t>rand</ns0:t>
        </ns0:is>
      </ns0:c>
      <ns0:c r="E1595" t="inlineStr">
        <ns0:is>
          <ns0:t>gemini-2.5-flash-nothinking</ns0:t>
        </ns0:is>
      </ns0:c>
      <ns0:c r="F1595" t="inlineStr">
        <ns0:is>
          <ns0:t>E0432,E0599</ns0:t>
        </ns0:is>
      </ns0:c>
      <ns0:c r="G1595" t="n">
        <ns0:v>0</ns0:v>
      </ns0:c>
      <ns0:c r="H1595" t="n">
        <ns0:v>9819</ns0:v>
      </ns0:c>
      <ns0:c r="I1595" t="n">
        <ns0:v>1856</ns0:v>
      </ns0:c>
      <ns0:c r="J1595" t="n">
        <ns0:v>11675</ns0:v>
      </ns0:c>
      <ns0:c r="K1595" t="n">
        <ns0:v>9</ns0:v>
      </ns0:c>
      <ns0:c r="L1595" t="n">
        <ns0:v>1</ns0:v>
      </ns0:c>
      <ns0:c r="M1595" t="n">
        <ns0:v>88706</ns0:v>
      </ns0:c>
      <ns0:c r="N1595" t="n">
        <ns0:v>493</ns0:v>
      </ns0:c>
      <ns0:c r="O1595" t="n">
        <ns0:v>89199</ns0:v>
      </ns0:c>
      <ns0:c r="P1595" t="n">
        <ns0:v>9</ns0:v>
      </ns0:c>
      <ns0:c r="Q1595">
        <ns0:f>IF(AND(L1595=1,O1595*Calculations!$B$2&lt;=Calculations!$B$10*Calculations!$B$4),1,0)</ns0:f>
        <ns0:v>0</ns0:v>
      </ns0:c>
      <ns0:c r="R1595">
        <ns0:f>IF(AND(L1595=1,O1595*Calculations!$B$2&lt;=Calculations!$B$11*Calculations!$B$4),1,0)</ns0:f>
        <ns0:v>0</ns0:v>
      </ns0:c>
    </ns0:row>
    <ns0:row r="1596">
      <ns0:c r="A1596" t="inlineStr">
        <ns0:is>
          <ns0:t>case_1595</ns0:t>
        </ns0:is>
      </ns0:c>
      <ns0:c r="B1596" t="inlineStr">
        <ns0:is>
          <ns0:t>function_0468</ns0:t>
        </ns0:is>
      </ns0:c>
      <ns0:c r="C1596" t="inlineStr">
        <ns0:is>
          <ns0:t>run_013</ns0:t>
        </ns0:is>
      </ns0:c>
      <ns0:c r="D1596" t="inlineStr">
        <ns0:is>
          <ns0:t>rand</ns0:t>
        </ns0:is>
      </ns0:c>
      <ns0:c r="E1596" t="inlineStr">
        <ns0:is>
          <ns0:t>gemini-2.5-flash-nothinking</ns0:t>
        </ns0:is>
      </ns0:c>
      <ns0:c r="F1596" t="inlineStr">
        <ns0:is>
          <ns0:t>E0432,E0433</ns0:t>
        </ns0:is>
      </ns0:c>
      <ns0:c r="G1596" t="n">
        <ns0:v>0</ns0:v>
      </ns0:c>
      <ns0:c r="H1596" t="n">
        <ns0:v>2499</ns0:v>
      </ns0:c>
      <ns0:c r="I1596" t="n">
        <ns0:v>246</ns0:v>
      </ns0:c>
      <ns0:c r="J1596" t="n">
        <ns0:v>2745</ns0:v>
      </ns0:c>
      <ns0:c r="K1596" t="n">
        <ns0:v>3</ns0:v>
      </ns0:c>
      <ns0:c r="L1596" t="n">
        <ns0:v>0</ns0:v>
      </ns0:c>
      <ns0:c r="M1596" t="n">
        <ns0:v>183303</ns0:v>
      </ns0:c>
      <ns0:c r="N1596" t="n">
        <ns0:v>7323</ns0:v>
      </ns0:c>
      <ns0:c r="O1596" t="n">
        <ns0:v>190626</ns0:v>
      </ns0:c>
      <ns0:c r="P1596" t="n">
        <ns0:v>20</ns0:v>
      </ns0:c>
      <ns0:c r="Q1596">
        <ns0:f>IF(AND(L1596=1,O1596*Calculations!$B$2&lt;=Calculations!$B$10*Calculations!$B$4),1,0)</ns0:f>
        <ns0:v>0</ns0:v>
      </ns0:c>
      <ns0:c r="R1596">
        <ns0:f>IF(AND(L1596=1,O1596*Calculations!$B$2&lt;=Calculations!$B$11*Calculations!$B$4),1,0)</ns0:f>
        <ns0:v>0</ns0:v>
      </ns0:c>
    </ns0:row>
    <ns0:row r="1597">
      <ns0:c r="A1597" t="inlineStr">
        <ns0:is>
          <ns0:t>case_1596</ns0:t>
        </ns0:is>
      </ns0:c>
      <ns0:c r="B1597" t="inlineStr">
        <ns0:is>
          <ns0:t>function_0468</ns0:t>
        </ns0:is>
      </ns0:c>
      <ns0:c r="C1597" t="inlineStr">
        <ns0:is>
          <ns0:t>run_013</ns0:t>
        </ns0:is>
      </ns0:c>
      <ns0:c r="D1597" t="inlineStr">
        <ns0:is>
          <ns0:t>rand</ns0:t>
        </ns0:is>
      </ns0:c>
      <ns0:c r="E1597" t="inlineStr">
        <ns0:is>
          <ns0:t>gemini-2.5-flash-nothinking</ns0:t>
        </ns0:is>
      </ns0:c>
      <ns0:c r="F1597" t="inlineStr">
        <ns0:is>
          <ns0:t>E0432,E0433</ns0:t>
        </ns0:is>
      </ns0:c>
      <ns0:c r="G1597" t="n">
        <ns0:v>0</ns0:v>
      </ns0:c>
      <ns0:c r="H1597" t="n">
        <ns0:v>2346</ns0:v>
      </ns0:c>
      <ns0:c r="I1597" t="n">
        <ns0:v>222</ns0:v>
      </ns0:c>
      <ns0:c r="J1597" t="n">
        <ns0:v>2568</ns0:v>
      </ns0:c>
      <ns0:c r="K1597" t="n">
        <ns0:v>3</ns0:v>
      </ns0:c>
      <ns0:c r="L1597" t="n">
        <ns0:v>1</ns0:v>
      </ns0:c>
      <ns0:c r="M1597" t="n">
        <ns0:v>147091</ns0:v>
      </ns0:c>
      <ns0:c r="N1597" t="n">
        <ns0:v>849</ns0:v>
      </ns0:c>
      <ns0:c r="O1597" t="n">
        <ns0:v>147940</ns0:v>
      </ns0:c>
      <ns0:c r="P1597" t="n">
        <ns0:v>7</ns0:v>
      </ns0:c>
      <ns0:c r="Q1597">
        <ns0:f>IF(AND(L1597=1,O1597*Calculations!$B$2&lt;=Calculations!$B$10*Calculations!$B$4),1,0)</ns0:f>
        <ns0:v>0</ns0:v>
      </ns0:c>
      <ns0:c r="R1597">
        <ns0:f>IF(AND(L1597=1,O1597*Calculations!$B$2&lt;=Calculations!$B$11*Calculations!$B$4),1,0)</ns0:f>
        <ns0:v>0</ns0:v>
      </ns0:c>
    </ns0:row>
    <ns0:row r="1598">
      <ns0:c r="A1598" t="inlineStr">
        <ns0:is>
          <ns0:t>case_1597</ns0:t>
        </ns0:is>
      </ns0:c>
      <ns0:c r="B1598" t="inlineStr">
        <ns0:is>
          <ns0:t>function_0469</ns0:t>
        </ns0:is>
      </ns0:c>
      <ns0:c r="C1598" t="inlineStr">
        <ns0:is>
          <ns0:t>run_013</ns0:t>
        </ns0:is>
      </ns0:c>
      <ns0:c r="D1598" t="inlineStr">
        <ns0:is>
          <ns0:t>rand</ns0:t>
        </ns0:is>
      </ns0:c>
      <ns0:c r="E1598" t="inlineStr">
        <ns0:is>
          <ns0:t>gemini-2.5-flash-nothinking</ns0:t>
        </ns0:is>
      </ns0:c>
      <ns0:c r="F1598" t="inlineStr">
        <ns0:is>
          <ns0:t>E0432</ns0:t>
        </ns0:is>
      </ns0:c>
      <ns0:c r="G1598" t="n">
        <ns0:v>1</ns0:v>
      </ns0:c>
      <ns0:c r="H1598" t="n">
        <ns0:v>0</ns0:v>
      </ns0:c>
      <ns0:c r="I1598" t="n">
        <ns0:v>0</ns0:v>
      </ns0:c>
      <ns0:c r="J1598" t="n">
        <ns0:v>0</ns0:v>
      </ns0:c>
      <ns0:c r="K1598" t="n">
        <ns0:v>0</ns0:v>
      </ns0:c>
      <ns0:c r="L1598" t="n">
        <ns0:v>1</ns0:v>
      </ns0:c>
      <ns0:c r="M1598" t="n">
        <ns0:v>21415</ns0:v>
      </ns0:c>
      <ns0:c r="N1598" t="n">
        <ns0:v>402</ns0:v>
      </ns0:c>
      <ns0:c r="O1598" t="n">
        <ns0:v>21817</ns0:v>
      </ns0:c>
      <ns0:c r="P1598" t="n">
        <ns0:v>3</ns0:v>
      </ns0:c>
      <ns0:c r="Q1598">
        <ns0:f>IF(AND(L1598=1,O1598*Calculations!$B$2&lt;=Calculations!$B$10*Calculations!$B$4),1,0)</ns0:f>
        <ns0:v>1</ns0:v>
      </ns0:c>
      <ns0:c r="R1598">
        <ns0:f>IF(AND(L1598=1,O1598*Calculations!$B$2&lt;=Calculations!$B$11*Calculations!$B$4),1,0)</ns0:f>
        <ns0:v>1</ns0:v>
      </ns0:c>
    </ns0:row>
    <ns0:row r="1599">
      <ns0:c r="A1599" t="inlineStr">
        <ns0:is>
          <ns0:t>case_1598</ns0:t>
        </ns0:is>
      </ns0:c>
      <ns0:c r="B1599" t="inlineStr">
        <ns0:is>
          <ns0:t>function_0469</ns0:t>
        </ns0:is>
      </ns0:c>
      <ns0:c r="C1599" t="inlineStr">
        <ns0:is>
          <ns0:t>run_013</ns0:t>
        </ns0:is>
      </ns0:c>
      <ns0:c r="D1599" t="inlineStr">
        <ns0:is>
          <ns0:t>rand</ns0:t>
        </ns0:is>
      </ns0:c>
      <ns0:c r="E1599" t="inlineStr">
        <ns0:is>
          <ns0:t>gemini-2.5-flash-nothinking</ns0:t>
        </ns0:is>
      </ns0:c>
      <ns0:c r="F1599" t="inlineStr">
        <ns0:is>
          <ns0:t>E0432,E0433</ns0:t>
        </ns0:is>
      </ns0:c>
      <ns0:c r="G1599" t="n">
        <ns0:v>1</ns0:v>
      </ns0:c>
      <ns0:c r="H1599" t="n">
        <ns0:v>0</ns0:v>
      </ns0:c>
      <ns0:c r="I1599" t="n">
        <ns0:v>0</ns0:v>
      </ns0:c>
      <ns0:c r="J1599" t="n">
        <ns0:v>0</ns0:v>
      </ns0:c>
      <ns0:c r="K1599" t="n">
        <ns0:v>0</ns0:v>
      </ns0:c>
      <ns0:c r="L1599" t="n">
        <ns0:v>1</ns0:v>
      </ns0:c>
      <ns0:c r="M1599" t="n">
        <ns0:v>27658</ns0:v>
      </ns0:c>
      <ns0:c r="N1599" t="n">
        <ns0:v>635</ns0:v>
      </ns0:c>
      <ns0:c r="O1599" t="n">
        <ns0:v>28293</ns0:v>
      </ns0:c>
      <ns0:c r="P1599" t="n">
        <ns0:v>4</ns0:v>
      </ns0:c>
      <ns0:c r="Q1599">
        <ns0:f>IF(AND(L1599=1,O1599*Calculations!$B$2&lt;=Calculations!$B$10*Calculations!$B$4),1,0)</ns0:f>
        <ns0:v>0</ns0:v>
      </ns0:c>
      <ns0:c r="R1599">
        <ns0:f>IF(AND(L1599=1,O1599*Calculations!$B$2&lt;=Calculations!$B$11*Calculations!$B$4),1,0)</ns0:f>
        <ns0:v>1</ns0:v>
      </ns0:c>
    </ns0:row>
    <ns0:row r="1600">
      <ns0:c r="A1600" t="inlineStr">
        <ns0:is>
          <ns0:t>case_1599</ns0:t>
        </ns0:is>
      </ns0:c>
      <ns0:c r="B1600" t="inlineStr">
        <ns0:is>
          <ns0:t>function_0470</ns0:t>
        </ns0:is>
      </ns0:c>
      <ns0:c r="C1600" t="inlineStr">
        <ns0:is>
          <ns0:t>run_013</ns0:t>
        </ns0:is>
      </ns0:c>
      <ns0:c r="D1600" t="inlineStr">
        <ns0:is>
          <ns0:t>rand</ns0:t>
        </ns0:is>
      </ns0:c>
      <ns0:c r="E1600" t="inlineStr">
        <ns0:is>
          <ns0:t>gemini-2.5-flash-nothinking</ns0:t>
        </ns0:is>
      </ns0:c>
      <ns0:c r="F1600" t="inlineStr">
        <ns0:is>
          <ns0:t>E0433</ns0:t>
        </ns0:is>
      </ns0:c>
      <ns0:c r="G1600" t="n">
        <ns0:v>1</ns0:v>
      </ns0:c>
      <ns0:c r="H1600" t="n">
        <ns0:v>1623</ns0:v>
      </ns0:c>
      <ns0:c r="I1600" t="n">
        <ns0:v>202</ns0:v>
      </ns0:c>
      <ns0:c r="J1600" t="n">
        <ns0:v>1825</ns0:v>
      </ns0:c>
      <ns0:c r="K1600" t="n">
        <ns0:v>2</ns0:v>
      </ns0:c>
      <ns0:c r="L1600" t="n">
        <ns0:v>1</ns0:v>
      </ns0:c>
      <ns0:c r="M1600" t="n">
        <ns0:v>408947</ns0:v>
      </ns0:c>
      <ns0:c r="N1600" t="n">
        <ns0:v>1686</ns0:v>
      </ns0:c>
      <ns0:c r="O1600" t="n">
        <ns0:v>410633</ns0:v>
      </ns0:c>
      <ns0:c r="P1600" t="n">
        <ns0:v>20</ns0:v>
      </ns0:c>
      <ns0:c r="Q1600">
        <ns0:f>IF(AND(L1600=1,O1600*Calculations!$B$2&lt;=Calculations!$B$10*Calculations!$B$4),1,0)</ns0:f>
        <ns0:v>0</ns0:v>
      </ns0:c>
      <ns0:c r="R1600">
        <ns0:f>IF(AND(L1600=1,O1600*Calculations!$B$2&lt;=Calculations!$B$11*Calculations!$B$4),1,0)</ns0:f>
        <ns0:v>0</ns0:v>
      </ns0:c>
    </ns0:row>
    <ns0:row r="1601">
      <ns0:c r="A1601" t="inlineStr">
        <ns0:is>
          <ns0:t>case_1600</ns0:t>
        </ns0:is>
      </ns0:c>
      <ns0:c r="B1601" t="inlineStr">
        <ns0:is>
          <ns0:t>function_0470</ns0:t>
        </ns0:is>
      </ns0:c>
      <ns0:c r="C1601" t="inlineStr">
        <ns0:is>
          <ns0:t>run_013</ns0:t>
        </ns0:is>
      </ns0:c>
      <ns0:c r="D1601" t="inlineStr">
        <ns0:is>
          <ns0:t>rand</ns0:t>
        </ns0:is>
      </ns0:c>
      <ns0:c r="E1601" t="inlineStr">
        <ns0:is>
          <ns0:t>gemini-2.5-flash-nothinking</ns0:t>
        </ns0:is>
      </ns0:c>
      <ns0:c r="F1601" t="inlineStr"/>
      <ns0:c r="G1601" t="n">
        <ns0:v>0</ns0:v>
      </ns0:c>
      <ns0:c r="H1601" t="n">
        <ns0:v>5055</ns0:v>
      </ns0:c>
      <ns0:c r="I1601" t="n">
        <ns0:v>210</ns0:v>
      </ns0:c>
      <ns0:c r="J1601" t="n">
        <ns0:v>5265</ns0:v>
      </ns0:c>
      <ns0:c r="K1601" t="n">
        <ns0:v>3</ns0:v>
      </ns0:c>
      <ns0:c r="L1601" t="n">
        <ns0:v>1</ns0:v>
      </ns0:c>
      <ns0:c r="M1601" t="n">
        <ns0:v>35456</ns0:v>
      </ns0:c>
      <ns0:c r="N1601" t="n">
        <ns0:v>453</ns0:v>
      </ns0:c>
      <ns0:c r="O1601" t="n">
        <ns0:v>35909</ns0:v>
      </ns0:c>
      <ns0:c r="P1601" t="n">
        <ns0:v>5</ns0:v>
      </ns0:c>
      <ns0:c r="Q1601">
        <ns0:f>IF(AND(L1601=1,O1601*Calculations!$B$2&lt;=Calculations!$B$10*Calculations!$B$4),1,0)</ns0:f>
        <ns0:v>0</ns0:v>
      </ns0:c>
      <ns0:c r="R1601">
        <ns0:f>IF(AND(L1601=1,O1601*Calculations!$B$2&lt;=Calculations!$B$11*Calculations!$B$4),1,0)</ns0:f>
        <ns0:v>1</ns0:v>
      </ns0:c>
    </ns0:row>
    <ns0:row r="1602">
      <ns0:c r="A1602" t="inlineStr">
        <ns0:is>
          <ns0:t>case_1601</ns0:t>
        </ns0:is>
      </ns0:c>
      <ns0:c r="B1602" t="inlineStr">
        <ns0:is>
          <ns0:t>function_0470</ns0:t>
        </ns0:is>
      </ns0:c>
      <ns0:c r="C1602" t="inlineStr">
        <ns0:is>
          <ns0:t>run_013</ns0:t>
        </ns0:is>
      </ns0:c>
      <ns0:c r="D1602" t="inlineStr">
        <ns0:is>
          <ns0:t>rand</ns0:t>
        </ns0:is>
      </ns0:c>
      <ns0:c r="E1602" t="inlineStr">
        <ns0:is>
          <ns0:t>gemini-2.5-flash-nothinking</ns0:t>
        </ns0:is>
      </ns0:c>
      <ns0:c r="F1602" t="inlineStr">
        <ns0:is>
          <ns0:t>E0433</ns0:t>
        </ns0:is>
      </ns0:c>
      <ns0:c r="G1602" t="n">
        <ns0:v>1</ns0:v>
      </ns0:c>
      <ns0:c r="H1602" t="n">
        <ns0:v>613</ns0:v>
      </ns0:c>
      <ns0:c r="I1602" t="n">
        <ns0:v>74</ns0:v>
      </ns0:c>
      <ns0:c r="J1602" t="n">
        <ns0:v>687</ns0:v>
      </ns0:c>
      <ns0:c r="K1602" t="n">
        <ns0:v>1</ns0:v>
      </ns0:c>
      <ns0:c r="L1602" t="n">
        <ns0:v>1</ns0:v>
      </ns0:c>
      <ns0:c r="M1602" t="n">
        <ns0:v>21257</ns0:v>
      </ns0:c>
      <ns0:c r="N1602" t="n">
        <ns0:v>570</ns0:v>
      </ns0:c>
      <ns0:c r="O1602" t="n">
        <ns0:v>21827</ns0:v>
      </ns0:c>
      <ns0:c r="P1602" t="n">
        <ns0:v>3</ns0:v>
      </ns0:c>
      <ns0:c r="Q1602">
        <ns0:f>IF(AND(L1602=1,O1602*Calculations!$B$2&lt;=Calculations!$B$10*Calculations!$B$4),1,0)</ns0:f>
        <ns0:v>1</ns0:v>
      </ns0:c>
      <ns0:c r="R1602">
        <ns0:f>IF(AND(L1602=1,O1602*Calculations!$B$2&lt;=Calculations!$B$11*Calculations!$B$4),1,0)</ns0:f>
        <ns0:v>1</ns0:v>
      </ns0:c>
    </ns0:row>
    <ns0:row r="1603">
      <ns0:c r="A1603" t="inlineStr">
        <ns0:is>
          <ns0:t>case_1602</ns0:t>
        </ns0:is>
      </ns0:c>
      <ns0:c r="B1603" t="inlineStr">
        <ns0:is>
          <ns0:t>function_0470</ns0:t>
        </ns0:is>
      </ns0:c>
      <ns0:c r="C1603" t="inlineStr">
        <ns0:is>
          <ns0:t>run_013</ns0:t>
        </ns0:is>
      </ns0:c>
      <ns0:c r="D1603" t="inlineStr">
        <ns0:is>
          <ns0:t>rand</ns0:t>
        </ns0:is>
      </ns0:c>
      <ns0:c r="E1603" t="inlineStr">
        <ns0:is>
          <ns0:t>gemini-2.5-flash-nothinking</ns0:t>
        </ns0:is>
      </ns0:c>
      <ns0:c r="F1603" t="inlineStr"/>
      <ns0:c r="G1603" t="n">
        <ns0:v>0</ns0:v>
      </ns0:c>
      <ns0:c r="H1603" t="n">
        <ns0:v>5379</ns0:v>
      </ns0:c>
      <ns0:c r="I1603" t="n">
        <ns0:v>401</ns0:v>
      </ns0:c>
      <ns0:c r="J1603" t="n">
        <ns0:v>5780</ns0:v>
      </ns0:c>
      <ns0:c r="K1603" t="n">
        <ns0:v>3</ns0:v>
      </ns0:c>
      <ns0:c r="L1603" t="n">
        <ns0:v>1</ns0:v>
      </ns0:c>
      <ns0:c r="M1603" t="n">
        <ns0:v>76497</ns0:v>
      </ns0:c>
      <ns0:c r="N1603" t="n">
        <ns0:v>587</ns0:v>
      </ns0:c>
      <ns0:c r="O1603" t="n">
        <ns0:v>77084</ns0:v>
      </ns0:c>
      <ns0:c r="P1603" t="n">
        <ns0:v>5</ns0:v>
      </ns0:c>
      <ns0:c r="Q1603">
        <ns0:f>IF(AND(L1603=1,O1603*Calculations!$B$2&lt;=Calculations!$B$10*Calculations!$B$4),1,0)</ns0:f>
        <ns0:v>0</ns0:v>
      </ns0:c>
      <ns0:c r="R1603">
        <ns0:f>IF(AND(L1603=1,O1603*Calculations!$B$2&lt;=Calculations!$B$11*Calculations!$B$4),1,0)</ns0:f>
        <ns0:v>0</ns0:v>
      </ns0:c>
    </ns0:row>
    <ns0:row r="1604">
      <ns0:c r="A1604" t="inlineStr">
        <ns0:is>
          <ns0:t>case_1603</ns0:t>
        </ns0:is>
      </ns0:c>
      <ns0:c r="B1604" t="inlineStr">
        <ns0:is>
          <ns0:t>function_0471</ns0:t>
        </ns0:is>
      </ns0:c>
      <ns0:c r="C1604" t="inlineStr">
        <ns0:is>
          <ns0:t>run_013</ns0:t>
        </ns0:is>
      </ns0:c>
      <ns0:c r="D1604" t="inlineStr">
        <ns0:is>
          <ns0:t>rand</ns0:t>
        </ns0:is>
      </ns0:c>
      <ns0:c r="E1604" t="inlineStr">
        <ns0:is>
          <ns0:t>gemini-2.5-flash-nothinking</ns0:t>
        </ns0:is>
      </ns0:c>
      <ns0:c r="F1604" t="inlineStr">
        <ns0:is>
          <ns0:t>E0277</ns0:t>
        </ns0:is>
      </ns0:c>
      <ns0:c r="G1604" t="n">
        <ns0:v>0</ns0:v>
      </ns0:c>
      <ns0:c r="H1604" t="n">
        <ns0:v>2098</ns0:v>
      </ns0:c>
      <ns0:c r="I1604" t="n">
        <ns0:v>177</ns0:v>
      </ns0:c>
      <ns0:c r="J1604" t="n">
        <ns0:v>2275</ns0:v>
      </ns0:c>
      <ns0:c r="K1604" t="n">
        <ns0:v>3</ns0:v>
      </ns0:c>
      <ns0:c r="L1604" t="n">
        <ns0:v>0</ns0:v>
      </ns0:c>
      <ns0:c r="M1604" t="n">
        <ns0:v>278259</ns0:v>
      </ns0:c>
      <ns0:c r="N1604" t="n">
        <ns0:v>821</ns0:v>
      </ns0:c>
      <ns0:c r="O1604" t="n">
        <ns0:v>279080</ns0:v>
      </ns0:c>
      <ns0:c r="P1604" t="n">
        <ns0:v>9</ns0:v>
      </ns0:c>
      <ns0:c r="Q1604">
        <ns0:f>IF(AND(L1604=1,O1604*Calculations!$B$2&lt;=Calculations!$B$10*Calculations!$B$4),1,0)</ns0:f>
        <ns0:v>0</ns0:v>
      </ns0:c>
      <ns0:c r="R1604">
        <ns0:f>IF(AND(L1604=1,O1604*Calculations!$B$2&lt;=Calculations!$B$11*Calculations!$B$4),1,0)</ns0:f>
        <ns0:v>0</ns0:v>
      </ns0:c>
    </ns0:row>
    <ns0:row r="1605">
      <ns0:c r="A1605" t="inlineStr">
        <ns0:is>
          <ns0:t>case_1604</ns0:t>
        </ns0:is>
      </ns0:c>
      <ns0:c r="B1605" t="inlineStr">
        <ns0:is>
          <ns0:t>function_0471</ns0:t>
        </ns0:is>
      </ns0:c>
      <ns0:c r="C1605" t="inlineStr">
        <ns0:is>
          <ns0:t>run_013</ns0:t>
        </ns0:is>
      </ns0:c>
      <ns0:c r="D1605" t="inlineStr">
        <ns0:is>
          <ns0:t>rand</ns0:t>
        </ns0:is>
      </ns0:c>
      <ns0:c r="E1605" t="inlineStr">
        <ns0:is>
          <ns0:t>gemini-2.5-flash-nothinking</ns0:t>
        </ns0:is>
      </ns0:c>
      <ns0:c r="F1605" t="inlineStr"/>
      <ns0:c r="G1605" t="n">
        <ns0:v>0</ns0:v>
      </ns0:c>
      <ns0:c r="H1605" t="n">
        <ns0:v>4882</ns0:v>
      </ns0:c>
      <ns0:c r="I1605" t="n">
        <ns0:v>168</ns0:v>
      </ns0:c>
      <ns0:c r="J1605" t="n">
        <ns0:v>5050</ns0:v>
      </ns0:c>
      <ns0:c r="K1605" t="n">
        <ns0:v>3</ns0:v>
      </ns0:c>
      <ns0:c r="L1605" t="n">
        <ns0:v>1</ns0:v>
      </ns0:c>
      <ns0:c r="M1605" t="n">
        <ns0:v>35350</ns0:v>
      </ns0:c>
      <ns0:c r="N1605" t="n">
        <ns0:v>328</ns0:v>
      </ns0:c>
      <ns0:c r="O1605" t="n">
        <ns0:v>35678</ns0:v>
      </ns0:c>
      <ns0:c r="P1605" t="n">
        <ns0:v>5</ns0:v>
      </ns0:c>
      <ns0:c r="Q1605">
        <ns0:f>IF(AND(L1605=1,O1605*Calculations!$B$2&lt;=Calculations!$B$10*Calculations!$B$4),1,0)</ns0:f>
        <ns0:v>0</ns0:v>
      </ns0:c>
      <ns0:c r="R1605">
        <ns0:f>IF(AND(L1605=1,O1605*Calculations!$B$2&lt;=Calculations!$B$11*Calculations!$B$4),1,0)</ns0:f>
        <ns0:v>1</ns0:v>
      </ns0:c>
    </ns0:row>
    <ns0:row r="1606">
      <ns0:c r="A1606" t="inlineStr">
        <ns0:is>
          <ns0:t>case_1605</ns0:t>
        </ns0:is>
      </ns0:c>
      <ns0:c r="B1606" t="inlineStr">
        <ns0:is>
          <ns0:t>function_0471</ns0:t>
        </ns0:is>
      </ns0:c>
      <ns0:c r="C1606" t="inlineStr">
        <ns0:is>
          <ns0:t>run_013</ns0:t>
        </ns0:is>
      </ns0:c>
      <ns0:c r="D1606" t="inlineStr">
        <ns0:is>
          <ns0:t>rand</ns0:t>
        </ns0:is>
      </ns0:c>
      <ns0:c r="E1606" t="inlineStr">
        <ns0:is>
          <ns0:t>gemini-2.5-flash-nothinking</ns0:t>
        </ns0:is>
      </ns0:c>
      <ns0:c r="F1606" t="inlineStr">
        <ns0:is>
          <ns0:t>E0433</ns0:t>
        </ns0:is>
      </ns0:c>
      <ns0:c r="G1606" t="n">
        <ns0:v>0</ns0:v>
      </ns0:c>
      <ns0:c r="H1606" t="n">
        <ns0:v>5078</ns0:v>
      </ns0:c>
      <ns0:c r="I1606" t="n">
        <ns0:v>207</ns0:v>
      </ns0:c>
      <ns0:c r="J1606" t="n">
        <ns0:v>5285</ns0:v>
      </ns0:c>
      <ns0:c r="K1606" t="n">
        <ns0:v>3</ns0:v>
      </ns0:c>
      <ns0:c r="L1606" t="n">
        <ns0:v>1</ns0:v>
      </ns0:c>
      <ns0:c r="M1606" t="n">
        <ns0:v>403243</ns0:v>
      </ns0:c>
      <ns0:c r="N1606" t="n">
        <ns0:v>2111</ns0:v>
      </ns0:c>
      <ns0:c r="O1606" t="n">
        <ns0:v>405354</ns0:v>
      </ns0:c>
      <ns0:c r="P1606" t="n">
        <ns0:v>20</ns0:v>
      </ns0:c>
      <ns0:c r="Q1606">
        <ns0:f>IF(AND(L1606=1,O1606*Calculations!$B$2&lt;=Calculations!$B$10*Calculations!$B$4),1,0)</ns0:f>
        <ns0:v>0</ns0:v>
      </ns0:c>
      <ns0:c r="R1606">
        <ns0:f>IF(AND(L1606=1,O1606*Calculations!$B$2&lt;=Calculations!$B$11*Calculations!$B$4),1,0)</ns0:f>
        <ns0:v>0</ns0:v>
      </ns0:c>
    </ns0:row>
    <ns0:row r="1607">
      <ns0:c r="A1607" t="inlineStr">
        <ns0:is>
          <ns0:t>case_1606</ns0:t>
        </ns0:is>
      </ns0:c>
      <ns0:c r="B1607" t="inlineStr">
        <ns0:is>
          <ns0:t>function_0471</ns0:t>
        </ns0:is>
      </ns0:c>
      <ns0:c r="C1607" t="inlineStr">
        <ns0:is>
          <ns0:t>run_013</ns0:t>
        </ns0:is>
      </ns0:c>
      <ns0:c r="D1607" t="inlineStr">
        <ns0:is>
          <ns0:t>rand</ns0:t>
        </ns0:is>
      </ns0:c>
      <ns0:c r="E1607" t="inlineStr">
        <ns0:is>
          <ns0:t>gemini-2.5-flash-nothinking</ns0:t>
        </ns0:is>
      </ns0:c>
      <ns0:c r="F1607" t="inlineStr"/>
      <ns0:c r="G1607" t="n">
        <ns0:v>0</ns0:v>
      </ns0:c>
      <ns0:c r="H1607" t="n">
        <ns0:v>4904</ns0:v>
      </ns0:c>
      <ns0:c r="I1607" t="n">
        <ns0:v>173</ns0:v>
      </ns0:c>
      <ns0:c r="J1607" t="n">
        <ns0:v>5077</ns0:v>
      </ns0:c>
      <ns0:c r="K1607" t="n">
        <ns0:v>3</ns0:v>
      </ns0:c>
      <ns0:c r="L1607" t="n">
        <ns0:v>1</ns0:v>
      </ns0:c>
      <ns0:c r="M1607" t="n">
        <ns0:v>35435</ns0:v>
      </ns0:c>
      <ns0:c r="N1607" t="n">
        <ns0:v>445</ns0:v>
      </ns0:c>
      <ns0:c r="O1607" t="n">
        <ns0:v>35880</ns0:v>
      </ns0:c>
      <ns0:c r="P1607" t="n">
        <ns0:v>5</ns0:v>
      </ns0:c>
      <ns0:c r="Q1607">
        <ns0:f>IF(AND(L1607=1,O1607*Calculations!$B$2&lt;=Calculations!$B$10*Calculations!$B$4),1,0)</ns0:f>
        <ns0:v>0</ns0:v>
      </ns0:c>
      <ns0:c r="R1607">
        <ns0:f>IF(AND(L1607=1,O1607*Calculations!$B$2&lt;=Calculations!$B$11*Calculations!$B$4),1,0)</ns0:f>
        <ns0:v>1</ns0:v>
      </ns0:c>
    </ns0:row>
    <ns0:row r="1608">
      <ns0:c r="A1608" t="inlineStr">
        <ns0:is>
          <ns0:t>case_1607</ns0:t>
        </ns0:is>
      </ns0:c>
      <ns0:c r="B1608" t="inlineStr">
        <ns0:is>
          <ns0:t>function_0472</ns0:t>
        </ns0:is>
      </ns0:c>
      <ns0:c r="C1608" t="inlineStr">
        <ns0:is>
          <ns0:t>run_013</ns0:t>
        </ns0:is>
      </ns0:c>
      <ns0:c r="D1608" t="inlineStr">
        <ns0:is>
          <ns0:t>rand</ns0:t>
        </ns0:is>
      </ns0:c>
      <ns0:c r="E1608" t="inlineStr">
        <ns0:is>
          <ns0:t>gemini-2.5-flash-nothinking</ns0:t>
        </ns0:is>
      </ns0:c>
      <ns0:c r="F1608" t="inlineStr"/>
      <ns0:c r="G1608" t="n">
        <ns0:v>0</ns0:v>
      </ns0:c>
      <ns0:c r="H1608" t="n">
        <ns0:v>5311</ns0:v>
      </ns0:c>
      <ns0:c r="I1608" t="n">
        <ns0:v>387</ns0:v>
      </ns0:c>
      <ns0:c r="J1608" t="n">
        <ns0:v>5698</ns0:v>
      </ns0:c>
      <ns0:c r="K1608" t="n">
        <ns0:v>3</ns0:v>
      </ns0:c>
      <ns0:c r="L1608" t="n">
        <ns0:v>1</ns0:v>
      </ns0:c>
      <ns0:c r="M1608" t="n">
        <ns0:v>38594</ns0:v>
      </ns0:c>
      <ns0:c r="N1608" t="n">
        <ns0:v>578</ns0:v>
      </ns0:c>
      <ns0:c r="O1608" t="n">
        <ns0:v>39172</ns0:v>
      </ns0:c>
      <ns0:c r="P1608" t="n">
        <ns0:v>5</ns0:v>
      </ns0:c>
      <ns0:c r="Q1608">
        <ns0:f>IF(AND(L1608=1,O1608*Calculations!$B$2&lt;=Calculations!$B$10*Calculations!$B$4),1,0)</ns0:f>
        <ns0:v>0</ns0:v>
      </ns0:c>
      <ns0:c r="R1608">
        <ns0:f>IF(AND(L1608=1,O1608*Calculations!$B$2&lt;=Calculations!$B$11*Calculations!$B$4),1,0)</ns0:f>
        <ns0:v>1</ns0:v>
      </ns0:c>
    </ns0:row>
    <ns0:row r="1609">
      <ns0:c r="A1609" t="inlineStr">
        <ns0:is>
          <ns0:t>case_1608</ns0:t>
        </ns0:is>
      </ns0:c>
      <ns0:c r="B1609" t="inlineStr">
        <ns0:is>
          <ns0:t>function_0472</ns0:t>
        </ns0:is>
      </ns0:c>
      <ns0:c r="C1609" t="inlineStr">
        <ns0:is>
          <ns0:t>run_013</ns0:t>
        </ns0:is>
      </ns0:c>
      <ns0:c r="D1609" t="inlineStr">
        <ns0:is>
          <ns0:t>rand</ns0:t>
        </ns0:is>
      </ns0:c>
      <ns0:c r="E1609" t="inlineStr">
        <ns0:is>
          <ns0:t>gemini-2.5-flash-nothinking</ns0:t>
        </ns0:is>
      </ns0:c>
      <ns0:c r="F1609" t="inlineStr"/>
      <ns0:c r="G1609" t="n">
        <ns0:v>1</ns0:v>
      </ns0:c>
      <ns0:c r="H1609" t="n">
        <ns0:v>1802</ns0:v>
      </ns0:c>
      <ns0:c r="I1609" t="n">
        <ns0:v>202</ns0:v>
      </ns0:c>
      <ns0:c r="J1609" t="n">
        <ns0:v>2004</ns0:v>
      </ns0:c>
      <ns0:c r="K1609" t="n">
        <ns0:v>1</ns0:v>
      </ns0:c>
      <ns0:c r="L1609" t="n">
        <ns0:v>1</ns0:v>
      </ns0:c>
      <ns0:c r="M1609" t="n">
        <ns0:v>14626</ns0:v>
      </ns0:c>
      <ns0:c r="N1609" t="n">
        <ns0:v>198</ns0:v>
      </ns0:c>
      <ns0:c r="O1609" t="n">
        <ns0:v>14824</ns0:v>
      </ns0:c>
      <ns0:c r="P1609" t="n">
        <ns0:v>2</ns0:v>
      </ns0:c>
      <ns0:c r="Q1609">
        <ns0:f>IF(AND(L1609=1,O1609*Calculations!$B$2&lt;=Calculations!$B$10*Calculations!$B$4),1,0)</ns0:f>
        <ns0:v>1</ns0:v>
      </ns0:c>
      <ns0:c r="R1609">
        <ns0:f>IF(AND(L1609=1,O1609*Calculations!$B$2&lt;=Calculations!$B$11*Calculations!$B$4),1,0)</ns0:f>
        <ns0:v>1</ns0:v>
      </ns0:c>
    </ns0:row>
    <ns0:row r="1610">
      <ns0:c r="A1610" t="inlineStr">
        <ns0:is>
          <ns0:t>case_1609</ns0:t>
        </ns0:is>
      </ns0:c>
      <ns0:c r="B1610" t="inlineStr">
        <ns0:is>
          <ns0:t>function_0472</ns0:t>
        </ns0:is>
      </ns0:c>
      <ns0:c r="C1610" t="inlineStr">
        <ns0:is>
          <ns0:t>run_013</ns0:t>
        </ns0:is>
      </ns0:c>
      <ns0:c r="D1610" t="inlineStr">
        <ns0:is>
          <ns0:t>rand</ns0:t>
        </ns0:is>
      </ns0:c>
      <ns0:c r="E1610" t="inlineStr">
        <ns0:is>
          <ns0:t>gemini-2.5-flash-nothinking</ns0:t>
        </ns0:is>
      </ns0:c>
      <ns0:c r="F1610" t="inlineStr">
        <ns0:is>
          <ns0:t>E0433</ns0:t>
        </ns0:is>
      </ns0:c>
      <ns0:c r="G1610" t="n">
        <ns0:v>0</ns0:v>
      </ns0:c>
      <ns0:c r="H1610" t="n">
        <ns0:v>5884</ns0:v>
      </ns0:c>
      <ns0:c r="I1610" t="n">
        <ns0:v>486</ns0:v>
      </ns0:c>
      <ns0:c r="J1610" t="n">
        <ns0:v>6370</ns0:v>
      </ns0:c>
      <ns0:c r="K1610" t="n">
        <ns0:v>3</ns0:v>
      </ns0:c>
      <ns0:c r="L1610" t="n">
        <ns0:v>1</ns0:v>
      </ns0:c>
      <ns0:c r="M1610" t="n">
        <ns0:v>22483</ns0:v>
      </ns0:c>
      <ns0:c r="N1610" t="n">
        <ns0:v>369</ns0:v>
      </ns0:c>
      <ns0:c r="O1610" t="n">
        <ns0:v>22852</ns0:v>
      </ns0:c>
      <ns0:c r="P1610" t="n">
        <ns0:v>3</ns0:v>
      </ns0:c>
      <ns0:c r="Q1610">
        <ns0:f>IF(AND(L1610=1,O1610*Calculations!$B$2&lt;=Calculations!$B$10*Calculations!$B$4),1,0)</ns0:f>
        <ns0:v>1</ns0:v>
      </ns0:c>
      <ns0:c r="R1610">
        <ns0:f>IF(AND(L1610=1,O1610*Calculations!$B$2&lt;=Calculations!$B$11*Calculations!$B$4),1,0)</ns0:f>
        <ns0:v>1</ns0:v>
      </ns0:c>
    </ns0:row>
    <ns0:row r="1611">
      <ns0:c r="A1611" t="inlineStr">
        <ns0:is>
          <ns0:t>case_1610</ns0:t>
        </ns0:is>
      </ns0:c>
      <ns0:c r="B1611" t="inlineStr">
        <ns0:is>
          <ns0:t>function_0472</ns0:t>
        </ns0:is>
      </ns0:c>
      <ns0:c r="C1611" t="inlineStr">
        <ns0:is>
          <ns0:t>run_013</ns0:t>
        </ns0:is>
      </ns0:c>
      <ns0:c r="D1611" t="inlineStr">
        <ns0:is>
          <ns0:t>rand</ns0:t>
        </ns0:is>
      </ns0:c>
      <ns0:c r="E1611" t="inlineStr">
        <ns0:is>
          <ns0:t>gemini-2.5-flash-nothinking</ns0:t>
        </ns0:is>
      </ns0:c>
      <ns0:c r="F1611" t="inlineStr">
        <ns0:is>
          <ns0:t>E0433</ns0:t>
        </ns0:is>
      </ns0:c>
      <ns0:c r="G1611" t="n">
        <ns0:v>0</ns0:v>
      </ns0:c>
      <ns0:c r="H1611" t="n">
        <ns0:v>6060</ns0:v>
      </ns0:c>
      <ns0:c r="I1611" t="n">
        <ns0:v>528</ns0:v>
      </ns0:c>
      <ns0:c r="J1611" t="n">
        <ns0:v>6588</ns0:v>
      </ns0:c>
      <ns0:c r="K1611" t="n">
        <ns0:v>3</ns0:v>
      </ns0:c>
      <ns0:c r="L1611" t="n">
        <ns0:v>0</ns0:v>
      </ns0:c>
      <ns0:c r="M1611" t="n">
        <ns0:v>407503</ns0:v>
      </ns0:c>
      <ns0:c r="N1611" t="n">
        <ns0:v>3130</ns0:v>
      </ns0:c>
      <ns0:c r="O1611" t="n">
        <ns0:v>410633</ns0:v>
      </ns0:c>
      <ns0:c r="P1611" t="n">
        <ns0:v>23</ns0:v>
      </ns0:c>
      <ns0:c r="Q1611">
        <ns0:f>IF(AND(L1611=1,O1611*Calculations!$B$2&lt;=Calculations!$B$10*Calculations!$B$4),1,0)</ns0:f>
        <ns0:v>0</ns0:v>
      </ns0:c>
      <ns0:c r="R1611">
        <ns0:f>IF(AND(L1611=1,O1611*Calculations!$B$2&lt;=Calculations!$B$11*Calculations!$B$4),1,0)</ns0:f>
        <ns0:v>0</ns0:v>
      </ns0:c>
    </ns0:row>
    <ns0:row r="1612">
      <ns0:c r="A1612" t="inlineStr">
        <ns0:is>
          <ns0:t>case_1611</ns0:t>
        </ns0:is>
      </ns0:c>
      <ns0:c r="B1612" t="inlineStr">
        <ns0:is>
          <ns0:t>function_0473</ns0:t>
        </ns0:is>
      </ns0:c>
      <ns0:c r="C1612" t="inlineStr">
        <ns0:is>
          <ns0:t>run_013</ns0:t>
        </ns0:is>
      </ns0:c>
      <ns0:c r="D1612" t="inlineStr">
        <ns0:is>
          <ns0:t>rand</ns0:t>
        </ns0:is>
      </ns0:c>
      <ns0:c r="E1612" t="inlineStr">
        <ns0:is>
          <ns0:t>gemini-2.5-flash-nothinking</ns0:t>
        </ns0:is>
      </ns0:c>
      <ns0:c r="F1612" t="inlineStr">
        <ns0:is>
          <ns0:t>E0433</ns0:t>
        </ns0:is>
      </ns0:c>
      <ns0:c r="G1612" t="n">
        <ns0:v>0</ns0:v>
      </ns0:c>
      <ns0:c r="H1612" t="n">
        <ns0:v>5139</ns0:v>
      </ns0:c>
      <ns0:c r="I1612" t="n">
        <ns0:v>166</ns0:v>
      </ns0:c>
      <ns0:c r="J1612" t="n">
        <ns0:v>5305</ns0:v>
      </ns0:c>
      <ns0:c r="K1612" t="n">
        <ns0:v>3</ns0:v>
      </ns0:c>
      <ns0:c r="L1612" t="n">
        <ns0:v>1</ns0:v>
      </ns0:c>
      <ns0:c r="M1612" t="n">
        <ns0:v>37825</ns0:v>
      </ns0:c>
      <ns0:c r="N1612" t="n">
        <ns0:v>789</ns0:v>
      </ns0:c>
      <ns0:c r="O1612" t="n">
        <ns0:v>38614</ns0:v>
      </ns0:c>
      <ns0:c r="P1612" t="n">
        <ns0:v>5</ns0:v>
      </ns0:c>
      <ns0:c r="Q1612">
        <ns0:f>IF(AND(L1612=1,O1612*Calculations!$B$2&lt;=Calculations!$B$10*Calculations!$B$4),1,0)</ns0:f>
        <ns0:v>0</ns0:v>
      </ns0:c>
      <ns0:c r="R1612">
        <ns0:f>IF(AND(L1612=1,O1612*Calculations!$B$2&lt;=Calculations!$B$11*Calculations!$B$4),1,0)</ns0:f>
        <ns0:v>1</ns0:v>
      </ns0:c>
    </ns0:row>
    <ns0:row r="1613">
      <ns0:c r="A1613" t="inlineStr">
        <ns0:is>
          <ns0:t>case_1612</ns0:t>
        </ns0:is>
      </ns0:c>
      <ns0:c r="B1613" t="inlineStr">
        <ns0:is>
          <ns0:t>function_0473</ns0:t>
        </ns0:is>
      </ns0:c>
      <ns0:c r="C1613" t="inlineStr">
        <ns0:is>
          <ns0:t>run_013</ns0:t>
        </ns0:is>
      </ns0:c>
      <ns0:c r="D1613" t="inlineStr">
        <ns0:is>
          <ns0:t>rand</ns0:t>
        </ns0:is>
      </ns0:c>
      <ns0:c r="E1613" t="inlineStr">
        <ns0:is>
          <ns0:t>gemini-2.5-flash-nothinking</ns0:t>
        </ns0:is>
      </ns0:c>
      <ns0:c r="F1613" t="inlineStr"/>
      <ns0:c r="G1613" t="n">
        <ns0:v>0</ns0:v>
      </ns0:c>
      <ns0:c r="H1613" t="n">
        <ns0:v>4845</ns0:v>
      </ns0:c>
      <ns0:c r="I1613" t="n">
        <ns0:v>157</ns0:v>
      </ns0:c>
      <ns0:c r="J1613" t="n">
        <ns0:v>5002</ns0:v>
      </ns0:c>
      <ns0:c r="K1613" t="n">
        <ns0:v>3</ns0:v>
      </ns0:c>
      <ns0:c r="L1613" t="n">
        <ns0:v>1</ns0:v>
      </ns0:c>
      <ns0:c r="M1613" t="n">
        <ns0:v>35295</ns0:v>
      </ns0:c>
      <ns0:c r="N1613" t="n">
        <ns0:v>368</ns0:v>
      </ns0:c>
      <ns0:c r="O1613" t="n">
        <ns0:v>35663</ns0:v>
      </ns0:c>
      <ns0:c r="P1613" t="n">
        <ns0:v>5</ns0:v>
      </ns0:c>
      <ns0:c r="Q1613">
        <ns0:f>IF(AND(L1613=1,O1613*Calculations!$B$2&lt;=Calculations!$B$10*Calculations!$B$4),1,0)</ns0:f>
        <ns0:v>0</ns0:v>
      </ns0:c>
      <ns0:c r="R1613">
        <ns0:f>IF(AND(L1613=1,O1613*Calculations!$B$2&lt;=Calculations!$B$11*Calculations!$B$4),1,0)</ns0:f>
        <ns0:v>1</ns0:v>
      </ns0:c>
    </ns0:row>
    <ns0:row r="1614">
      <ns0:c r="A1614" t="inlineStr">
        <ns0:is>
          <ns0:t>case_1613</ns0:t>
        </ns0:is>
      </ns0:c>
      <ns0:c r="B1614" t="inlineStr">
        <ns0:is>
          <ns0:t>function_0473</ns0:t>
        </ns0:is>
      </ns0:c>
      <ns0:c r="C1614" t="inlineStr">
        <ns0:is>
          <ns0:t>run_013</ns0:t>
        </ns0:is>
      </ns0:c>
      <ns0:c r="D1614" t="inlineStr">
        <ns0:is>
          <ns0:t>rand</ns0:t>
        </ns0:is>
      </ns0:c>
      <ns0:c r="E1614" t="inlineStr">
        <ns0:is>
          <ns0:t>gemini-2.5-flash-nothinking</ns0:t>
        </ns0:is>
      </ns0:c>
      <ns0:c r="F1614" t="inlineStr"/>
      <ns0:c r="G1614" t="n">
        <ns0:v>0</ns0:v>
      </ns0:c>
      <ns0:c r="H1614" t="n">
        <ns0:v>4812</ns0:v>
      </ns0:c>
      <ns0:c r="I1614" t="n">
        <ns0:v>171</ns0:v>
      </ns0:c>
      <ns0:c r="J1614" t="n">
        <ns0:v>4983</ns0:v>
      </ns0:c>
      <ns0:c r="K1614" t="n">
        <ns0:v>3</ns0:v>
      </ns0:c>
      <ns0:c r="L1614" t="n">
        <ns0:v>1</ns0:v>
      </ns0:c>
      <ns0:c r="M1614" t="n">
        <ns0:v>35363</ns0:v>
      </ns0:c>
      <ns0:c r="N1614" t="n">
        <ns0:v>517</ns0:v>
      </ns0:c>
      <ns0:c r="O1614" t="n">
        <ns0:v>35880</ns0:v>
      </ns0:c>
      <ns0:c r="P1614" t="n">
        <ns0:v>5</ns0:v>
      </ns0:c>
      <ns0:c r="Q1614">
        <ns0:f>IF(AND(L1614=1,O1614*Calculations!$B$2&lt;=Calculations!$B$10*Calculations!$B$4),1,0)</ns0:f>
        <ns0:v>0</ns0:v>
      </ns0:c>
      <ns0:c r="R1614">
        <ns0:f>IF(AND(L1614=1,O1614*Calculations!$B$2&lt;=Calculations!$B$11*Calculations!$B$4),1,0)</ns0:f>
        <ns0:v>1</ns0:v>
      </ns0:c>
    </ns0:row>
    <ns0:row r="1615">
      <ns0:c r="A1615" t="inlineStr">
        <ns0:is>
          <ns0:t>case_1614</ns0:t>
        </ns0:is>
      </ns0:c>
      <ns0:c r="B1615" t="inlineStr">
        <ns0:is>
          <ns0:t>function_0473</ns0:t>
        </ns0:is>
      </ns0:c>
      <ns0:c r="C1615" t="inlineStr">
        <ns0:is>
          <ns0:t>run_013</ns0:t>
        </ns0:is>
      </ns0:c>
      <ns0:c r="D1615" t="inlineStr">
        <ns0:is>
          <ns0:t>rand</ns0:t>
        </ns0:is>
      </ns0:c>
      <ns0:c r="E1615" t="inlineStr">
        <ns0:is>
          <ns0:t>gemini-2.5-flash-nothinking</ns0:t>
        </ns0:is>
      </ns0:c>
      <ns0:c r="F1615" t="inlineStr"/>
      <ns0:c r="G1615" t="n">
        <ns0:v>0</ns0:v>
      </ns0:c>
      <ns0:c r="H1615" t="n">
        <ns0:v>4859</ns0:v>
      </ns0:c>
      <ns0:c r="I1615" t="n">
        <ns0:v>169</ns0:v>
      </ns0:c>
      <ns0:c r="J1615" t="n">
        <ns0:v>5028</ns0:v>
      </ns0:c>
      <ns0:c r="K1615" t="n">
        <ns0:v>3</ns0:v>
      </ns0:c>
      <ns0:c r="L1615" t="n">
        <ns0:v>1</ns0:v>
      </ns0:c>
      <ns0:c r="M1615" t="n">
        <ns0:v>37541</ns0:v>
      </ns0:c>
      <ns0:c r="N1615" t="n">
        <ns0:v>448</ns0:v>
      </ns0:c>
      <ns0:c r="O1615" t="n">
        <ns0:v>37989</ns0:v>
      </ns0:c>
      <ns0:c r="P1615" t="n">
        <ns0:v>5</ns0:v>
      </ns0:c>
      <ns0:c r="Q1615">
        <ns0:f>IF(AND(L1615=1,O1615*Calculations!$B$2&lt;=Calculations!$B$10*Calculations!$B$4),1,0)</ns0:f>
        <ns0:v>0</ns0:v>
      </ns0:c>
      <ns0:c r="R1615">
        <ns0:f>IF(AND(L1615=1,O1615*Calculations!$B$2&lt;=Calculations!$B$11*Calculations!$B$4),1,0)</ns0:f>
        <ns0:v>1</ns0:v>
      </ns0:c>
    </ns0:row>
    <ns0:row r="1616">
      <ns0:c r="A1616" t="inlineStr">
        <ns0:is>
          <ns0:t>case_1615</ns0:t>
        </ns0:is>
      </ns0:c>
      <ns0:c r="B1616" t="inlineStr">
        <ns0:is>
          <ns0:t>function_0474</ns0:t>
        </ns0:is>
      </ns0:c>
      <ns0:c r="C1616" t="inlineStr">
        <ns0:is>
          <ns0:t>run_013</ns0:t>
        </ns0:is>
      </ns0:c>
      <ns0:c r="D1616" t="inlineStr">
        <ns0:is>
          <ns0:t>rand</ns0:t>
        </ns0:is>
      </ns0:c>
      <ns0:c r="E1616" t="inlineStr">
        <ns0:is>
          <ns0:t>gemini-2.5-flash-nothinking</ns0:t>
        </ns0:is>
      </ns0:c>
      <ns0:c r="F1616" t="inlineStr"/>
      <ns0:c r="G1616" t="n">
        <ns0:v>0</ns0:v>
      </ns0:c>
      <ns0:c r="H1616" t="n">
        <ns0:v>6217</ns0:v>
      </ns0:c>
      <ns0:c r="I1616" t="n">
        <ns0:v>607</ns0:v>
      </ns0:c>
      <ns0:c r="J1616" t="n">
        <ns0:v>6824</ns0:v>
      </ns0:c>
      <ns0:c r="K1616" t="n">
        <ns0:v>3</ns0:v>
      </ns0:c>
      <ns0:c r="L1616" t="n">
        <ns0:v>0</ns0:v>
      </ns0:c>
      <ns0:c r="M1616" t="n">
        <ns0:v>171755</ns0:v>
      </ns0:c>
      <ns0:c r="N1616" t="n">
        <ns0:v>2699</ns0:v>
      </ns0:c>
      <ns0:c r="O1616" t="n">
        <ns0:v>174454</ns0:v>
      </ns0:c>
      <ns0:c r="P1616" t="n">
        <ns0:v>20</ns0:v>
      </ns0:c>
      <ns0:c r="Q1616">
        <ns0:f>IF(AND(L1616=1,O1616*Calculations!$B$2&lt;=Calculations!$B$10*Calculations!$B$4),1,0)</ns0:f>
        <ns0:v>0</ns0:v>
      </ns0:c>
      <ns0:c r="R1616">
        <ns0:f>IF(AND(L1616=1,O1616*Calculations!$B$2&lt;=Calculations!$B$11*Calculations!$B$4),1,0)</ns0:f>
        <ns0:v>0</ns0:v>
      </ns0:c>
    </ns0:row>
    <ns0:row r="1617">
      <ns0:c r="A1617" t="inlineStr">
        <ns0:is>
          <ns0:t>case_1616</ns0:t>
        </ns0:is>
      </ns0:c>
      <ns0:c r="B1617" t="inlineStr">
        <ns0:is>
          <ns0:t>function_0474</ns0:t>
        </ns0:is>
      </ns0:c>
      <ns0:c r="C1617" t="inlineStr">
        <ns0:is>
          <ns0:t>run_013</ns0:t>
        </ns0:is>
      </ns0:c>
      <ns0:c r="D1617" t="inlineStr">
        <ns0:is>
          <ns0:t>rand</ns0:t>
        </ns0:is>
      </ns0:c>
      <ns0:c r="E1617" t="inlineStr">
        <ns0:is>
          <ns0:t>gemini-2.5-flash-nothinking</ns0:t>
        </ns0:is>
      </ns0:c>
      <ns0:c r="F1617" t="inlineStr"/>
      <ns0:c r="G1617" t="n">
        <ns0:v>0</ns0:v>
      </ns0:c>
      <ns0:c r="H1617" t="n">
        <ns0:v>6410</ns0:v>
      </ns0:c>
      <ns0:c r="I1617" t="n">
        <ns0:v>735</ns0:v>
      </ns0:c>
      <ns0:c r="J1617" t="n">
        <ns0:v>7145</ns0:v>
      </ns0:c>
      <ns0:c r="K1617" t="n">
        <ns0:v>3</ns0:v>
      </ns0:c>
      <ns0:c r="L1617" t="n">
        <ns0:v>0</ns0:v>
      </ns0:c>
      <ns0:c r="M1617" t="n">
        <ns0:v>265507</ns0:v>
      </ns0:c>
      <ns0:c r="N1617" t="n">
        <ns0:v>1765</ns0:v>
      </ns0:c>
      <ns0:c r="O1617" t="n">
        <ns0:v>267272</ns0:v>
      </ns0:c>
      <ns0:c r="P1617" t="n">
        <ns0:v>15</ns0:v>
      </ns0:c>
      <ns0:c r="Q1617">
        <ns0:f>IF(AND(L1617=1,O1617*Calculations!$B$2&lt;=Calculations!$B$10*Calculations!$B$4),1,0)</ns0:f>
        <ns0:v>0</ns0:v>
      </ns0:c>
      <ns0:c r="R1617">
        <ns0:f>IF(AND(L1617=1,O1617*Calculations!$B$2&lt;=Calculations!$B$11*Calculations!$B$4),1,0)</ns0:f>
        <ns0:v>0</ns0:v>
      </ns0:c>
    </ns0:row>
    <ns0:row r="1618">
      <ns0:c r="A1618" t="inlineStr">
        <ns0:is>
          <ns0:t>case_1617</ns0:t>
        </ns0:is>
      </ns0:c>
      <ns0:c r="B1618" t="inlineStr">
        <ns0:is>
          <ns0:t>function_0474</ns0:t>
        </ns0:is>
      </ns0:c>
      <ns0:c r="C1618" t="inlineStr">
        <ns0:is>
          <ns0:t>run_013</ns0:t>
        </ns0:is>
      </ns0:c>
      <ns0:c r="D1618" t="inlineStr">
        <ns0:is>
          <ns0:t>rand</ns0:t>
        </ns0:is>
      </ns0:c>
      <ns0:c r="E1618" t="inlineStr">
        <ns0:is>
          <ns0:t>gemini-2.5-flash-nothinking</ns0:t>
        </ns0:is>
      </ns0:c>
      <ns0:c r="F1618" t="inlineStr">
        <ns0:is>
          <ns0:t>E0433</ns0:t>
        </ns0:is>
      </ns0:c>
      <ns0:c r="G1618" t="n">
        <ns0:v>0</ns0:v>
      </ns0:c>
      <ns0:c r="H1618" t="n">
        <ns0:v>2274</ns0:v>
      </ns0:c>
      <ns0:c r="I1618" t="n">
        <ns0:v>224</ns0:v>
      </ns0:c>
      <ns0:c r="J1618" t="n">
        <ns0:v>2498</ns0:v>
      </ns0:c>
      <ns0:c r="K1618" t="n">
        <ns0:v>3</ns0:v>
      </ns0:c>
      <ns0:c r="L1618" t="n">
        <ns0:v>1</ns0:v>
      </ns0:c>
      <ns0:c r="M1618" t="n">
        <ns0:v>55930</ns0:v>
      </ns0:c>
      <ns0:c r="N1618" t="n">
        <ns0:v>937</ns0:v>
      </ns0:c>
      <ns0:c r="O1618" t="n">
        <ns0:v>56867</ns0:v>
      </ns0:c>
      <ns0:c r="P1618" t="n">
        <ns0:v>7</ns0:v>
      </ns0:c>
      <ns0:c r="Q1618">
        <ns0:f>IF(AND(L1618=1,O1618*Calculations!$B$2&lt;=Calculations!$B$10*Calculations!$B$4),1,0)</ns0:f>
        <ns0:v>0</ns0:v>
      </ns0:c>
      <ns0:c r="R1618">
        <ns0:f>IF(AND(L1618=1,O1618*Calculations!$B$2&lt;=Calculations!$B$11*Calculations!$B$4),1,0)</ns0:f>
        <ns0:v>0</ns0:v>
      </ns0:c>
    </ns0:row>
    <ns0:row r="1619">
      <ns0:c r="A1619" t="inlineStr">
        <ns0:is>
          <ns0:t>case_1618</ns0:t>
        </ns0:is>
      </ns0:c>
      <ns0:c r="B1619" t="inlineStr">
        <ns0:is>
          <ns0:t>function_0474</ns0:t>
        </ns0:is>
      </ns0:c>
      <ns0:c r="C1619" t="inlineStr">
        <ns0:is>
          <ns0:t>run_013</ns0:t>
        </ns0:is>
      </ns0:c>
      <ns0:c r="D1619" t="inlineStr">
        <ns0:is>
          <ns0:t>rand</ns0:t>
        </ns0:is>
      </ns0:c>
      <ns0:c r="E1619" t="inlineStr">
        <ns0:is>
          <ns0:t>gemini-2.5-flash-nothinking</ns0:t>
        </ns0:is>
      </ns0:c>
      <ns0:c r="F1619" t="inlineStr"/>
      <ns0:c r="G1619" t="n">
        <ns0:v>0</ns0:v>
      </ns0:c>
      <ns0:c r="H1619" t="n">
        <ns0:v>4791</ns0:v>
      </ns0:c>
      <ns0:c r="I1619" t="n">
        <ns0:v>157</ns0:v>
      </ns0:c>
      <ns0:c r="J1619" t="n">
        <ns0:v>4948</ns0:v>
      </ns0:c>
      <ns0:c r="K1619" t="n">
        <ns0:v>3</ns0:v>
      </ns0:c>
      <ns0:c r="L1619" t="n">
        <ns0:v>1</ns0:v>
      </ns0:c>
      <ns0:c r="M1619" t="n">
        <ns0:v>117818</ns0:v>
      </ns0:c>
      <ns0:c r="N1619" t="n">
        <ns0:v>752</ns0:v>
      </ns0:c>
      <ns0:c r="O1619" t="n">
        <ns0:v>118570</ns0:v>
      </ns0:c>
      <ns0:c r="P1619" t="n">
        <ns0:v>8</ns0:v>
      </ns0:c>
      <ns0:c r="Q1619">
        <ns0:f>IF(AND(L1619=1,O1619*Calculations!$B$2&lt;=Calculations!$B$10*Calculations!$B$4),1,0)</ns0:f>
        <ns0:v>0</ns0:v>
      </ns0:c>
      <ns0:c r="R1619">
        <ns0:f>IF(AND(L1619=1,O1619*Calculations!$B$2&lt;=Calculations!$B$11*Calculations!$B$4),1,0)</ns0:f>
        <ns0:v>0</ns0:v>
      </ns0:c>
    </ns0:row>
    <ns0:row r="1620">
      <ns0:c r="A1620" t="inlineStr">
        <ns0:is>
          <ns0:t>case_1619</ns0:t>
        </ns0:is>
      </ns0:c>
      <ns0:c r="B1620" t="inlineStr">
        <ns0:is>
          <ns0:t>function_0475</ns0:t>
        </ns0:is>
      </ns0:c>
      <ns0:c r="C1620" t="inlineStr">
        <ns0:is>
          <ns0:t>run_013</ns0:t>
        </ns0:is>
      </ns0:c>
      <ns0:c r="D1620" t="inlineStr">
        <ns0:is>
          <ns0:t>rand</ns0:t>
        </ns0:is>
      </ns0:c>
      <ns0:c r="E1620" t="inlineStr">
        <ns0:is>
          <ns0:t>gemini-2.5-flash-nothinking</ns0:t>
        </ns0:is>
      </ns0:c>
      <ns0:c r="F1620" t="inlineStr">
        <ns0:is>
          <ns0:t>E0277,E0599</ns0:t>
        </ns0:is>
      </ns0:c>
      <ns0:c r="G1620" t="n">
        <ns0:v>0</ns0:v>
      </ns0:c>
      <ns0:c r="H1620" t="n">
        <ns0:v>19192</ns0:v>
      </ns0:c>
      <ns0:c r="I1620" t="n">
        <ns0:v>3234</ns0:v>
      </ns0:c>
      <ns0:c r="J1620" t="n">
        <ns0:v>22426</ns0:v>
      </ns0:c>
      <ns0:c r="K1620" t="n">
        <ns0:v>18</ns0:v>
      </ns0:c>
      <ns0:c r="L1620" t="n">
        <ns0:v>1</ns0:v>
      </ns0:c>
      <ns0:c r="M1620" t="n">
        <ns0:v>113632</ns0:v>
      </ns0:c>
      <ns0:c r="N1620" t="n">
        <ns0:v>793</ns0:v>
      </ns0:c>
      <ns0:c r="O1620" t="n">
        <ns0:v>114425</ns0:v>
      </ns0:c>
      <ns0:c r="P1620" t="n">
        <ns0:v>11</ns0:v>
      </ns0:c>
      <ns0:c r="Q1620">
        <ns0:f>IF(AND(L1620=1,O1620*Calculations!$B$2&lt;=Calculations!$B$10*Calculations!$B$4),1,0)</ns0:f>
        <ns0:v>0</ns0:v>
      </ns0:c>
      <ns0:c r="R1620">
        <ns0:f>IF(AND(L1620=1,O1620*Calculations!$B$2&lt;=Calculations!$B$11*Calculations!$B$4),1,0)</ns0:f>
        <ns0:v>0</ns0:v>
      </ns0:c>
    </ns0:row>
    <ns0:row r="1621">
      <ns0:c r="A1621" t="inlineStr">
        <ns0:is>
          <ns0:t>case_1620</ns0:t>
        </ns0:is>
      </ns0:c>
      <ns0:c r="B1621" t="inlineStr">
        <ns0:is>
          <ns0:t>function_0475</ns0:t>
        </ns0:is>
      </ns0:c>
      <ns0:c r="C1621" t="inlineStr">
        <ns0:is>
          <ns0:t>run_013</ns0:t>
        </ns0:is>
      </ns0:c>
      <ns0:c r="D1621" t="inlineStr">
        <ns0:is>
          <ns0:t>rand</ns0:t>
        </ns0:is>
      </ns0:c>
      <ns0:c r="E1621" t="inlineStr">
        <ns0:is>
          <ns0:t>gemini-2.5-flash-nothinking</ns0:t>
        </ns0:is>
      </ns0:c>
      <ns0:c r="F1621" t="inlineStr">
        <ns0:is>
          <ns0:t>E0433</ns0:t>
        </ns0:is>
      </ns0:c>
      <ns0:c r="G1621" t="n">
        <ns0:v>0</ns0:v>
      </ns0:c>
      <ns0:c r="H1621" t="n">
        <ns0:v>29469</ns0:v>
      </ns0:c>
      <ns0:c r="I1621" t="n">
        <ns0:v>2904</ns0:v>
      </ns0:c>
      <ns0:c r="J1621" t="n">
        <ns0:v>32373</ns0:v>
      </ns0:c>
      <ns0:c r="K1621" t="n">
        <ns0:v>19</ns0:v>
      </ns0:c>
      <ns0:c r="L1621" t="n">
        <ns0:v>1</ns0:v>
      </ns0:c>
      <ns0:c r="M1621" t="n">
        <ns0:v>400597</ns0:v>
      </ns0:c>
      <ns0:c r="N1621" t="n">
        <ns0:v>5334</ns0:v>
      </ns0:c>
      <ns0:c r="O1621" t="n">
        <ns0:v>405931</ns0:v>
      </ns0:c>
      <ns0:c r="P1621" t="n">
        <ns0:v>21</ns0:v>
      </ns0:c>
      <ns0:c r="Q1621">
        <ns0:f>IF(AND(L1621=1,O1621*Calculations!$B$2&lt;=Calculations!$B$10*Calculations!$B$4),1,0)</ns0:f>
        <ns0:v>0</ns0:v>
      </ns0:c>
      <ns0:c r="R1621">
        <ns0:f>IF(AND(L1621=1,O1621*Calculations!$B$2&lt;=Calculations!$B$11*Calculations!$B$4),1,0)</ns0:f>
        <ns0:v>0</ns0:v>
      </ns0:c>
    </ns0:row>
    <ns0:row r="1622">
      <ns0:c r="A1622" t="inlineStr">
        <ns0:is>
          <ns0:t>case_1621</ns0:t>
        </ns0:is>
      </ns0:c>
      <ns0:c r="B1622" t="inlineStr">
        <ns0:is>
          <ns0:t>function_0476</ns0:t>
        </ns0:is>
      </ns0:c>
      <ns0:c r="C1622" t="inlineStr">
        <ns0:is>
          <ns0:t>run_013</ns0:t>
        </ns0:is>
      </ns0:c>
      <ns0:c r="D1622" t="inlineStr">
        <ns0:is>
          <ns0:t>rand</ns0:t>
        </ns0:is>
      </ns0:c>
      <ns0:c r="E1622" t="inlineStr">
        <ns0:is>
          <ns0:t>gemini-2.5-flash-nothinking</ns0:t>
        </ns0:is>
      </ns0:c>
      <ns0:c r="F1622" t="inlineStr">
        <ns0:is>
          <ns0:t>E0308,E0432</ns0:t>
        </ns0:is>
      </ns0:c>
      <ns0:c r="G1622" t="n">
        <ns0:v>0</ns0:v>
      </ns0:c>
      <ns0:c r="H1622" t="n">
        <ns0:v>6742</ns0:v>
      </ns0:c>
      <ns0:c r="I1622" t="n">
        <ns0:v>1368</ns0:v>
      </ns0:c>
      <ns0:c r="J1622" t="n">
        <ns0:v>8110</ns0:v>
      </ns0:c>
      <ns0:c r="K1622" t="n">
        <ns0:v>6</ns0:v>
      </ns0:c>
      <ns0:c r="L1622" t="n">
        <ns0:v>1</ns0:v>
      </ns0:c>
      <ns0:c r="M1622" t="n">
        <ns0:v>56942</ns0:v>
      </ns0:c>
      <ns0:c r="N1622" t="n">
        <ns0:v>1171</ns0:v>
      </ns0:c>
      <ns0:c r="O1622" t="n">
        <ns0:v>58113</ns0:v>
      </ns0:c>
      <ns0:c r="P1622" t="n">
        <ns0:v>6</ns0:v>
      </ns0:c>
      <ns0:c r="Q1622">
        <ns0:f>IF(AND(L1622=1,O1622*Calculations!$B$2&lt;=Calculations!$B$10*Calculations!$B$4),1,0)</ns0:f>
        <ns0:v>0</ns0:v>
      </ns0:c>
      <ns0:c r="R1622">
        <ns0:f>IF(AND(L1622=1,O1622*Calculations!$B$2&lt;=Calculations!$B$11*Calculations!$B$4),1,0)</ns0:f>
        <ns0:v>0</ns0:v>
      </ns0:c>
    </ns0:row>
    <ns0:row r="1623">
      <ns0:c r="A1623" t="inlineStr">
        <ns0:is>
          <ns0:t>case_1622</ns0:t>
        </ns0:is>
      </ns0:c>
      <ns0:c r="B1623" t="inlineStr">
        <ns0:is>
          <ns0:t>function_0476</ns0:t>
        </ns0:is>
      </ns0:c>
      <ns0:c r="C1623" t="inlineStr">
        <ns0:is>
          <ns0:t>run_013</ns0:t>
        </ns0:is>
      </ns0:c>
      <ns0:c r="D1623" t="inlineStr">
        <ns0:is>
          <ns0:t>rand</ns0:t>
        </ns0:is>
      </ns0:c>
      <ns0:c r="E1623" t="inlineStr">
        <ns0:is>
          <ns0:t>gemini-2.5-flash-nothinking</ns0:t>
        </ns0:is>
      </ns0:c>
      <ns0:c r="F1623" t="inlineStr">
        <ns0:is>
          <ns0:t>E0433</ns0:t>
        </ns0:is>
      </ns0:c>
      <ns0:c r="G1623" t="n">
        <ns0:v>1</ns0:v>
      </ns0:c>
      <ns0:c r="H1623" t="n">
        <ns0:v>2985</ns0:v>
      </ns0:c>
      <ns0:c r="I1623" t="n">
        <ns0:v>513</ns0:v>
      </ns0:c>
      <ns0:c r="J1623" t="n">
        <ns0:v>3498</ns0:v>
      </ns0:c>
      <ns0:c r="K1623" t="n">
        <ns0:v>2</ns0:v>
      </ns0:c>
      <ns0:c r="L1623" t="n">
        <ns0:v>1</ns0:v>
      </ns0:c>
      <ns0:c r="M1623" t="n">
        <ns0:v>50191</ns0:v>
      </ns0:c>
      <ns0:c r="N1623" t="n">
        <ns0:v>2202</ns0:v>
      </ns0:c>
      <ns0:c r="O1623" t="n">
        <ns0:v>52393</ns0:v>
      </ns0:c>
      <ns0:c r="P1623" t="n">
        <ns0:v>5</ns0:v>
      </ns0:c>
      <ns0:c r="Q1623">
        <ns0:f>IF(AND(L1623=1,O1623*Calculations!$B$2&lt;=Calculations!$B$10*Calculations!$B$4),1,0)</ns0:f>
        <ns0:v>0</ns0:v>
      </ns0:c>
      <ns0:c r="R1623">
        <ns0:f>IF(AND(L1623=1,O1623*Calculations!$B$2&lt;=Calculations!$B$11*Calculations!$B$4),1,0)</ns0:f>
        <ns0:v>0</ns0:v>
      </ns0:c>
    </ns0:row>
    <ns0:row r="1624">
      <ns0:c r="A1624" t="inlineStr">
        <ns0:is>
          <ns0:t>case_1623</ns0:t>
        </ns0:is>
      </ns0:c>
      <ns0:c r="B1624" t="inlineStr">
        <ns0:is>
          <ns0:t>function_0477</ns0:t>
        </ns0:is>
      </ns0:c>
      <ns0:c r="C1624" t="inlineStr">
        <ns0:is>
          <ns0:t>run_013</ns0:t>
        </ns0:is>
      </ns0:c>
      <ns0:c r="D1624" t="inlineStr">
        <ns0:is>
          <ns0:t>rand</ns0:t>
        </ns0:is>
      </ns0:c>
      <ns0:c r="E1624" t="inlineStr">
        <ns0:is>
          <ns0:t>gemini-2.5-flash-nothinking</ns0:t>
        </ns0:is>
      </ns0:c>
      <ns0:c r="F1624" t="inlineStr">
        <ns0:is>
          <ns0:t>E0277,E0432,E0599,E0608</ns0:t>
        </ns0:is>
      </ns0:c>
      <ns0:c r="G1624" t="n">
        <ns0:v>0</ns0:v>
      </ns0:c>
      <ns0:c r="H1624" t="n">
        <ns0:v>10880</ns0:v>
      </ns0:c>
      <ns0:c r="I1624" t="n">
        <ns0:v>2234</ns0:v>
      </ns0:c>
      <ns0:c r="J1624" t="n">
        <ns0:v>13114</ns0:v>
      </ns0:c>
      <ns0:c r="K1624" t="n">
        <ns0:v>9</ns0:v>
      </ns0:c>
      <ns0:c r="L1624" t="n">
        <ns0:v>0</ns0:v>
      </ns0:c>
      <ns0:c r="M1624" t="n">
        <ns0:v>263293</ns0:v>
      </ns0:c>
      <ns0:c r="N1624" t="n">
        <ns0:v>2941</ns0:v>
      </ns0:c>
      <ns0:c r="O1624" t="n">
        <ns0:v>266234</ns0:v>
      </ns0:c>
      <ns0:c r="P1624" t="n">
        <ns0:v>20</ns0:v>
      </ns0:c>
      <ns0:c r="Q1624">
        <ns0:f>IF(AND(L1624=1,O1624*Calculations!$B$2&lt;=Calculations!$B$10*Calculations!$B$4),1,0)</ns0:f>
        <ns0:v>0</ns0:v>
      </ns0:c>
      <ns0:c r="R1624">
        <ns0:f>IF(AND(L1624=1,O1624*Calculations!$B$2&lt;=Calculations!$B$11*Calculations!$B$4),1,0)</ns0:f>
        <ns0:v>0</ns0:v>
      </ns0:c>
    </ns0:row>
    <ns0:row r="1625">
      <ns0:c r="A1625" t="inlineStr">
        <ns0:is>
          <ns0:t>case_1624</ns0:t>
        </ns0:is>
      </ns0:c>
      <ns0:c r="B1625" t="inlineStr">
        <ns0:is>
          <ns0:t>function_0477</ns0:t>
        </ns0:is>
      </ns0:c>
      <ns0:c r="C1625" t="inlineStr">
        <ns0:is>
          <ns0:t>run_013</ns0:t>
        </ns0:is>
      </ns0:c>
      <ns0:c r="D1625" t="inlineStr">
        <ns0:is>
          <ns0:t>rand</ns0:t>
        </ns0:is>
      </ns0:c>
      <ns0:c r="E1625" t="inlineStr">
        <ns0:is>
          <ns0:t>gemini-2.5-flash-nothinking</ns0:t>
        </ns0:is>
      </ns0:c>
      <ns0:c r="F1625" t="inlineStr">
        <ns0:is>
          <ns0:t>E0432,E0433</ns0:t>
        </ns0:is>
      </ns0:c>
      <ns0:c r="G1625" t="n">
        <ns0:v>0</ns0:v>
      </ns0:c>
      <ns0:c r="H1625" t="n">
        <ns0:v>16472</ns0:v>
      </ns0:c>
      <ns0:c r="I1625" t="n">
        <ns0:v>2027</ns0:v>
      </ns0:c>
      <ns0:c r="J1625" t="n">
        <ns0:v>18499</ns0:v>
      </ns0:c>
      <ns0:c r="K1625" t="n">
        <ns0:v>9</ns0:v>
      </ns0:c>
      <ns0:c r="L1625" t="n">
        <ns0:v>0</ns0:v>
      </ns0:c>
      <ns0:c r="M1625" t="n">
        <ns0:v>222473</ns0:v>
      </ns0:c>
      <ns0:c r="N1625" t="n">
        <ns0:v>2387</ns0:v>
      </ns0:c>
      <ns0:c r="O1625" t="n">
        <ns0:v>224860</ns0:v>
      </ns0:c>
      <ns0:c r="P1625" t="n">
        <ns0:v>20</ns0:v>
      </ns0:c>
      <ns0:c r="Q1625">
        <ns0:f>IF(AND(L1625=1,O1625*Calculations!$B$2&lt;=Calculations!$B$10*Calculations!$B$4),1,0)</ns0:f>
        <ns0:v>0</ns0:v>
      </ns0:c>
      <ns0:c r="R1625">
        <ns0:f>IF(AND(L1625=1,O1625*Calculations!$B$2&lt;=Calculations!$B$11*Calculations!$B$4),1,0)</ns0:f>
        <ns0:v>0</ns0:v>
      </ns0:c>
    </ns0:row>
    <ns0:row r="1626">
      <ns0:c r="A1626" t="inlineStr">
        <ns0:is>
          <ns0:t>case_1625</ns0:t>
        </ns0:is>
      </ns0:c>
      <ns0:c r="B1626" t="inlineStr">
        <ns0:is>
          <ns0:t>function_0478</ns0:t>
        </ns0:is>
      </ns0:c>
      <ns0:c r="C1626" t="inlineStr">
        <ns0:is>
          <ns0:t>run_013</ns0:t>
        </ns0:is>
      </ns0:c>
      <ns0:c r="D1626" t="inlineStr">
        <ns0:is>
          <ns0:t>rand</ns0:t>
        </ns0:is>
      </ns0:c>
      <ns0:c r="E1626" t="inlineStr">
        <ns0:is>
          <ns0:t>gemini-2.5-flash-nothinking</ns0:t>
        </ns0:is>
      </ns0:c>
      <ns0:c r="F1626" t="inlineStr">
        <ns0:is>
          <ns0:t>E0277,E0308,E0432</ns0:t>
        </ns0:is>
      </ns0:c>
      <ns0:c r="G1626" t="n">
        <ns0:v>0</ns0:v>
      </ns0:c>
      <ns0:c r="H1626" t="n">
        <ns0:v>4181</ns0:v>
      </ns0:c>
      <ns0:c r="I1626" t="n">
        <ns0:v>732</ns0:v>
      </ns0:c>
      <ns0:c r="J1626" t="n">
        <ns0:v>4913</ns0:v>
      </ns0:c>
      <ns0:c r="K1626" t="n">
        <ns0:v>4</ns0:v>
      </ns0:c>
      <ns0:c r="L1626" t="n">
        <ns0:v>1</ns0:v>
      </ns0:c>
      <ns0:c r="M1626" t="n">
        <ns0:v>33744</ns0:v>
      </ns0:c>
      <ns0:c r="N1626" t="n">
        <ns0:v>1051</ns0:v>
      </ns0:c>
      <ns0:c r="O1626" t="n">
        <ns0:v>34795</ns0:v>
      </ns0:c>
      <ns0:c r="P1626" t="n">
        <ns0:v>4</ns0:v>
      </ns0:c>
      <ns0:c r="Q1626">
        <ns0:f>IF(AND(L1626=1,O1626*Calculations!$B$2&lt;=Calculations!$B$10*Calculations!$B$4),1,0)</ns0:f>
        <ns0:v>0</ns0:v>
      </ns0:c>
      <ns0:c r="R1626">
        <ns0:f>IF(AND(L1626=1,O1626*Calculations!$B$2&lt;=Calculations!$B$11*Calculations!$B$4),1,0)</ns0:f>
        <ns0:v>1</ns0:v>
      </ns0:c>
    </ns0:row>
    <ns0:row r="1627">
      <ns0:c r="A1627" t="inlineStr">
        <ns0:is>
          <ns0:t>case_1626</ns0:t>
        </ns0:is>
      </ns0:c>
      <ns0:c r="B1627" t="inlineStr">
        <ns0:is>
          <ns0:t>function_0478</ns0:t>
        </ns0:is>
      </ns0:c>
      <ns0:c r="C1627" t="inlineStr">
        <ns0:is>
          <ns0:t>run_013</ns0:t>
        </ns0:is>
      </ns0:c>
      <ns0:c r="D1627" t="inlineStr">
        <ns0:is>
          <ns0:t>rand</ns0:t>
        </ns0:is>
      </ns0:c>
      <ns0:c r="E1627" t="inlineStr">
        <ns0:is>
          <ns0:t>gemini-2.5-flash-nothinking</ns0:t>
        </ns0:is>
      </ns0:c>
      <ns0:c r="F1627" t="inlineStr">
        <ns0:is>
          <ns0:t>E0432,E0433</ns0:t>
        </ns0:is>
      </ns0:c>
      <ns0:c r="G1627" t="n">
        <ns0:v>0</ns0:v>
      </ns0:c>
      <ns0:c r="H1627" t="n">
        <ns0:v>5953</ns0:v>
      </ns0:c>
      <ns0:c r="I1627" t="n">
        <ns0:v>558</ns0:v>
      </ns0:c>
      <ns0:c r="J1627" t="n">
        <ns0:v>6511</ns0:v>
      </ns0:c>
      <ns0:c r="K1627" t="n">
        <ns0:v>3</ns0:v>
      </ns0:c>
      <ns0:c r="L1627" t="n">
        <ns0:v>1</ns0:v>
      </ns0:c>
      <ns0:c r="M1627" t="n">
        <ns0:v>189849</ns0:v>
      </ns0:c>
      <ns0:c r="N1627" t="n">
        <ns0:v>3776</ns0:v>
      </ns0:c>
      <ns0:c r="O1627" t="n">
        <ns0:v>193625</ns0:v>
      </ns0:c>
      <ns0:c r="P1627" t="n">
        <ns0:v>17</ns0:v>
      </ns0:c>
      <ns0:c r="Q1627">
        <ns0:f>IF(AND(L1627=1,O1627*Calculations!$B$2&lt;=Calculations!$B$10*Calculations!$B$4),1,0)</ns0:f>
        <ns0:v>0</ns0:v>
      </ns0:c>
      <ns0:c r="R1627">
        <ns0:f>IF(AND(L1627=1,O1627*Calculations!$B$2&lt;=Calculations!$B$11*Calculations!$B$4),1,0)</ns0:f>
        <ns0:v>0</ns0:v>
      </ns0:c>
    </ns0:row>
    <ns0:row r="1628">
      <ns0:c r="A1628" t="inlineStr">
        <ns0:is>
          <ns0:t>case_1627</ns0:t>
        </ns0:is>
      </ns0:c>
      <ns0:c r="B1628" t="inlineStr">
        <ns0:is>
          <ns0:t>function_0479</ns0:t>
        </ns0:is>
      </ns0:c>
      <ns0:c r="C1628" t="inlineStr">
        <ns0:is>
          <ns0:t>run_013</ns0:t>
        </ns0:is>
      </ns0:c>
      <ns0:c r="D1628" t="inlineStr">
        <ns0:is>
          <ns0:t>rand</ns0:t>
        </ns0:is>
      </ns0:c>
      <ns0:c r="E1628" t="inlineStr">
        <ns0:is>
          <ns0:t>gemini-2.5-flash-nothinking</ns0:t>
        </ns0:is>
      </ns0:c>
      <ns0:c r="F1628" t="inlineStr">
        <ns0:is>
          <ns0:t>E0277,E0432,E0433</ns0:t>
        </ns0:is>
      </ns0:c>
      <ns0:c r="G1628" t="n">
        <ns0:v>0</ns0:v>
      </ns0:c>
      <ns0:c r="H1628" t="n">
        <ns0:v>3820</ns0:v>
      </ns0:c>
      <ns0:c r="I1628" t="n">
        <ns0:v>309</ns0:v>
      </ns0:c>
      <ns0:c r="J1628" t="n">
        <ns0:v>4129</ns0:v>
      </ns0:c>
      <ns0:c r="K1628" t="n">
        <ns0:v>3</ns0:v>
      </ns0:c>
      <ns0:c r="L1628" t="n">
        <ns0:v>0</ns0:v>
      </ns0:c>
      <ns0:c r="M1628" t="n">
        <ns0:v>287606</ns0:v>
      </ns0:c>
      <ns0:c r="N1628" t="n">
        <ns0:v>10113</ns0:v>
      </ns0:c>
      <ns0:c r="O1628" t="n">
        <ns0:v>297719</ns0:v>
      </ns0:c>
      <ns0:c r="P1628" t="n">
        <ns0:v>20</ns0:v>
      </ns0:c>
      <ns0:c r="Q1628">
        <ns0:f>IF(AND(L1628=1,O1628*Calculations!$B$2&lt;=Calculations!$B$10*Calculations!$B$4),1,0)</ns0:f>
        <ns0:v>0</ns0:v>
      </ns0:c>
      <ns0:c r="R1628">
        <ns0:f>IF(AND(L1628=1,O1628*Calculations!$B$2&lt;=Calculations!$B$11*Calculations!$B$4),1,0)</ns0:f>
        <ns0:v>0</ns0:v>
      </ns0:c>
    </ns0:row>
    <ns0:row r="1629">
      <ns0:c r="A1629" t="inlineStr">
        <ns0:is>
          <ns0:t>case_1628</ns0:t>
        </ns0:is>
      </ns0:c>
      <ns0:c r="B1629" t="inlineStr">
        <ns0:is>
          <ns0:t>function_0479</ns0:t>
        </ns0:is>
      </ns0:c>
      <ns0:c r="C1629" t="inlineStr">
        <ns0:is>
          <ns0:t>run_013</ns0:t>
        </ns0:is>
      </ns0:c>
      <ns0:c r="D1629" t="inlineStr">
        <ns0:is>
          <ns0:t>rand</ns0:t>
        </ns0:is>
      </ns0:c>
      <ns0:c r="E1629" t="inlineStr">
        <ns0:is>
          <ns0:t>gemini-2.5-flash-nothinking</ns0:t>
        </ns0:is>
      </ns0:c>
      <ns0:c r="F1629" t="inlineStr">
        <ns0:is>
          <ns0:t>E0433</ns0:t>
        </ns0:is>
      </ns0:c>
      <ns0:c r="G1629" t="n">
        <ns0:v>0</ns0:v>
      </ns0:c>
      <ns0:c r="H1629" t="n">
        <ns0:v>5030</ns0:v>
      </ns0:c>
      <ns0:c r="I1629" t="n">
        <ns0:v>351</ns0:v>
      </ns0:c>
      <ns0:c r="J1629" t="n">
        <ns0:v>5381</ns0:v>
      </ns0:c>
      <ns0:c r="K1629" t="n">
        <ns0:v>3</ns0:v>
      </ns0:c>
      <ns0:c r="L1629" t="n">
        <ns0:v>1</ns0:v>
      </ns0:c>
      <ns0:c r="M1629" t="n">
        <ns0:v>95580</ns0:v>
      </ns0:c>
      <ns0:c r="N1629" t="n">
        <ns0:v>1786</ns0:v>
      </ns0:c>
      <ns0:c r="O1629" t="n">
        <ns0:v>97366</ns0:v>
      </ns0:c>
      <ns0:c r="P1629" t="n">
        <ns0:v>6</ns0:v>
      </ns0:c>
      <ns0:c r="Q1629">
        <ns0:f>IF(AND(L1629=1,O1629*Calculations!$B$2&lt;=Calculations!$B$10*Calculations!$B$4),1,0)</ns0:f>
        <ns0:v>0</ns0:v>
      </ns0:c>
      <ns0:c r="R1629">
        <ns0:f>IF(AND(L1629=1,O1629*Calculations!$B$2&lt;=Calculations!$B$11*Calculations!$B$4),1,0)</ns0:f>
        <ns0:v>0</ns0:v>
      </ns0:c>
    </ns0:row>
    <ns0:row r="1630">
      <ns0:c r="A1630" t="inlineStr">
        <ns0:is>
          <ns0:t>case_1629</ns0:t>
        </ns0:is>
      </ns0:c>
      <ns0:c r="B1630" t="inlineStr">
        <ns0:is>
          <ns0:t>function_0480</ns0:t>
        </ns0:is>
      </ns0:c>
      <ns0:c r="C1630" t="inlineStr">
        <ns0:is>
          <ns0:t>run_013</ns0:t>
        </ns0:is>
      </ns0:c>
      <ns0:c r="D1630" t="inlineStr">
        <ns0:is>
          <ns0:t>rand</ns0:t>
        </ns0:is>
      </ns0:c>
      <ns0:c r="E1630" t="inlineStr">
        <ns0:is>
          <ns0:t>gemini-2.5-flash-nothinking</ns0:t>
        </ns0:is>
      </ns0:c>
      <ns0:c r="F1630" t="inlineStr">
        <ns0:is>
          <ns0:t>E0308</ns0:t>
        </ns0:is>
      </ns0:c>
      <ns0:c r="G1630" t="n">
        <ns0:v>1</ns0:v>
      </ns0:c>
      <ns0:c r="H1630" t="n">
        <ns0:v>790</ns0:v>
      </ns0:c>
      <ns0:c r="I1630" t="n">
        <ns0:v>126</ns0:v>
      </ns0:c>
      <ns0:c r="J1630" t="n">
        <ns0:v>916</ns0:v>
      </ns0:c>
      <ns0:c r="K1630" t="n">
        <ns0:v>1</ns0:v>
      </ns0:c>
      <ns0:c r="L1630" t="n">
        <ns0:v>1</ns0:v>
      </ns0:c>
      <ns0:c r="M1630" t="n">
        <ns0:v>20872</ns0:v>
      </ns0:c>
      <ns0:c r="N1630" t="n">
        <ns0:v>225</ns0:v>
      </ns0:c>
      <ns0:c r="O1630" t="n">
        <ns0:v>21097</ns0:v>
      </ns0:c>
      <ns0:c r="P1630" t="n">
        <ns0:v>3</ns0:v>
      </ns0:c>
      <ns0:c r="Q1630">
        <ns0:f>IF(AND(L1630=1,O1630*Calculations!$B$2&lt;=Calculations!$B$10*Calculations!$B$4),1,0)</ns0:f>
        <ns0:v>1</ns0:v>
      </ns0:c>
      <ns0:c r="R1630">
        <ns0:f>IF(AND(L1630=1,O1630*Calculations!$B$2&lt;=Calculations!$B$11*Calculations!$B$4),1,0)</ns0:f>
        <ns0:v>1</ns0:v>
      </ns0:c>
    </ns0:row>
    <ns0:row r="1631">
      <ns0:c r="A1631" t="inlineStr">
        <ns0:is>
          <ns0:t>case_1630</ns0:t>
        </ns0:is>
      </ns0:c>
      <ns0:c r="B1631" t="inlineStr">
        <ns0:is>
          <ns0:t>function_0480</ns0:t>
        </ns0:is>
      </ns0:c>
      <ns0:c r="C1631" t="inlineStr">
        <ns0:is>
          <ns0:t>run_013</ns0:t>
        </ns0:is>
      </ns0:c>
      <ns0:c r="D1631" t="inlineStr">
        <ns0:is>
          <ns0:t>rand</ns0:t>
        </ns0:is>
      </ns0:c>
      <ns0:c r="E1631" t="inlineStr">
        <ns0:is>
          <ns0:t>gemini-2.5-flash-nothinking</ns0:t>
        </ns0:is>
      </ns0:c>
      <ns0:c r="F1631" t="inlineStr">
        <ns0:is>
          <ns0:t>E0433</ns0:t>
        </ns0:is>
      </ns0:c>
      <ns0:c r="G1631" t="n">
        <ns0:v>1</ns0:v>
      </ns0:c>
      <ns0:c r="H1631" t="n">
        <ns0:v>0</ns0:v>
      </ns0:c>
      <ns0:c r="I1631" t="n">
        <ns0:v>0</ns0:v>
      </ns0:c>
      <ns0:c r="J1631" t="n">
        <ns0:v>0</ns0:v>
      </ns0:c>
      <ns0:c r="K1631" t="n">
        <ns0:v>0</ns0:v>
      </ns0:c>
      <ns0:c r="L1631" t="n">
        <ns0:v>1</ns0:v>
      </ns0:c>
      <ns0:c r="M1631" t="n">
        <ns0:v>30937</ns0:v>
      </ns0:c>
      <ns0:c r="N1631" t="n">
        <ns0:v>635</ns0:v>
      </ns0:c>
      <ns0:c r="O1631" t="n">
        <ns0:v>31572</ns0:v>
      </ns0:c>
      <ns0:c r="P1631" t="n">
        <ns0:v>4</ns0:v>
      </ns0:c>
      <ns0:c r="Q1631">
        <ns0:f>IF(AND(L1631=1,O1631*Calculations!$B$2&lt;=Calculations!$B$10*Calculations!$B$4),1,0)</ns0:f>
        <ns0:v>0</ns0:v>
      </ns0:c>
      <ns0:c r="R1631">
        <ns0:f>IF(AND(L1631=1,O1631*Calculations!$B$2&lt;=Calculations!$B$11*Calculations!$B$4),1,0)</ns0:f>
        <ns0:v>1</ns0:v>
      </ns0:c>
    </ns0:row>
    <ns0:row r="1632">
      <ns0:c r="A1632" t="inlineStr">
        <ns0:is>
          <ns0:t>case_1631</ns0:t>
        </ns0:is>
      </ns0:c>
      <ns0:c r="B1632" t="inlineStr">
        <ns0:is>
          <ns0:t>function_0481</ns0:t>
        </ns0:is>
      </ns0:c>
      <ns0:c r="C1632" t="inlineStr">
        <ns0:is>
          <ns0:t>run_014</ns0:t>
        </ns0:is>
      </ns0:c>
      <ns0:c r="D1632" t="inlineStr">
        <ns0:is>
          <ns0:t>rust-crc32fast</ns0:t>
        </ns0:is>
      </ns0:c>
      <ns0:c r="E1632" t="inlineStr">
        <ns0:is>
          <ns0:t>gemini-2.5-flash-nothinking</ns0:t>
        </ns0:is>
      </ns0:c>
      <ns0:c r="F1632" t="inlineStr">
        <ns0:is>
          <ns0:t>E0433</ns0:t>
        </ns0:is>
      </ns0:c>
      <ns0:c r="G1632" t="n">
        <ns0:v>1</ns0:v>
      </ns0:c>
      <ns0:c r="H1632" t="n">
        <ns0:v>0</ns0:v>
      </ns0:c>
      <ns0:c r="I1632" t="n">
        <ns0:v>0</ns0:v>
      </ns0:c>
      <ns0:c r="J1632" t="n">
        <ns0:v>0</ns0:v>
      </ns0:c>
      <ns0:c r="K1632" t="n">
        <ns0:v>0</ns0:v>
      </ns0:c>
      <ns0:c r="L1632" t="n">
        <ns0:v>1</ns0:v>
      </ns0:c>
      <ns0:c r="M1632" t="n">
        <ns0:v>28779</ns0:v>
      </ns0:c>
      <ns0:c r="N1632" t="n">
        <ns0:v>295</ns0:v>
      </ns0:c>
      <ns0:c r="O1632" t="n">
        <ns0:v>29074</ns0:v>
      </ns0:c>
      <ns0:c r="P1632" t="n">
        <ns0:v>4</ns0:v>
      </ns0:c>
      <ns0:c r="Q1632">
        <ns0:f>IF(AND(L1632=1,O1632*Calculations!$B$2&lt;=Calculations!$B$10*Calculations!$B$4),1,0)</ns0:f>
        <ns0:v>0</ns0:v>
      </ns0:c>
      <ns0:c r="R1632">
        <ns0:f>IF(AND(L1632=1,O1632*Calculations!$B$2&lt;=Calculations!$B$11*Calculations!$B$4),1,0)</ns0:f>
        <ns0:v>1</ns0:v>
      </ns0:c>
    </ns0:row>
    <ns0:row r="1633">
      <ns0:c r="A1633" t="inlineStr">
        <ns0:is>
          <ns0:t>case_1632</ns0:t>
        </ns0:is>
      </ns0:c>
      <ns0:c r="B1633" t="inlineStr">
        <ns0:is>
          <ns0:t>function_0482</ns0:t>
        </ns0:is>
      </ns0:c>
      <ns0:c r="C1633" t="inlineStr">
        <ns0:is>
          <ns0:t>run_014</ns0:t>
        </ns0:is>
      </ns0:c>
      <ns0:c r="D1633" t="inlineStr">
        <ns0:is>
          <ns0:t>rust-crc32fast</ns0:t>
        </ns0:is>
      </ns0:c>
      <ns0:c r="E1633" t="inlineStr">
        <ns0:is>
          <ns0:t>gemini-2.5-flash-nothinking</ns0:t>
        </ns0:is>
      </ns0:c>
      <ns0:c r="F1633" t="inlineStr">
        <ns0:is>
          <ns0:t>E0433</ns0:t>
        </ns0:is>
      </ns0:c>
      <ns0:c r="G1633" t="n">
        <ns0:v>1</ns0:v>
      </ns0:c>
      <ns0:c r="H1633" t="n">
        <ns0:v>0</ns0:v>
      </ns0:c>
      <ns0:c r="I1633" t="n">
        <ns0:v>0</ns0:v>
      </ns0:c>
      <ns0:c r="J1633" t="n">
        <ns0:v>0</ns0:v>
      </ns0:c>
      <ns0:c r="K1633" t="n">
        <ns0:v>0</ns0:v>
      </ns0:c>
      <ns0:c r="L1633" t="n">
        <ns0:v>1</ns0:v>
      </ns0:c>
      <ns0:c r="M1633" t="n">
        <ns0:v>35505</ns0:v>
      </ns0:c>
      <ns0:c r="N1633" t="n">
        <ns0:v>400</ns0:v>
      </ns0:c>
      <ns0:c r="O1633" t="n">
        <ns0:v>35905</ns0:v>
      </ns0:c>
      <ns0:c r="P1633" t="n">
        <ns0:v>5</ns0:v>
      </ns0:c>
      <ns0:c r="Q1633">
        <ns0:f>IF(AND(L1633=1,O1633*Calculations!$B$2&lt;=Calculations!$B$10*Calculations!$B$4),1,0)</ns0:f>
        <ns0:v>0</ns0:v>
      </ns0:c>
      <ns0:c r="R1633">
        <ns0:f>IF(AND(L1633=1,O1633*Calculations!$B$2&lt;=Calculations!$B$11*Calculations!$B$4),1,0)</ns0:f>
        <ns0:v>1</ns0:v>
      </ns0:c>
    </ns0:row>
    <ns0:row r="1634">
      <ns0:c r="A1634" t="inlineStr">
        <ns0:is>
          <ns0:t>case_1633</ns0:t>
        </ns0:is>
      </ns0:c>
      <ns0:c r="B1634" t="inlineStr">
        <ns0:is>
          <ns0:t>function_0483</ns0:t>
        </ns0:is>
      </ns0:c>
      <ns0:c r="C1634" t="inlineStr">
        <ns0:is>
          <ns0:t>run_014</ns0:t>
        </ns0:is>
      </ns0:c>
      <ns0:c r="D1634" t="inlineStr">
        <ns0:is>
          <ns0:t>rust-crc32fast</ns0:t>
        </ns0:is>
      </ns0:c>
      <ns0:c r="E1634" t="inlineStr">
        <ns0:is>
          <ns0:t>gemini-2.5-flash-nothinking</ns0:t>
        </ns0:is>
      </ns0:c>
      <ns0:c r="F1634" t="inlineStr">
        <ns0:is>
          <ns0:t>E0433</ns0:t>
        </ns0:is>
      </ns0:c>
      <ns0:c r="G1634" t="n">
        <ns0:v>1</ns0:v>
      </ns0:c>
      <ns0:c r="H1634" t="n">
        <ns0:v>0</ns0:v>
      </ns0:c>
      <ns0:c r="I1634" t="n">
        <ns0:v>0</ns0:v>
      </ns0:c>
      <ns0:c r="J1634" t="n">
        <ns0:v>0</ns0:v>
      </ns0:c>
      <ns0:c r="K1634" t="n">
        <ns0:v>0</ns0:v>
      </ns0:c>
      <ns0:c r="L1634" t="n">
        <ns0:v>1</ns0:v>
      </ns0:c>
      <ns0:c r="M1634" t="n">
        <ns0:v>28213</ns0:v>
      </ns0:c>
      <ns0:c r="N1634" t="n">
        <ns0:v>341</ns0:v>
      </ns0:c>
      <ns0:c r="O1634" t="n">
        <ns0:v>28554</ns0:v>
      </ns0:c>
      <ns0:c r="P1634" t="n">
        <ns0:v>4</ns0:v>
      </ns0:c>
      <ns0:c r="Q1634">
        <ns0:f>IF(AND(L1634=1,O1634*Calculations!$B$2&lt;=Calculations!$B$10*Calculations!$B$4),1,0)</ns0:f>
        <ns0:v>0</ns0:v>
      </ns0:c>
      <ns0:c r="R1634">
        <ns0:f>IF(AND(L1634=1,O1634*Calculations!$B$2&lt;=Calculations!$B$11*Calculations!$B$4),1,0)</ns0:f>
        <ns0:v>1</ns0:v>
      </ns0:c>
    </ns0:row>
    <ns0:row r="1635">
      <ns0:c r="A1635" t="inlineStr">
        <ns0:is>
          <ns0:t>case_1634</ns0:t>
        </ns0:is>
      </ns0:c>
      <ns0:c r="B1635" t="inlineStr">
        <ns0:is>
          <ns0:t>function_0484</ns0:t>
        </ns0:is>
      </ns0:c>
      <ns0:c r="C1635" t="inlineStr">
        <ns0:is>
          <ns0:t>run_014</ns0:t>
        </ns0:is>
      </ns0:c>
      <ns0:c r="D1635" t="inlineStr">
        <ns0:is>
          <ns0:t>rust-crc32fast</ns0:t>
        </ns0:is>
      </ns0:c>
      <ns0:c r="E1635" t="inlineStr">
        <ns0:is>
          <ns0:t>gemini-2.5-flash-nothinking</ns0:t>
        </ns0:is>
      </ns0:c>
      <ns0:c r="F1635" t="inlineStr">
        <ns0:is>
          <ns0:t>E0433</ns0:t>
        </ns0:is>
      </ns0:c>
      <ns0:c r="G1635" t="n">
        <ns0:v>1</ns0:v>
      </ns0:c>
      <ns0:c r="H1635" t="n">
        <ns0:v>0</ns0:v>
      </ns0:c>
      <ns0:c r="I1635" t="n">
        <ns0:v>0</ns0:v>
      </ns0:c>
      <ns0:c r="J1635" t="n">
        <ns0:v>0</ns0:v>
      </ns0:c>
      <ns0:c r="K1635" t="n">
        <ns0:v>0</ns0:v>
      </ns0:c>
      <ns0:c r="L1635" t="n">
        <ns0:v>1</ns0:v>
      </ns0:c>
      <ns0:c r="M1635" t="n">
        <ns0:v>20379</ns0:v>
      </ns0:c>
      <ns0:c r="N1635" t="n">
        <ns0:v>416</ns0:v>
      </ns0:c>
      <ns0:c r="O1635" t="n">
        <ns0:v>20795</ns0:v>
      </ns0:c>
      <ns0:c r="P1635" t="n">
        <ns0:v>3</ns0:v>
      </ns0:c>
      <ns0:c r="Q1635">
        <ns0:f>IF(AND(L1635=1,O1635*Calculations!$B$2&lt;=Calculations!$B$10*Calculations!$B$4),1,0)</ns0:f>
        <ns0:v>1</ns0:v>
      </ns0:c>
      <ns0:c r="R1635">
        <ns0:f>IF(AND(L1635=1,O1635*Calculations!$B$2&lt;=Calculations!$B$11*Calculations!$B$4),1,0)</ns0:f>
        <ns0:v>1</ns0:v>
      </ns0:c>
    </ns0:row>
    <ns0:row r="1636">
      <ns0:c r="A1636" t="inlineStr">
        <ns0:is>
          <ns0:t>case_1635</ns0:t>
        </ns0:is>
      </ns0:c>
      <ns0:c r="B1636" t="inlineStr">
        <ns0:is>
          <ns0:t>function_0485</ns0:t>
        </ns0:is>
      </ns0:c>
      <ns0:c r="C1636" t="inlineStr">
        <ns0:is>
          <ns0:t>run_014</ns0:t>
        </ns0:is>
      </ns0:c>
      <ns0:c r="D1636" t="inlineStr">
        <ns0:is>
          <ns0:t>rust-crc32fast</ns0:t>
        </ns0:is>
      </ns0:c>
      <ns0:c r="E1636" t="inlineStr">
        <ns0:is>
          <ns0:t>gemini-2.5-flash-nothinking</ns0:t>
        </ns0:is>
      </ns0:c>
      <ns0:c r="F1636" t="inlineStr">
        <ns0:is>
          <ns0:t>E0433</ns0:t>
        </ns0:is>
      </ns0:c>
      <ns0:c r="G1636" t="n">
        <ns0:v>1</ns0:v>
      </ns0:c>
      <ns0:c r="H1636" t="n">
        <ns0:v>0</ns0:v>
      </ns0:c>
      <ns0:c r="I1636" t="n">
        <ns0:v>0</ns0:v>
      </ns0:c>
      <ns0:c r="J1636" t="n">
        <ns0:v>0</ns0:v>
      </ns0:c>
      <ns0:c r="K1636" t="n">
        <ns0:v>0</ns0:v>
      </ns0:c>
      <ns0:c r="L1636" t="n">
        <ns0:v>1</ns0:v>
      </ns0:c>
      <ns0:c r="M1636" t="n">
        <ns0:v>45308</ns0:v>
      </ns0:c>
      <ns0:c r="N1636" t="n">
        <ns0:v>347</ns0:v>
      </ns0:c>
      <ns0:c r="O1636" t="n">
        <ns0:v>45655</ns0:v>
      </ns0:c>
      <ns0:c r="P1636" t="n">
        <ns0:v>6</ns0:v>
      </ns0:c>
      <ns0:c r="Q1636">
        <ns0:f>IF(AND(L1636=1,O1636*Calculations!$B$2&lt;=Calculations!$B$10*Calculations!$B$4),1,0)</ns0:f>
        <ns0:v>0</ns0:v>
      </ns0:c>
      <ns0:c r="R1636">
        <ns0:f>IF(AND(L1636=1,O1636*Calculations!$B$2&lt;=Calculations!$B$11*Calculations!$B$4),1,0)</ns0:f>
        <ns0:v>1</ns0:v>
      </ns0:c>
    </ns0:row>
    <ns0:row r="1637">
      <ns0:c r="A1637" t="inlineStr">
        <ns0:is>
          <ns0:t>case_1636</ns0:t>
        </ns0:is>
      </ns0:c>
      <ns0:c r="B1637" t="inlineStr">
        <ns0:is>
          <ns0:t>function_0486</ns0:t>
        </ns0:is>
      </ns0:c>
      <ns0:c r="C1637" t="inlineStr">
        <ns0:is>
          <ns0:t>run_014</ns0:t>
        </ns0:is>
      </ns0:c>
      <ns0:c r="D1637" t="inlineStr">
        <ns0:is>
          <ns0:t>rust-crc32fast</ns0:t>
        </ns0:is>
      </ns0:c>
      <ns0:c r="E1637" t="inlineStr">
        <ns0:is>
          <ns0:t>gemini-2.5-flash-nothinking</ns0:t>
        </ns0:is>
      </ns0:c>
      <ns0:c r="F1637" t="inlineStr">
        <ns0:is>
          <ns0:t>E0433</ns0:t>
        </ns0:is>
      </ns0:c>
      <ns0:c r="G1637" t="n">
        <ns0:v>1</ns0:v>
      </ns0:c>
      <ns0:c r="H1637" t="n">
        <ns0:v>0</ns0:v>
      </ns0:c>
      <ns0:c r="I1637" t="n">
        <ns0:v>0</ns0:v>
      </ns0:c>
      <ns0:c r="J1637" t="n">
        <ns0:v>0</ns0:v>
      </ns0:c>
      <ns0:c r="K1637" t="n">
        <ns0:v>0</ns0:v>
      </ns0:c>
      <ns0:c r="L1637" t="n">
        <ns0:v>1</ns0:v>
      </ns0:c>
      <ns0:c r="M1637" t="n">
        <ns0:v>37468</ns0:v>
      </ns0:c>
      <ns0:c r="N1637" t="n">
        <ns0:v>504</ns0:v>
      </ns0:c>
      <ns0:c r="O1637" t="n">
        <ns0:v>37972</ns0:v>
      </ns0:c>
      <ns0:c r="P1637" t="n">
        <ns0:v>5</ns0:v>
      </ns0:c>
      <ns0:c r="Q1637">
        <ns0:f>IF(AND(L1637=1,O1637*Calculations!$B$2&lt;=Calculations!$B$10*Calculations!$B$4),1,0)</ns0:f>
        <ns0:v>0</ns0:v>
      </ns0:c>
      <ns0:c r="R1637">
        <ns0:f>IF(AND(L1637=1,O1637*Calculations!$B$2&lt;=Calculations!$B$11*Calculations!$B$4),1,0)</ns0:f>
        <ns0:v>1</ns0:v>
      </ns0:c>
    </ns0:row>
    <ns0:row r="1638">
      <ns0:c r="A1638" t="inlineStr">
        <ns0:is>
          <ns0:t>case_1637</ns0:t>
        </ns0:is>
      </ns0:c>
      <ns0:c r="B1638" t="inlineStr">
        <ns0:is>
          <ns0:t>function_0486</ns0:t>
        </ns0:is>
      </ns0:c>
      <ns0:c r="C1638" t="inlineStr">
        <ns0:is>
          <ns0:t>run_014</ns0:t>
        </ns0:is>
      </ns0:c>
      <ns0:c r="D1638" t="inlineStr">
        <ns0:is>
          <ns0:t>rust-crc32fast</ns0:t>
        </ns0:is>
      </ns0:c>
      <ns0:c r="E1638" t="inlineStr">
        <ns0:is>
          <ns0:t>gemini-2.5-flash-nothinking</ns0:t>
        </ns0:is>
      </ns0:c>
      <ns0:c r="F1638" t="inlineStr">
        <ns0:is>
          <ns0:t>E0308</ns0:t>
        </ns0:is>
      </ns0:c>
      <ns0:c r="G1638" t="n">
        <ns0:v>1</ns0:v>
      </ns0:c>
      <ns0:c r="H1638" t="n">
        <ns0:v>619</ns0:v>
      </ns0:c>
      <ns0:c r="I1638" t="n">
        <ns0:v>82</ns0:v>
      </ns0:c>
      <ns0:c r="J1638" t="n">
        <ns0:v>701</ns0:v>
      </ns0:c>
      <ns0:c r="K1638" t="n">
        <ns0:v>1</ns0:v>
      </ns0:c>
      <ns0:c r="L1638" t="n">
        <ns0:v>1</ns0:v>
      </ns0:c>
      <ns0:c r="M1638" t="n">
        <ns0:v>35437</ns0:v>
      </ns0:c>
      <ns0:c r="N1638" t="n">
        <ns0:v>289</ns0:v>
      </ns0:c>
      <ns0:c r="O1638" t="n">
        <ns0:v>35726</ns0:v>
      </ns0:c>
      <ns0:c r="P1638" t="n">
        <ns0:v>4</ns0:v>
      </ns0:c>
      <ns0:c r="Q1638">
        <ns0:f>IF(AND(L1638=1,O1638*Calculations!$B$2&lt;=Calculations!$B$10*Calculations!$B$4),1,0)</ns0:f>
        <ns0:v>0</ns0:v>
      </ns0:c>
      <ns0:c r="R1638">
        <ns0:f>IF(AND(L1638=1,O1638*Calculations!$B$2&lt;=Calculations!$B$11*Calculations!$B$4),1,0)</ns0:f>
        <ns0:v>1</ns0:v>
      </ns0:c>
    </ns0:row>
    <ns0:row r="1639">
      <ns0:c r="A1639" t="inlineStr">
        <ns0:is>
          <ns0:t>case_1638</ns0:t>
        </ns0:is>
      </ns0:c>
      <ns0:c r="B1639" t="inlineStr">
        <ns0:is>
          <ns0:t>function_0486</ns0:t>
        </ns0:is>
      </ns0:c>
      <ns0:c r="C1639" t="inlineStr">
        <ns0:is>
          <ns0:t>run_014</ns0:t>
        </ns0:is>
      </ns0:c>
      <ns0:c r="D1639" t="inlineStr">
        <ns0:is>
          <ns0:t>rust-crc32fast</ns0:t>
        </ns0:is>
      </ns0:c>
      <ns0:c r="E1639" t="inlineStr">
        <ns0:is>
          <ns0:t>gemini-2.5-flash-nothinking</ns0:t>
        </ns0:is>
      </ns0:c>
      <ns0:c r="F1639" t="inlineStr">
        <ns0:is>
          <ns0:t>E0433</ns0:t>
        </ns0:is>
      </ns0:c>
      <ns0:c r="G1639" t="n">
        <ns0:v>1</ns0:v>
      </ns0:c>
      <ns0:c r="H1639" t="n">
        <ns0:v>3100</ns0:v>
      </ns0:c>
      <ns0:c r="I1639" t="n">
        <ns0:v>155</ns0:v>
      </ns0:c>
      <ns0:c r="J1639" t="n">
        <ns0:v>3255</ns0:v>
      </ns0:c>
      <ns0:c r="K1639" t="n">
        <ns0:v>2</ns0:v>
      </ns0:c>
      <ns0:c r="L1639" t="n">
        <ns0:v>1</ns0:v>
      </ns0:c>
      <ns0:c r="M1639" t="n">
        <ns0:v>58558</ns0:v>
      </ns0:c>
      <ns0:c r="N1639" t="n">
        <ns0:v>624</ns0:v>
      </ns0:c>
      <ns0:c r="O1639" t="n">
        <ns0:v>59182</ns0:v>
      </ns0:c>
      <ns0:c r="P1639" t="n">
        <ns0:v>7</ns0:v>
      </ns0:c>
      <ns0:c r="Q1639">
        <ns0:f>IF(AND(L1639=1,O1639*Calculations!$B$2&lt;=Calculations!$B$10*Calculations!$B$4),1,0)</ns0:f>
        <ns0:v>0</ns0:v>
      </ns0:c>
      <ns0:c r="R1639">
        <ns0:f>IF(AND(L1639=1,O1639*Calculations!$B$2&lt;=Calculations!$B$11*Calculations!$B$4),1,0)</ns0:f>
        <ns0:v>0</ns0:v>
      </ns0:c>
    </ns0:row>
    <ns0:row r="1640">
      <ns0:c r="A1640" t="inlineStr">
        <ns0:is>
          <ns0:t>case_1639</ns0:t>
        </ns0:is>
      </ns0:c>
      <ns0:c r="B1640" t="inlineStr">
        <ns0:is>
          <ns0:t>function_0486</ns0:t>
        </ns0:is>
      </ns0:c>
      <ns0:c r="C1640" t="inlineStr">
        <ns0:is>
          <ns0:t>run_014</ns0:t>
        </ns0:is>
      </ns0:c>
      <ns0:c r="D1640" t="inlineStr">
        <ns0:is>
          <ns0:t>rust-crc32fast</ns0:t>
        </ns0:is>
      </ns0:c>
      <ns0:c r="E1640" t="inlineStr">
        <ns0:is>
          <ns0:t>gemini-2.5-flash-nothinking</ns0:t>
        </ns0:is>
      </ns0:c>
      <ns0:c r="F1640" t="inlineStr">
        <ns0:is>
          <ns0:t>E0433</ns0:t>
        </ns0:is>
      </ns0:c>
      <ns0:c r="G1640" t="n">
        <ns0:v>1</ns0:v>
      </ns0:c>
      <ns0:c r="H1640" t="n">
        <ns0:v>0</ns0:v>
      </ns0:c>
      <ns0:c r="I1640" t="n">
        <ns0:v>0</ns0:v>
      </ns0:c>
      <ns0:c r="J1640" t="n">
        <ns0:v>0</ns0:v>
      </ns0:c>
      <ns0:c r="K1640" t="n">
        <ns0:v>0</ns0:v>
      </ns0:c>
      <ns0:c r="L1640" t="n">
        <ns0:v>1</ns0:v>
      </ns0:c>
      <ns0:c r="M1640" t="n">
        <ns0:v>20599</ns0:v>
      </ns0:c>
      <ns0:c r="N1640" t="n">
        <ns0:v>538</ns0:v>
      </ns0:c>
      <ns0:c r="O1640" t="n">
        <ns0:v>21137</ns0:v>
      </ns0:c>
      <ns0:c r="P1640" t="n">
        <ns0:v>3</ns0:v>
      </ns0:c>
      <ns0:c r="Q1640">
        <ns0:f>IF(AND(L1640=1,O1640*Calculations!$B$2&lt;=Calculations!$B$10*Calculations!$B$4),1,0)</ns0:f>
        <ns0:v>1</ns0:v>
      </ns0:c>
      <ns0:c r="R1640">
        <ns0:f>IF(AND(L1640=1,O1640*Calculations!$B$2&lt;=Calculations!$B$11*Calculations!$B$4),1,0)</ns0:f>
        <ns0:v>1</ns0:v>
      </ns0:c>
    </ns0:row>
    <ns0:row r="1641">
      <ns0:c r="A1641" t="inlineStr">
        <ns0:is>
          <ns0:t>case_1640</ns0:t>
        </ns0:is>
      </ns0:c>
      <ns0:c r="B1641" t="inlineStr">
        <ns0:is>
          <ns0:t>function_0487</ns0:t>
        </ns0:is>
      </ns0:c>
      <ns0:c r="C1641" t="inlineStr">
        <ns0:is>
          <ns0:t>run_015</ns0:t>
        </ns0:is>
      </ns0:c>
      <ns0:c r="D1641" t="inlineStr">
        <ns0:is>
          <ns0:t>rustc-demangle</ns0:t>
        </ns0:is>
      </ns0:c>
      <ns0:c r="E1641" t="inlineStr">
        <ns0:is>
          <ns0:t>gemini-2.5-flash-nothinking</ns0:t>
        </ns0:is>
      </ns0:c>
      <ns0:c r="F1641" t="inlineStr">
        <ns0:is>
          <ns0:t>E0308,E0369,E0412,E0433,E0599</ns0:t>
        </ns0:is>
      </ns0:c>
      <ns0:c r="G1641" t="n">
        <ns0:v>0</ns0:v>
      </ns0:c>
      <ns0:c r="H1641" t="n">
        <ns0:v>9323</ns0:v>
      </ns0:c>
      <ns0:c r="I1641" t="n">
        <ns0:v>4394</ns0:v>
      </ns0:c>
      <ns0:c r="J1641" t="n">
        <ns0:v>13717</ns0:v>
      </ns0:c>
      <ns0:c r="K1641" t="n">
        <ns0:v>3</ns0:v>
      </ns0:c>
      <ns0:c r="L1641" t="n">
        <ns0:v>0</ns0:v>
      </ns0:c>
      <ns0:c r="M1641" t="n">
        <ns0:v>330230</ns0:v>
      </ns0:c>
      <ns0:c r="N1641" t="n">
        <ns0:v>4928</ns0:v>
      </ns0:c>
      <ns0:c r="O1641" t="n">
        <ns0:v>335158</ns0:v>
      </ns0:c>
      <ns0:c r="P1641" t="n">
        <ns0:v>20</ns0:v>
      </ns0:c>
      <ns0:c r="Q1641">
        <ns0:f>IF(AND(L1641=1,O1641*Calculations!$B$2&lt;=Calculations!$B$10*Calculations!$B$4),1,0)</ns0:f>
        <ns0:v>0</ns0:v>
      </ns0:c>
      <ns0:c r="R1641">
        <ns0:f>IF(AND(L1641=1,O1641*Calculations!$B$2&lt;=Calculations!$B$11*Calculations!$B$4),1,0)</ns0:f>
        <ns0:v>0</ns0:v>
      </ns0:c>
    </ns0:row>
    <ns0:row r="1642">
      <ns0:c r="A1642" t="inlineStr">
        <ns0:is>
          <ns0:t>case_1641</ns0:t>
        </ns0:is>
      </ns0:c>
      <ns0:c r="B1642" t="inlineStr">
        <ns0:is>
          <ns0:t>function_0487</ns0:t>
        </ns0:is>
      </ns0:c>
      <ns0:c r="C1642" t="inlineStr">
        <ns0:is>
          <ns0:t>run_015</ns0:t>
        </ns0:is>
      </ns0:c>
      <ns0:c r="D1642" t="inlineStr">
        <ns0:is>
          <ns0:t>rustc-demangle</ns0:t>
        </ns0:is>
      </ns0:c>
      <ns0:c r="E1642" t="inlineStr">
        <ns0:is>
          <ns0:t>gemini-2.5-flash-nothinking</ns0:t>
        </ns0:is>
      </ns0:c>
      <ns0:c r="F1642" t="inlineStr">
        <ns0:is>
          <ns0:t>E0308,E0369,E0412,E0433</ns0:t>
        </ns0:is>
      </ns0:c>
      <ns0:c r="G1642" t="n">
        <ns0:v>0</ns0:v>
      </ns0:c>
      <ns0:c r="H1642" t="n">
        <ns0:v>6697</ns0:v>
      </ns0:c>
      <ns0:c r="I1642" t="n">
        <ns0:v>2517</ns0:v>
      </ns0:c>
      <ns0:c r="J1642" t="n">
        <ns0:v>9214</ns0:v>
      </ns0:c>
      <ns0:c r="K1642" t="n">
        <ns0:v>3</ns0:v>
      </ns0:c>
      <ns0:c r="L1642" t="n">
        <ns0:v>0</ns0:v>
      </ns0:c>
      <ns0:c r="M1642" t="n">
        <ns0:v>252340</ns0:v>
      </ns0:c>
      <ns0:c r="N1642" t="n">
        <ns0:v>5277</ns0:v>
      </ns0:c>
      <ns0:c r="O1642" t="n">
        <ns0:v>257617</ns0:v>
      </ns0:c>
      <ns0:c r="P1642" t="n">
        <ns0:v>18</ns0:v>
      </ns0:c>
      <ns0:c r="Q1642">
        <ns0:f>IF(AND(L1642=1,O1642*Calculations!$B$2&lt;=Calculations!$B$10*Calculations!$B$4),1,0)</ns0:f>
        <ns0:v>0</ns0:v>
      </ns0:c>
      <ns0:c r="R1642">
        <ns0:f>IF(AND(L1642=1,O1642*Calculations!$B$2&lt;=Calculations!$B$11*Calculations!$B$4),1,0)</ns0:f>
        <ns0:v>0</ns0:v>
      </ns0:c>
    </ns0:row>
    <ns0:row r="1643">
      <ns0:c r="A1643" t="inlineStr">
        <ns0:is>
          <ns0:t>case_1642</ns0:t>
        </ns0:is>
      </ns0:c>
      <ns0:c r="B1643" t="inlineStr">
        <ns0:is>
          <ns0:t>function_0488</ns0:t>
        </ns0:is>
      </ns0:c>
      <ns0:c r="C1643" t="inlineStr">
        <ns0:is>
          <ns0:t>run_015</ns0:t>
        </ns0:is>
      </ns0:c>
      <ns0:c r="D1643" t="inlineStr">
        <ns0:is>
          <ns0:t>rustc-demangle</ns0:t>
        </ns0:is>
      </ns0:c>
      <ns0:c r="E1643" t="inlineStr">
        <ns0:is>
          <ns0:t>gemini-2.5-flash-nothinking</ns0:t>
        </ns0:is>
      </ns0:c>
      <ns0:c r="F1643" t="inlineStr">
        <ns0:is>
          <ns0:t>E0560,E0599</ns0:t>
        </ns0:is>
      </ns0:c>
      <ns0:c r="G1643" t="n">
        <ns0:v>1</ns0:v>
      </ns0:c>
      <ns0:c r="H1643" t="n">
        <ns0:v>3363</ns0:v>
      </ns0:c>
      <ns0:c r="I1643" t="n">
        <ns0:v>203</ns0:v>
      </ns0:c>
      <ns0:c r="J1643" t="n">
        <ns0:v>3566</ns0:v>
      </ns0:c>
      <ns0:c r="K1643" t="n">
        <ns0:v>2</ns0:v>
      </ns0:c>
      <ns0:c r="L1643" t="n">
        <ns0:v>1</ns0:v>
      </ns0:c>
      <ns0:c r="M1643" t="n">
        <ns0:v>80269</ns0:v>
      </ns0:c>
      <ns0:c r="N1643" t="n">
        <ns0:v>1836</ns0:v>
      </ns0:c>
      <ns0:c r="O1643" t="n">
        <ns0:v>82105</ns0:v>
      </ns0:c>
      <ns0:c r="P1643" t="n">
        <ns0:v>6</ns0:v>
      </ns0:c>
      <ns0:c r="Q1643">
        <ns0:f>IF(AND(L1643=1,O1643*Calculations!$B$2&lt;=Calculations!$B$10*Calculations!$B$4),1,0)</ns0:f>
        <ns0:v>0</ns0:v>
      </ns0:c>
      <ns0:c r="R1643">
        <ns0:f>IF(AND(L1643=1,O1643*Calculations!$B$2&lt;=Calculations!$B$11*Calculations!$B$4),1,0)</ns0:f>
        <ns0:v>0</ns0:v>
      </ns0:c>
    </ns0:row>
    <ns0:row r="1644">
      <ns0:c r="A1644" t="inlineStr">
        <ns0:is>
          <ns0:t>case_1643</ns0:t>
        </ns0:is>
      </ns0:c>
      <ns0:c r="B1644" t="inlineStr">
        <ns0:is>
          <ns0:t>function_0488</ns0:t>
        </ns0:is>
      </ns0:c>
      <ns0:c r="C1644" t="inlineStr">
        <ns0:is>
          <ns0:t>run_015</ns0:t>
        </ns0:is>
      </ns0:c>
      <ns0:c r="D1644" t="inlineStr">
        <ns0:is>
          <ns0:t>rustc-demangle</ns0:t>
        </ns0:is>
      </ns0:c>
      <ns0:c r="E1644" t="inlineStr">
        <ns0:is>
          <ns0:t>gemini-2.5-flash-nothinking</ns0:t>
        </ns0:is>
      </ns0:c>
      <ns0:c r="F1644" t="inlineStr">
        <ns0:is>
          <ns0:t>E0063</ns0:t>
        </ns0:is>
      </ns0:c>
      <ns0:c r="G1644" t="n">
        <ns0:v>1</ns0:v>
      </ns0:c>
      <ns0:c r="H1644" t="n">
        <ns0:v>1454</ns0:v>
      </ns0:c>
      <ns0:c r="I1644" t="n">
        <ns0:v>87</ns0:v>
      </ns0:c>
      <ns0:c r="J1644" t="n">
        <ns0:v>1541</ns0:v>
      </ns0:c>
      <ns0:c r="K1644" t="n">
        <ns0:v>1</ns0:v>
      </ns0:c>
      <ns0:c r="L1644" t="n">
        <ns0:v>1</ns0:v>
      </ns0:c>
      <ns0:c r="M1644" t="n">
        <ns0:v>51788</ns0:v>
      </ns0:c>
      <ns0:c r="N1644" t="n">
        <ns0:v>738</ns0:v>
      </ns0:c>
      <ns0:c r="O1644" t="n">
        <ns0:v>52526</ns0:v>
      </ns0:c>
      <ns0:c r="P1644" t="n">
        <ns0:v>7</ns0:v>
      </ns0:c>
      <ns0:c r="Q1644">
        <ns0:f>IF(AND(L1644=1,O1644*Calculations!$B$2&lt;=Calculations!$B$10*Calculations!$B$4),1,0)</ns0:f>
        <ns0:v>0</ns0:v>
      </ns0:c>
      <ns0:c r="R1644">
        <ns0:f>IF(AND(L1644=1,O1644*Calculations!$B$2&lt;=Calculations!$B$11*Calculations!$B$4),1,0)</ns0:f>
        <ns0:v>0</ns0:v>
      </ns0:c>
    </ns0:row>
    <ns0:row r="1645">
      <ns0:c r="A1645" t="inlineStr">
        <ns0:is>
          <ns0:t>case_1644</ns0:t>
        </ns0:is>
      </ns0:c>
      <ns0:c r="B1645" t="inlineStr">
        <ns0:is>
          <ns0:t>function_0488</ns0:t>
        </ns0:is>
      </ns0:c>
      <ns0:c r="C1645" t="inlineStr">
        <ns0:is>
          <ns0:t>run_015</ns0:t>
        </ns0:is>
      </ns0:c>
      <ns0:c r="D1645" t="inlineStr">
        <ns0:is>
          <ns0:t>rustc-demangle</ns0:t>
        </ns0:is>
      </ns0:c>
      <ns0:c r="E1645" t="inlineStr">
        <ns0:is>
          <ns0:t>gemini-2.5-flash-nothinking</ns0:t>
        </ns0:is>
      </ns0:c>
      <ns0:c r="F1645" t="inlineStr">
        <ns0:is>
          <ns0:t>E0063</ns0:t>
        </ns0:is>
      </ns0:c>
      <ns0:c r="G1645" t="n">
        <ns0:v>1</ns0:v>
      </ns0:c>
      <ns0:c r="H1645" t="n">
        <ns0:v>1429</ns0:v>
      </ns0:c>
      <ns0:c r="I1645" t="n">
        <ns0:v>169</ns0:v>
      </ns0:c>
      <ns0:c r="J1645" t="n">
        <ns0:v>1598</ns0:v>
      </ns0:c>
      <ns0:c r="K1645" t="n">
        <ns0:v>1</ns0:v>
      </ns0:c>
      <ns0:c r="L1645" t="n">
        <ns0:v>0</ns0:v>
      </ns0:c>
      <ns0:c r="M1645" t="n">
        <ns0:v>182455</ns0:v>
      </ns0:c>
      <ns0:c r="N1645" t="n">
        <ns0:v>1914</ns0:v>
      </ns0:c>
      <ns0:c r="O1645" t="n">
        <ns0:v>184369</ns0:v>
      </ns0:c>
      <ns0:c r="P1645" t="n">
        <ns0:v>20</ns0:v>
      </ns0:c>
      <ns0:c r="Q1645">
        <ns0:f>IF(AND(L1645=1,O1645*Calculations!$B$2&lt;=Calculations!$B$10*Calculations!$B$4),1,0)</ns0:f>
        <ns0:v>0</ns0:v>
      </ns0:c>
      <ns0:c r="R1645">
        <ns0:f>IF(AND(L1645=1,O1645*Calculations!$B$2&lt;=Calculations!$B$11*Calculations!$B$4),1,0)</ns0:f>
        <ns0:v>0</ns0:v>
      </ns0:c>
    </ns0:row>
    <ns0:row r="1646">
      <ns0:c r="A1646" t="inlineStr">
        <ns0:is>
          <ns0:t>case_1645</ns0:t>
        </ns0:is>
      </ns0:c>
      <ns0:c r="B1646" t="inlineStr">
        <ns0:is>
          <ns0:t>function_0488</ns0:t>
        </ns0:is>
      </ns0:c>
      <ns0:c r="C1646" t="inlineStr">
        <ns0:is>
          <ns0:t>run_015</ns0:t>
        </ns0:is>
      </ns0:c>
      <ns0:c r="D1646" t="inlineStr">
        <ns0:is>
          <ns0:t>rustc-demangle</ns0:t>
        </ns0:is>
      </ns0:c>
      <ns0:c r="E1646" t="inlineStr">
        <ns0:is>
          <ns0:t>gemini-2.5-flash-nothinking</ns0:t>
        </ns0:is>
      </ns0:c>
      <ns0:c r="F1646" t="inlineStr">
        <ns0:is>
          <ns0:t>E0560</ns0:t>
        </ns0:is>
      </ns0:c>
      <ns0:c r="G1646" t="n">
        <ns0:v>0</ns0:v>
      </ns0:c>
      <ns0:c r="H1646" t="n">
        <ns0:v>4886</ns0:v>
      </ns0:c>
      <ns0:c r="I1646" t="n">
        <ns0:v>168</ns0:v>
      </ns0:c>
      <ns0:c r="J1646" t="n">
        <ns0:v>5054</ns0:v>
      </ns0:c>
      <ns0:c r="K1646" t="n">
        <ns0:v>3</ns0:v>
      </ns0:c>
      <ns0:c r="L1646" t="n">
        <ns0:v>1</ns0:v>
      </ns0:c>
      <ns0:c r="M1646" t="n">
        <ns0:v>77897</ns0:v>
      </ns0:c>
      <ns0:c r="N1646" t="n">
        <ns0:v>915</ns0:v>
      </ns0:c>
      <ns0:c r="O1646" t="n">
        <ns0:v>78812</ns0:v>
      </ns0:c>
      <ns0:c r="P1646" t="n">
        <ns0:v>6</ns0:v>
      </ns0:c>
      <ns0:c r="Q1646">
        <ns0:f>IF(AND(L1646=1,O1646*Calculations!$B$2&lt;=Calculations!$B$10*Calculations!$B$4),1,0)</ns0:f>
        <ns0:v>0</ns0:v>
      </ns0:c>
      <ns0:c r="R1646">
        <ns0:f>IF(AND(L1646=1,O1646*Calculations!$B$2&lt;=Calculations!$B$11*Calculations!$B$4),1,0)</ns0:f>
        <ns0:v>0</ns0:v>
      </ns0:c>
    </ns0:row>
    <ns0:row r="1647">
      <ns0:c r="A1647" t="inlineStr">
        <ns0:is>
          <ns0:t>case_1646</ns0:t>
        </ns0:is>
      </ns0:c>
      <ns0:c r="B1647" t="inlineStr">
        <ns0:is>
          <ns0:t>function_0489</ns0:t>
        </ns0:is>
      </ns0:c>
      <ns0:c r="C1647" t="inlineStr">
        <ns0:is>
          <ns0:t>run_015</ns0:t>
        </ns0:is>
      </ns0:c>
      <ns0:c r="D1647" t="inlineStr">
        <ns0:is>
          <ns0:t>rustc-demangle</ns0:t>
        </ns0:is>
      </ns0:c>
      <ns0:c r="E1647" t="inlineStr">
        <ns0:is>
          <ns0:t>gemini-2.5-flash-nothinking</ns0:t>
        </ns0:is>
      </ns0:c>
      <ns0:c r="F1647" t="inlineStr">
        <ns0:is>
          <ns0:t>E0599</ns0:t>
        </ns0:is>
      </ns0:c>
      <ns0:c r="G1647" t="n">
        <ns0:v>0</ns0:v>
      </ns0:c>
      <ns0:c r="H1647" t="n">
        <ns0:v>12993</ns0:v>
      </ns0:c>
      <ns0:c r="I1647" t="n">
        <ns0:v>1383</ns0:v>
      </ns0:c>
      <ns0:c r="J1647" t="n">
        <ns0:v>14376</ns0:v>
      </ns0:c>
      <ns0:c r="K1647" t="n">
        <ns0:v>15</ns0:v>
      </ns0:c>
      <ns0:c r="L1647" t="n">
        <ns0:v>1</ns0:v>
      </ns0:c>
      <ns0:c r="M1647" t="n">
        <ns0:v>31301</ns0:v>
      </ns0:c>
      <ns0:c r="N1647" t="n">
        <ns0:v>145</ns0:v>
      </ns0:c>
      <ns0:c r="O1647" t="n">
        <ns0:v>31446</ns0:v>
      </ns0:c>
      <ns0:c r="P1647" t="n">
        <ns0:v>3</ns0:v>
      </ns0:c>
      <ns0:c r="Q1647">
        <ns0:f>IF(AND(L1647=1,O1647*Calculations!$B$2&lt;=Calculations!$B$10*Calculations!$B$4),1,0)</ns0:f>
        <ns0:v>0</ns0:v>
      </ns0:c>
      <ns0:c r="R1647">
        <ns0:f>IF(AND(L1647=1,O1647*Calculations!$B$2&lt;=Calculations!$B$11*Calculations!$B$4),1,0)</ns0:f>
        <ns0:v>1</ns0:v>
      </ns0:c>
    </ns0:row>
    <ns0:row r="1648">
      <ns0:c r="A1648" t="inlineStr">
        <ns0:is>
          <ns0:t>case_1647</ns0:t>
        </ns0:is>
      </ns0:c>
      <ns0:c r="B1648" t="inlineStr">
        <ns0:is>
          <ns0:t>function_0489</ns0:t>
        </ns0:is>
      </ns0:c>
      <ns0:c r="C1648" t="inlineStr">
        <ns0:is>
          <ns0:t>run_015</ns0:t>
        </ns0:is>
      </ns0:c>
      <ns0:c r="D1648" t="inlineStr">
        <ns0:is>
          <ns0:t>rustc-demangle</ns0:t>
        </ns0:is>
      </ns0:c>
      <ns0:c r="E1648" t="inlineStr">
        <ns0:is>
          <ns0:t>gemini-2.5-flash-nothinking</ns0:t>
        </ns0:is>
      </ns0:c>
      <ns0:c r="F1648" t="inlineStr">
        <ns0:is>
          <ns0:t>E0433</ns0:t>
        </ns0:is>
      </ns0:c>
      <ns0:c r="G1648" t="n">
        <ns0:v>1</ns0:v>
      </ns0:c>
      <ns0:c r="H1648" t="n">
        <ns0:v>0</ns0:v>
      </ns0:c>
      <ns0:c r="I1648" t="n">
        <ns0:v>0</ns0:v>
      </ns0:c>
      <ns0:c r="J1648" t="n">
        <ns0:v>0</ns0:v>
      </ns0:c>
      <ns0:c r="K1648" t="n">
        <ns0:v>0</ns0:v>
      </ns0:c>
      <ns0:c r="L1648" t="n">
        <ns0:v>1</ns0:v>
      </ns0:c>
      <ns0:c r="M1648" t="n">
        <ns0:v>20597</ns0:v>
      </ns0:c>
      <ns0:c r="N1648" t="n">
        <ns0:v>221</ns0:v>
      </ns0:c>
      <ns0:c r="O1648" t="n">
        <ns0:v>20818</ns0:v>
      </ns0:c>
      <ns0:c r="P1648" t="n">
        <ns0:v>3</ns0:v>
      </ns0:c>
      <ns0:c r="Q1648">
        <ns0:f>IF(AND(L1648=1,O1648*Calculations!$B$2&lt;=Calculations!$B$10*Calculations!$B$4),1,0)</ns0:f>
        <ns0:v>1</ns0:v>
      </ns0:c>
      <ns0:c r="R1648">
        <ns0:f>IF(AND(L1648=1,O1648*Calculations!$B$2&lt;=Calculations!$B$11*Calculations!$B$4),1,0)</ns0:f>
        <ns0:v>1</ns0:v>
      </ns0:c>
    </ns0:row>
    <ns0:row r="1649">
      <ns0:c r="A1649" t="inlineStr">
        <ns0:is>
          <ns0:t>case_1648</ns0:t>
        </ns0:is>
      </ns0:c>
      <ns0:c r="B1649" t="inlineStr">
        <ns0:is>
          <ns0:t>function_0490</ns0:t>
        </ns0:is>
      </ns0:c>
      <ns0:c r="C1649" t="inlineStr">
        <ns0:is>
          <ns0:t>run_015</ns0:t>
        </ns0:is>
      </ns0:c>
      <ns0:c r="D1649" t="inlineStr">
        <ns0:is>
          <ns0:t>rustc-demangle</ns0:t>
        </ns0:is>
      </ns0:c>
      <ns0:c r="E1649" t="inlineStr">
        <ns0:is>
          <ns0:t>gemini-2.5-flash-nothinking</ns0:t>
        </ns0:is>
      </ns0:c>
      <ns0:c r="F1649" t="inlineStr">
        <ns0:is>
          <ns0:t>E0412,E0433</ns0:t>
        </ns0:is>
      </ns0:c>
      <ns0:c r="G1649" t="n">
        <ns0:v>0</ns0:v>
      </ns0:c>
      <ns0:c r="H1649" t="n">
        <ns0:v>7709</ns0:v>
      </ns0:c>
      <ns0:c r="I1649" t="n">
        <ns0:v>2187</ns0:v>
      </ns0:c>
      <ns0:c r="J1649" t="n">
        <ns0:v>9896</ns0:v>
      </ns0:c>
      <ns0:c r="K1649" t="n">
        <ns0:v>3</ns0:v>
      </ns0:c>
      <ns0:c r="L1649" t="n">
        <ns0:v>1</ns0:v>
      </ns0:c>
      <ns0:c r="M1649" t="n">
        <ns0:v>56151</ns0:v>
      </ns0:c>
      <ns0:c r="N1649" t="n">
        <ns0:v>468</ns0:v>
      </ns0:c>
      <ns0:c r="O1649" t="n">
        <ns0:v>56619</ns0:v>
      </ns0:c>
      <ns0:c r="P1649" t="n">
        <ns0:v>5</ns0:v>
      </ns0:c>
      <ns0:c r="Q1649">
        <ns0:f>IF(AND(L1649=1,O1649*Calculations!$B$2&lt;=Calculations!$B$10*Calculations!$B$4),1,0)</ns0:f>
        <ns0:v>0</ns0:v>
      </ns0:c>
      <ns0:c r="R1649">
        <ns0:f>IF(AND(L1649=1,O1649*Calculations!$B$2&lt;=Calculations!$B$11*Calculations!$B$4),1,0)</ns0:f>
        <ns0:v>0</ns0:v>
      </ns0:c>
    </ns0:row>
    <ns0:row r="1650">
      <ns0:c r="A1650" t="inlineStr">
        <ns0:is>
          <ns0:t>case_1649</ns0:t>
        </ns0:is>
      </ns0:c>
      <ns0:c r="B1650" t="inlineStr">
        <ns0:is>
          <ns0:t>function_0490</ns0:t>
        </ns0:is>
      </ns0:c>
      <ns0:c r="C1650" t="inlineStr">
        <ns0:is>
          <ns0:t>run_015</ns0:t>
        </ns0:is>
      </ns0:c>
      <ns0:c r="D1650" t="inlineStr">
        <ns0:is>
          <ns0:t>rustc-demangle</ns0:t>
        </ns0:is>
      </ns0:c>
      <ns0:c r="E1650" t="inlineStr">
        <ns0:is>
          <ns0:t>gemini-2.5-flash-nothinking</ns0:t>
        </ns0:is>
      </ns0:c>
      <ns0:c r="F1650" t="inlineStr">
        <ns0:is>
          <ns0:t>E0308,E0412</ns0:t>
        </ns0:is>
      </ns0:c>
      <ns0:c r="G1650" t="n">
        <ns0:v>0</ns0:v>
      </ns0:c>
      <ns0:c r="H1650" t="n">
        <ns0:v>8081</ns0:v>
      </ns0:c>
      <ns0:c r="I1650" t="n">
        <ns0:v>2133</ns0:v>
      </ns0:c>
      <ns0:c r="J1650" t="n">
        <ns0:v>10214</ns0:v>
      </ns0:c>
      <ns0:c r="K1650" t="n">
        <ns0:v>3</ns0:v>
      </ns0:c>
      <ns0:c r="L1650" t="n">
        <ns0:v>1</ns0:v>
      </ns0:c>
      <ns0:c r="M1650" t="n">
        <ns0:v>35993</ns0:v>
      </ns0:c>
      <ns0:c r="N1650" t="n">
        <ns0:v>315</ns0:v>
      </ns0:c>
      <ns0:c r="O1650" t="n">
        <ns0:v>36308</ns0:v>
      </ns0:c>
      <ns0:c r="P1650" t="n">
        <ns0:v>4</ns0:v>
      </ns0:c>
      <ns0:c r="Q1650">
        <ns0:f>IF(AND(L1650=1,O1650*Calculations!$B$2&lt;=Calculations!$B$10*Calculations!$B$4),1,0)</ns0:f>
        <ns0:v>0</ns0:v>
      </ns0:c>
      <ns0:c r="R1650">
        <ns0:f>IF(AND(L1650=1,O1650*Calculations!$B$2&lt;=Calculations!$B$11*Calculations!$B$4),1,0)</ns0:f>
        <ns0:v>1</ns0:v>
      </ns0:c>
    </ns0:row>
    <ns0:row r="1651">
      <ns0:c r="A1651" t="inlineStr">
        <ns0:is>
          <ns0:t>case_1650</ns0:t>
        </ns0:is>
      </ns0:c>
      <ns0:c r="B1651" t="inlineStr">
        <ns0:is>
          <ns0:t>function_0490</ns0:t>
        </ns0:is>
      </ns0:c>
      <ns0:c r="C1651" t="inlineStr">
        <ns0:is>
          <ns0:t>run_015</ns0:t>
        </ns0:is>
      </ns0:c>
      <ns0:c r="D1651" t="inlineStr">
        <ns0:is>
          <ns0:t>rustc-demangle</ns0:t>
        </ns0:is>
      </ns0:c>
      <ns0:c r="E1651" t="inlineStr">
        <ns0:is>
          <ns0:t>gemini-2.5-flash-nothinking</ns0:t>
        </ns0:is>
      </ns0:c>
      <ns0:c r="F1651" t="inlineStr">
        <ns0:is>
          <ns0:t>E0412,E0433</ns0:t>
        </ns0:is>
      </ns0:c>
      <ns0:c r="G1651" t="n">
        <ns0:v>0</ns0:v>
      </ns0:c>
      <ns0:c r="H1651" t="n">
        <ns0:v>10770</ns0:v>
      </ns0:c>
      <ns0:c r="I1651" t="n">
        <ns0:v>2074</ns0:v>
      </ns0:c>
      <ns0:c r="J1651" t="n">
        <ns0:v>12844</ns0:v>
      </ns0:c>
      <ns0:c r="K1651" t="n">
        <ns0:v>3</ns0:v>
      </ns0:c>
      <ns0:c r="L1651" t="n">
        <ns0:v>1</ns0:v>
      </ns0:c>
      <ns0:c r="M1651" t="n">
        <ns0:v>258281</ns0:v>
      </ns0:c>
      <ns0:c r="N1651" t="n">
        <ns0:v>1283</ns0:v>
      </ns0:c>
      <ns0:c r="O1651" t="n">
        <ns0:v>259564</ns0:v>
      </ns0:c>
      <ns0:c r="P1651" t="n">
        <ns0:v>8</ns0:v>
      </ns0:c>
      <ns0:c r="Q1651">
        <ns0:f>IF(AND(L1651=1,O1651*Calculations!$B$2&lt;=Calculations!$B$10*Calculations!$B$4),1,0)</ns0:f>
        <ns0:v>0</ns0:v>
      </ns0:c>
      <ns0:c r="R1651">
        <ns0:f>IF(AND(L1651=1,O1651*Calculations!$B$2&lt;=Calculations!$B$11*Calculations!$B$4),1,0)</ns0:f>
        <ns0:v>0</ns0:v>
      </ns0:c>
    </ns0:row>
    <ns0:row r="1652">
      <ns0:c r="A1652" t="inlineStr">
        <ns0:is>
          <ns0:t>case_1651</ns0:t>
        </ns0:is>
      </ns0:c>
      <ns0:c r="B1652" t="inlineStr">
        <ns0:is>
          <ns0:t>function_0490</ns0:t>
        </ns0:is>
      </ns0:c>
      <ns0:c r="C1652" t="inlineStr">
        <ns0:is>
          <ns0:t>run_015</ns0:t>
        </ns0:is>
      </ns0:c>
      <ns0:c r="D1652" t="inlineStr">
        <ns0:is>
          <ns0:t>rustc-demangle</ns0:t>
        </ns0:is>
      </ns0:c>
      <ns0:c r="E1652" t="inlineStr">
        <ns0:is>
          <ns0:t>gemini-2.5-flash-nothinking</ns0:t>
        </ns0:is>
      </ns0:c>
      <ns0:c r="F1652" t="inlineStr">
        <ns0:is>
          <ns0:t>E0412,E0433</ns0:t>
        </ns0:is>
      </ns0:c>
      <ns0:c r="G1652" t="n">
        <ns0:v>0</ns0:v>
      </ns0:c>
      <ns0:c r="H1652" t="n">
        <ns0:v>14810</ns0:v>
      </ns0:c>
      <ns0:c r="I1652" t="n">
        <ns0:v>3367</ns0:v>
      </ns0:c>
      <ns0:c r="J1652" t="n">
        <ns0:v>18177</ns0:v>
      </ns0:c>
      <ns0:c r="K1652" t="n">
        <ns0:v>3</ns0:v>
      </ns0:c>
      <ns0:c r="L1652" t="n">
        <ns0:v>1</ns0:v>
      </ns0:c>
      <ns0:c r="M1652" t="n">
        <ns0:v>53154</ns0:v>
      </ns0:c>
      <ns0:c r="N1652" t="n">
        <ns0:v>1109</ns0:v>
      </ns0:c>
      <ns0:c r="O1652" t="n">
        <ns0:v>54263</ns0:v>
      </ns0:c>
      <ns0:c r="P1652" t="n">
        <ns0:v>5</ns0:v>
      </ns0:c>
      <ns0:c r="Q1652">
        <ns0:f>IF(AND(L1652=1,O1652*Calculations!$B$2&lt;=Calculations!$B$10*Calculations!$B$4),1,0)</ns0:f>
        <ns0:v>0</ns0:v>
      </ns0:c>
      <ns0:c r="R1652">
        <ns0:f>IF(AND(L1652=1,O1652*Calculations!$B$2&lt;=Calculations!$B$11*Calculations!$B$4),1,0)</ns0:f>
        <ns0:v>0</ns0:v>
      </ns0:c>
    </ns0:row>
    <ns0:row r="1653">
      <ns0:c r="A1653" t="inlineStr">
        <ns0:is>
          <ns0:t>case_1652</ns0:t>
        </ns0:is>
      </ns0:c>
      <ns0:c r="B1653" t="inlineStr">
        <ns0:is>
          <ns0:t>function_0491</ns0:t>
        </ns0:is>
      </ns0:c>
      <ns0:c r="C1653" t="inlineStr">
        <ns0:is>
          <ns0:t>run_015</ns0:t>
        </ns0:is>
      </ns0:c>
      <ns0:c r="D1653" t="inlineStr">
        <ns0:is>
          <ns0:t>rustc-demangle</ns0:t>
        </ns0:is>
      </ns0:c>
      <ns0:c r="E1653" t="inlineStr">
        <ns0:is>
          <ns0:t>gemini-2.5-flash-nothinking</ns0:t>
        </ns0:is>
      </ns0:c>
      <ns0:c r="F1653" t="inlineStr">
        <ns0:is>
          <ns0:t>E0223,E0432</ns0:t>
        </ns0:is>
      </ns0:c>
      <ns0:c r="G1653" t="n">
        <ns0:v>0</ns0:v>
      </ns0:c>
      <ns0:c r="H1653" t="n">
        <ns0:v>7108</ns0:v>
      </ns0:c>
      <ns0:c r="I1653" t="n">
        <ns0:v>1509</ns0:v>
      </ns0:c>
      <ns0:c r="J1653" t="n">
        <ns0:v>8617</ns0:v>
      </ns0:c>
      <ns0:c r="K1653" t="n">
        <ns0:v>3</ns0:v>
      </ns0:c>
      <ns0:c r="L1653" t="n">
        <ns0:v>0</ns0:v>
      </ns0:c>
      <ns0:c r="M1653" t="n">
        <ns0:v>274857</ns0:v>
      </ns0:c>
      <ns0:c r="N1653" t="n">
        <ns0:v>6329</ns0:v>
      </ns0:c>
      <ns0:c r="O1653" t="n">
        <ns0:v>281186</ns0:v>
      </ns0:c>
      <ns0:c r="P1653" t="n">
        <ns0:v>20</ns0:v>
      </ns0:c>
      <ns0:c r="Q1653">
        <ns0:f>IF(AND(L1653=1,O1653*Calculations!$B$2&lt;=Calculations!$B$10*Calculations!$B$4),1,0)</ns0:f>
        <ns0:v>0</ns0:v>
      </ns0:c>
      <ns0:c r="R1653">
        <ns0:f>IF(AND(L1653=1,O1653*Calculations!$B$2&lt;=Calculations!$B$11*Calculations!$B$4),1,0)</ns0:f>
        <ns0:v>0</ns0:v>
      </ns0:c>
    </ns0:row>
    <ns0:row r="1654">
      <ns0:c r="A1654" t="inlineStr">
        <ns0:is>
          <ns0:t>case_1653</ns0:t>
        </ns0:is>
      </ns0:c>
      <ns0:c r="B1654" t="inlineStr">
        <ns0:is>
          <ns0:t>function_0491</ns0:t>
        </ns0:is>
      </ns0:c>
      <ns0:c r="C1654" t="inlineStr">
        <ns0:is>
          <ns0:t>run_015</ns0:t>
        </ns0:is>
      </ns0:c>
      <ns0:c r="D1654" t="inlineStr">
        <ns0:is>
          <ns0:t>rustc-demangle</ns0:t>
        </ns0:is>
      </ns0:c>
      <ns0:c r="E1654" t="inlineStr">
        <ns0:is>
          <ns0:t>gemini-2.5-flash-nothinking</ns0:t>
        </ns0:is>
      </ns0:c>
      <ns0:c r="F1654" t="inlineStr"/>
      <ns0:c r="G1654" t="n">
        <ns0:v>0</ns0:v>
      </ns0:c>
      <ns0:c r="H1654" t="n">
        <ns0:v>0</ns0:v>
      </ns0:c>
      <ns0:c r="I1654" t="n">
        <ns0:v>0</ns0:v>
      </ns0:c>
      <ns0:c r="J1654" t="n">
        <ns0:v>0</ns0:v>
      </ns0:c>
      <ns0:c r="K1654" t="n">
        <ns0:v>0</ns0:v>
      </ns0:c>
      <ns0:c r="L1654" t="n">
        <ns0:v>1</ns0:v>
      </ns0:c>
      <ns0:c r="M1654" t="n">
        <ns0:v>106722</ns0:v>
      </ns0:c>
      <ns0:c r="N1654" t="n">
        <ns0:v>832</ns0:v>
      </ns0:c>
      <ns0:c r="O1654" t="n">
        <ns0:v>107554</ns0:v>
      </ns0:c>
      <ns0:c r="P1654" t="n">
        <ns0:v>4</ns0:v>
      </ns0:c>
      <ns0:c r="Q1654">
        <ns0:f>IF(AND(L1654=1,O1654*Calculations!$B$2&lt;=Calculations!$B$10*Calculations!$B$4),1,0)</ns0:f>
        <ns0:v>0</ns0:v>
      </ns0:c>
      <ns0:c r="R1654">
        <ns0:f>IF(AND(L1654=1,O1654*Calculations!$B$2&lt;=Calculations!$B$11*Calculations!$B$4),1,0)</ns0:f>
        <ns0:v>0</ns0:v>
      </ns0:c>
    </ns0:row>
    <ns0:row r="1655">
      <ns0:c r="A1655" t="inlineStr">
        <ns0:is>
          <ns0:t>case_1654</ns0:t>
        </ns0:is>
      </ns0:c>
      <ns0:c r="B1655" t="inlineStr">
        <ns0:is>
          <ns0:t>function_0491</ns0:t>
        </ns0:is>
      </ns0:c>
      <ns0:c r="C1655" t="inlineStr">
        <ns0:is>
          <ns0:t>run_015</ns0:t>
        </ns0:is>
      </ns0:c>
      <ns0:c r="D1655" t="inlineStr">
        <ns0:is>
          <ns0:t>rustc-demangle</ns0:t>
        </ns0:is>
      </ns0:c>
      <ns0:c r="E1655" t="inlineStr">
        <ns0:is>
          <ns0:t>gemini-2.5-flash-nothinking</ns0:t>
        </ns0:is>
      </ns0:c>
      <ns0:c r="F1655" t="inlineStr"/>
      <ns0:c r="G1655" t="n">
        <ns0:v>0</ns0:v>
      </ns0:c>
      <ns0:c r="H1655" t="n">
        <ns0:v>0</ns0:v>
      </ns0:c>
      <ns0:c r="I1655" t="n">
        <ns0:v>0</ns0:v>
      </ns0:c>
      <ns0:c r="J1655" t="n">
        <ns0:v>0</ns0:v>
      </ns0:c>
      <ns0:c r="K1655" t="n">
        <ns0:v>0</ns0:v>
      </ns0:c>
      <ns0:c r="L1655" t="n">
        <ns0:v>0</ns0:v>
      </ns0:c>
      <ns0:c r="M1655" t="n">
        <ns0:v>769307</ns0:v>
      </ns0:c>
      <ns0:c r="N1655" t="n">
        <ns0:v>9861</ns0:v>
      </ns0:c>
      <ns0:c r="O1655" t="n">
        <ns0:v>779168</ns0:v>
      </ns0:c>
      <ns0:c r="P1655" t="n">
        <ns0:v>20</ns0:v>
      </ns0:c>
      <ns0:c r="Q1655">
        <ns0:f>IF(AND(L1655=1,O1655*Calculations!$B$2&lt;=Calculations!$B$10*Calculations!$B$4),1,0)</ns0:f>
        <ns0:v>0</ns0:v>
      </ns0:c>
      <ns0:c r="R1655">
        <ns0:f>IF(AND(L1655=1,O1655*Calculations!$B$2&lt;=Calculations!$B$11*Calculations!$B$4),1,0)</ns0:f>
        <ns0:v>0</ns0:v>
      </ns0:c>
    </ns0:row>
    <ns0:row r="1656">
      <ns0:c r="A1656" t="inlineStr">
        <ns0:is>
          <ns0:t>case_1655</ns0:t>
        </ns0:is>
      </ns0:c>
      <ns0:c r="B1656" t="inlineStr">
        <ns0:is>
          <ns0:t>function_0492</ns0:t>
        </ns0:is>
      </ns0:c>
      <ns0:c r="C1656" t="inlineStr">
        <ns0:is>
          <ns0:t>run_015</ns0:t>
        </ns0:is>
      </ns0:c>
      <ns0:c r="D1656" t="inlineStr">
        <ns0:is>
          <ns0:t>rustc-demangle</ns0:t>
        </ns0:is>
      </ns0:c>
      <ns0:c r="E1656" t="inlineStr">
        <ns0:is>
          <ns0:t>gemini-2.5-flash-nothinking</ns0:t>
        </ns0:is>
      </ns0:c>
      <ns0:c r="F1656" t="inlineStr">
        <ns0:is>
          <ns0:t>E0433</ns0:t>
        </ns0:is>
      </ns0:c>
      <ns0:c r="G1656" t="n">
        <ns0:v>1</ns0:v>
      </ns0:c>
      <ns0:c r="H1656" t="n">
        <ns0:v>0</ns0:v>
      </ns0:c>
      <ns0:c r="I1656" t="n">
        <ns0:v>0</ns0:v>
      </ns0:c>
      <ns0:c r="J1656" t="n">
        <ns0:v>0</ns0:v>
      </ns0:c>
      <ns0:c r="K1656" t="n">
        <ns0:v>0</ns0:v>
      </ns0:c>
      <ns0:c r="L1656" t="n">
        <ns0:v>1</ns0:v>
      </ns0:c>
      <ns0:c r="M1656" t="n">
        <ns0:v>26962</ns0:v>
      </ns0:c>
      <ns0:c r="N1656" t="n">
        <ns0:v>405</ns0:v>
      </ns0:c>
      <ns0:c r="O1656" t="n">
        <ns0:v>27367</ns0:v>
      </ns0:c>
      <ns0:c r="P1656" t="n">
        <ns0:v>3</ns0:v>
      </ns0:c>
      <ns0:c r="Q1656">
        <ns0:f>IF(AND(L1656=1,O1656*Calculations!$B$2&lt;=Calculations!$B$10*Calculations!$B$4),1,0)</ns0:f>
        <ns0:v>0</ns0:v>
      </ns0:c>
      <ns0:c r="R1656">
        <ns0:f>IF(AND(L1656=1,O1656*Calculations!$B$2&lt;=Calculations!$B$11*Calculations!$B$4),1,0)</ns0:f>
        <ns0:v>1</ns0:v>
      </ns0:c>
    </ns0:row>
    <ns0:row r="1657">
      <ns0:c r="A1657" t="inlineStr">
        <ns0:is>
          <ns0:t>case_1656</ns0:t>
        </ns0:is>
      </ns0:c>
      <ns0:c r="B1657" t="inlineStr">
        <ns0:is>
          <ns0:t>function_0493</ns0:t>
        </ns0:is>
      </ns0:c>
      <ns0:c r="C1657" t="inlineStr">
        <ns0:is>
          <ns0:t>run_015</ns0:t>
        </ns0:is>
      </ns0:c>
      <ns0:c r="D1657" t="inlineStr">
        <ns0:is>
          <ns0:t>rustc-demangle</ns0:t>
        </ns0:is>
      </ns0:c>
      <ns0:c r="E1657" t="inlineStr">
        <ns0:is>
          <ns0:t>gemini-2.5-flash-nothinking</ns0:t>
        </ns0:is>
      </ns0:c>
      <ns0:c r="F1657" t="inlineStr">
        <ns0:is>
          <ns0:t>E0412,E0433</ns0:t>
        </ns0:is>
      </ns0:c>
      <ns0:c r="G1657" t="n">
        <ns0:v>0</ns0:v>
      </ns0:c>
      <ns0:c r="H1657" t="n">
        <ns0:v>0</ns0:v>
      </ns0:c>
      <ns0:c r="I1657" t="n">
        <ns0:v>0</ns0:v>
      </ns0:c>
      <ns0:c r="J1657" t="n">
        <ns0:v>0</ns0:v>
      </ns0:c>
      <ns0:c r="K1657" t="n">
        <ns0:v>0</ns0:v>
      </ns0:c>
      <ns0:c r="L1657" t="n">
        <ns0:v>1</ns0:v>
      </ns0:c>
      <ns0:c r="M1657" t="n">
        <ns0:v>48170</ns0:v>
      </ns0:c>
      <ns0:c r="N1657" t="n">
        <ns0:v>338</ns0:v>
      </ns0:c>
      <ns0:c r="O1657" t="n">
        <ns0:v>48508</ns0:v>
      </ns0:c>
      <ns0:c r="P1657" t="n">
        <ns0:v>5</ns0:v>
      </ns0:c>
      <ns0:c r="Q1657">
        <ns0:f>IF(AND(L1657=1,O1657*Calculations!$B$2&lt;=Calculations!$B$10*Calculations!$B$4),1,0)</ns0:f>
        <ns0:v>0</ns0:v>
      </ns0:c>
      <ns0:c r="R1657">
        <ns0:f>IF(AND(L1657=1,O1657*Calculations!$B$2&lt;=Calculations!$B$11*Calculations!$B$4),1,0)</ns0:f>
        <ns0:v>0</ns0:v>
      </ns0:c>
    </ns0:row>
    <ns0:row r="1658">
      <ns0:c r="A1658" t="inlineStr">
        <ns0:is>
          <ns0:t>case_1657</ns0:t>
        </ns0:is>
      </ns0:c>
      <ns0:c r="B1658" t="inlineStr">
        <ns0:is>
          <ns0:t>function_0493</ns0:t>
        </ns0:is>
      </ns0:c>
      <ns0:c r="C1658" t="inlineStr">
        <ns0:is>
          <ns0:t>run_015</ns0:t>
        </ns0:is>
      </ns0:c>
      <ns0:c r="D1658" t="inlineStr">
        <ns0:is>
          <ns0:t>rustc-demangle</ns0:t>
        </ns0:is>
      </ns0:c>
      <ns0:c r="E1658" t="inlineStr">
        <ns0:is>
          <ns0:t>gemini-2.5-flash-nothinking</ns0:t>
        </ns0:is>
      </ns0:c>
      <ns0:c r="F1658" t="inlineStr">
        <ns0:is>
          <ns0:t>E0599</ns0:t>
        </ns0:is>
      </ns0:c>
      <ns0:c r="G1658" t="n">
        <ns0:v>0</ns0:v>
      </ns0:c>
      <ns0:c r="H1658" t="n">
        <ns0:v>3063</ns0:v>
      </ns0:c>
      <ns0:c r="I1658" t="n">
        <ns0:v>300</ns0:v>
      </ns0:c>
      <ns0:c r="J1658" t="n">
        <ns0:v>3363</ns0:v>
      </ns0:c>
      <ns0:c r="K1658" t="n">
        <ns0:v>3</ns0:v>
      </ns0:c>
      <ns0:c r="L1658" t="n">
        <ns0:v>0</ns0:v>
      </ns0:c>
      <ns0:c r="M1658" t="n">
        <ns0:v>777069</ns0:v>
      </ns0:c>
      <ns0:c r="N1658" t="n">
        <ns0:v>1435</ns0:v>
      </ns0:c>
      <ns0:c r="O1658" t="n">
        <ns0:v>778504</ns0:v>
      </ns0:c>
      <ns0:c r="P1658" t="n">
        <ns0:v>20</ns0:v>
      </ns0:c>
      <ns0:c r="Q1658">
        <ns0:f>IF(AND(L1658=1,O1658*Calculations!$B$2&lt;=Calculations!$B$10*Calculations!$B$4),1,0)</ns0:f>
        <ns0:v>0</ns0:v>
      </ns0:c>
      <ns0:c r="R1658">
        <ns0:f>IF(AND(L1658=1,O1658*Calculations!$B$2&lt;=Calculations!$B$11*Calculations!$B$4),1,0)</ns0:f>
        <ns0:v>0</ns0:v>
      </ns0:c>
    </ns0:row>
    <ns0:row r="1659">
      <ns0:c r="A1659" t="inlineStr">
        <ns0:is>
          <ns0:t>case_1658</ns0:t>
        </ns0:is>
      </ns0:c>
      <ns0:c r="B1659" t="inlineStr">
        <ns0:is>
          <ns0:t>function_0493</ns0:t>
        </ns0:is>
      </ns0:c>
      <ns0:c r="C1659" t="inlineStr">
        <ns0:is>
          <ns0:t>run_015</ns0:t>
        </ns0:is>
      </ns0:c>
      <ns0:c r="D1659" t="inlineStr">
        <ns0:is>
          <ns0:t>rustc-demangle</ns0:t>
        </ns0:is>
      </ns0:c>
      <ns0:c r="E1659" t="inlineStr">
        <ns0:is>
          <ns0:t>gemini-2.5-flash-nothinking</ns0:t>
        </ns0:is>
      </ns0:c>
      <ns0:c r="F1659" t="inlineStr">
        <ns0:is>
          <ns0:t>E0433</ns0:t>
        </ns0:is>
      </ns0:c>
      <ns0:c r="G1659" t="n">
        <ns0:v>1</ns0:v>
      </ns0:c>
      <ns0:c r="H1659" t="n">
        <ns0:v>0</ns0:v>
      </ns0:c>
      <ns0:c r="I1659" t="n">
        <ns0:v>0</ns0:v>
      </ns0:c>
      <ns0:c r="J1659" t="n">
        <ns0:v>0</ns0:v>
      </ns0:c>
      <ns0:c r="K1659" t="n">
        <ns0:v>0</ns0:v>
      </ns0:c>
      <ns0:c r="L1659" t="n">
        <ns0:v>1</ns0:v>
      </ns0:c>
      <ns0:c r="M1659" t="n">
        <ns0:v>29875</ns0:v>
      </ns0:c>
      <ns0:c r="N1659" t="n">
        <ns0:v>385</ns0:v>
      </ns0:c>
      <ns0:c r="O1659" t="n">
        <ns0:v>30260</ns0:v>
      </ns0:c>
      <ns0:c r="P1659" t="n">
        <ns0:v>4</ns0:v>
      </ns0:c>
      <ns0:c r="Q1659">
        <ns0:f>IF(AND(L1659=1,O1659*Calculations!$B$2&lt;=Calculations!$B$10*Calculations!$B$4),1,0)</ns0:f>
        <ns0:v>0</ns0:v>
      </ns0:c>
      <ns0:c r="R1659">
        <ns0:f>IF(AND(L1659=1,O1659*Calculations!$B$2&lt;=Calculations!$B$11*Calculations!$B$4),1,0)</ns0:f>
        <ns0:v>1</ns0:v>
      </ns0:c>
    </ns0:row>
    <ns0:row r="1660">
      <ns0:c r="A1660" t="inlineStr">
        <ns0:is>
          <ns0:t>case_1659</ns0:t>
        </ns0:is>
      </ns0:c>
      <ns0:c r="B1660" t="inlineStr">
        <ns0:is>
          <ns0:t>function_0493</ns0:t>
        </ns0:is>
      </ns0:c>
      <ns0:c r="C1660" t="inlineStr">
        <ns0:is>
          <ns0:t>run_015</ns0:t>
        </ns0:is>
      </ns0:c>
      <ns0:c r="D1660" t="inlineStr">
        <ns0:is>
          <ns0:t>rustc-demangle</ns0:t>
        </ns0:is>
      </ns0:c>
      <ns0:c r="E1660" t="inlineStr">
        <ns0:is>
          <ns0:t>gemini-2.5-flash-nothinking</ns0:t>
        </ns0:is>
      </ns0:c>
      <ns0:c r="F1660" t="inlineStr">
        <ns0:is>
          <ns0:t>E0765</ns0:t>
        </ns0:is>
      </ns0:c>
      <ns0:c r="G1660" t="n">
        <ns0:v>0</ns0:v>
      </ns0:c>
      <ns0:c r="H1660" t="n">
        <ns0:v>0</ns0:v>
      </ns0:c>
      <ns0:c r="I1660" t="n">
        <ns0:v>0</ns0:v>
      </ns0:c>
      <ns0:c r="J1660" t="n">
        <ns0:v>0</ns0:v>
      </ns0:c>
      <ns0:c r="K1660" t="n">
        <ns0:v>0</ns0:v>
      </ns0:c>
      <ns0:c r="L1660" t="n">
        <ns0:v>0</ns0:v>
      </ns0:c>
      <ns0:c r="M1660" t="n">
        <ns0:v>28245</ns0:v>
      </ns0:c>
      <ns0:c r="N1660" t="n">
        <ns0:v>311</ns0:v>
      </ns0:c>
      <ns0:c r="O1660" t="n">
        <ns0:v>28556</ns0:v>
      </ns0:c>
      <ns0:c r="P1660" t="n">
        <ns0:v>3</ns0:v>
      </ns0:c>
      <ns0:c r="Q1660">
        <ns0:f>IF(AND(L1660=1,O1660*Calculations!$B$2&lt;=Calculations!$B$10*Calculations!$B$4),1,0)</ns0:f>
        <ns0:v>0</ns0:v>
      </ns0:c>
      <ns0:c r="R1660">
        <ns0:f>IF(AND(L1660=1,O1660*Calculations!$B$2&lt;=Calculations!$B$11*Calculations!$B$4),1,0)</ns0:f>
        <ns0:v>0</ns0:v>
      </ns0:c>
    </ns0:row>
    <ns0:row r="1661">
      <ns0:c r="A1661" t="inlineStr">
        <ns0:is>
          <ns0:t>case_1660</ns0:t>
        </ns0:is>
      </ns0:c>
      <ns0:c r="B1661" t="inlineStr">
        <ns0:is>
          <ns0:t>function_0494</ns0:t>
        </ns0:is>
      </ns0:c>
      <ns0:c r="C1661" t="inlineStr">
        <ns0:is>
          <ns0:t>run_015</ns0:t>
        </ns0:is>
      </ns0:c>
      <ns0:c r="D1661" t="inlineStr">
        <ns0:is>
          <ns0:t>rustc-demangle</ns0:t>
        </ns0:is>
      </ns0:c>
      <ns0:c r="E1661" t="inlineStr">
        <ns0:is>
          <ns0:t>gemini-2.5-flash-nothinking</ns0:t>
        </ns0:is>
      </ns0:c>
      <ns0:c r="F1661" t="inlineStr">
        <ns0:is>
          <ns0:t>E0261,E0433,E0599</ns0:t>
        </ns0:is>
      </ns0:c>
      <ns0:c r="G1661" t="n">
        <ns0:v>0</ns0:v>
      </ns0:c>
      <ns0:c r="H1661" t="n">
        <ns0:v>14851</ns0:v>
      </ns0:c>
      <ns0:c r="I1661" t="n">
        <ns0:v>2151</ns0:v>
      </ns0:c>
      <ns0:c r="J1661" t="n">
        <ns0:v>17002</ns0:v>
      </ns0:c>
      <ns0:c r="K1661" t="n">
        <ns0:v>3</ns0:v>
      </ns0:c>
      <ns0:c r="L1661" t="n">
        <ns0:v>0</ns0:v>
      </ns0:c>
      <ns0:c r="M1661" t="n">
        <ns0:v>266929</ns0:v>
      </ns0:c>
      <ns0:c r="N1661" t="n">
        <ns0:v>2389</ns0:v>
      </ns0:c>
      <ns0:c r="O1661" t="n">
        <ns0:v>269318</ns0:v>
      </ns0:c>
      <ns0:c r="P1661" t="n">
        <ns0:v>20</ns0:v>
      </ns0:c>
      <ns0:c r="Q1661">
        <ns0:f>IF(AND(L1661=1,O1661*Calculations!$B$2&lt;=Calculations!$B$10*Calculations!$B$4),1,0)</ns0:f>
        <ns0:v>0</ns0:v>
      </ns0:c>
      <ns0:c r="R1661">
        <ns0:f>IF(AND(L1661=1,O1661*Calculations!$B$2&lt;=Calculations!$B$11*Calculations!$B$4),1,0)</ns0:f>
        <ns0:v>0</ns0:v>
      </ns0:c>
    </ns0:row>
    <ns0:row r="1662">
      <ns0:c r="A1662" t="inlineStr">
        <ns0:is>
          <ns0:t>case_1661</ns0:t>
        </ns0:is>
      </ns0:c>
      <ns0:c r="B1662" t="inlineStr">
        <ns0:is>
          <ns0:t>function_0494</ns0:t>
        </ns0:is>
      </ns0:c>
      <ns0:c r="C1662" t="inlineStr">
        <ns0:is>
          <ns0:t>run_015</ns0:t>
        </ns0:is>
      </ns0:c>
      <ns0:c r="D1662" t="inlineStr">
        <ns0:is>
          <ns0:t>rustc-demangle</ns0:t>
        </ns0:is>
      </ns0:c>
      <ns0:c r="E1662" t="inlineStr">
        <ns0:is>
          <ns0:t>gemini-2.5-flash-nothinking</ns0:t>
        </ns0:is>
      </ns0:c>
      <ns0:c r="F1662" t="inlineStr">
        <ns0:is>
          <ns0:t>E0107,E0261,E0432,E0560,E0599</ns0:t>
        </ns0:is>
      </ns0:c>
      <ns0:c r="G1662" t="n">
        <ns0:v>0</ns0:v>
      </ns0:c>
      <ns0:c r="H1662" t="n">
        <ns0:v>13437</ns0:v>
      </ns0:c>
      <ns0:c r="I1662" t="n">
        <ns0:v>2892</ns0:v>
      </ns0:c>
      <ns0:c r="J1662" t="n">
        <ns0:v>16329</ns0:v>
      </ns0:c>
      <ns0:c r="K1662" t="n">
        <ns0:v>3</ns0:v>
      </ns0:c>
      <ns0:c r="L1662" t="n">
        <ns0:v>0</ns0:v>
      </ns0:c>
      <ns0:c r="M1662" t="n">
        <ns0:v>244422</ns0:v>
      </ns0:c>
      <ns0:c r="N1662" t="n">
        <ns0:v>3809</ns0:v>
      </ns0:c>
      <ns0:c r="O1662" t="n">
        <ns0:v>248231</ns0:v>
      </ns0:c>
      <ns0:c r="P1662" t="n">
        <ns0:v>20</ns0:v>
      </ns0:c>
      <ns0:c r="Q1662">
        <ns0:f>IF(AND(L1662=1,O1662*Calculations!$B$2&lt;=Calculations!$B$10*Calculations!$B$4),1,0)</ns0:f>
        <ns0:v>0</ns0:v>
      </ns0:c>
      <ns0:c r="R1662">
        <ns0:f>IF(AND(L1662=1,O1662*Calculations!$B$2&lt;=Calculations!$B$11*Calculations!$B$4),1,0)</ns0:f>
        <ns0:v>0</ns0:v>
      </ns0:c>
    </ns0:row>
    <ns0:row r="1663">
      <ns0:c r="A1663" t="inlineStr">
        <ns0:is>
          <ns0:t>case_1662</ns0:t>
        </ns0:is>
      </ns0:c>
      <ns0:c r="B1663" t="inlineStr">
        <ns0:is>
          <ns0:t>function_0494</ns0:t>
        </ns0:is>
      </ns0:c>
      <ns0:c r="C1663" t="inlineStr">
        <ns0:is>
          <ns0:t>run_015</ns0:t>
        </ns0:is>
      </ns0:c>
      <ns0:c r="D1663" t="inlineStr">
        <ns0:is>
          <ns0:t>rustc-demangle</ns0:t>
        </ns0:is>
      </ns0:c>
      <ns0:c r="E1663" t="inlineStr">
        <ns0:is>
          <ns0:t>gemini-2.5-flash-nothinking</ns0:t>
        </ns0:is>
      </ns0:c>
      <ns0:c r="F1663" t="inlineStr">
        <ns0:is>
          <ns0:t>E0412,E0433,E0599</ns0:t>
        </ns0:is>
      </ns0:c>
      <ns0:c r="G1663" t="n">
        <ns0:v>0</ns0:v>
      </ns0:c>
      <ns0:c r="H1663" t="n">
        <ns0:v>3102</ns0:v>
      </ns0:c>
      <ns0:c r="I1663" t="n">
        <ns0:v>386</ns0:v>
      </ns0:c>
      <ns0:c r="J1663" t="n">
        <ns0:v>3488</ns0:v>
      </ns0:c>
      <ns0:c r="K1663" t="n">
        <ns0:v>3</ns0:v>
      </ns0:c>
      <ns0:c r="L1663" t="n">
        <ns0:v>1</ns0:v>
      </ns0:c>
      <ns0:c r="M1663" t="n">
        <ns0:v>209781</ns0:v>
      </ns0:c>
      <ns0:c r="N1663" t="n">
        <ns0:v>1557</ns0:v>
      </ns0:c>
      <ns0:c r="O1663" t="n">
        <ns0:v>211338</ns0:v>
      </ns0:c>
      <ns0:c r="P1663" t="n">
        <ns0:v>11</ns0:v>
      </ns0:c>
      <ns0:c r="Q1663">
        <ns0:f>IF(AND(L1663=1,O1663*Calculations!$B$2&lt;=Calculations!$B$10*Calculations!$B$4),1,0)</ns0:f>
        <ns0:v>0</ns0:v>
      </ns0:c>
      <ns0:c r="R1663">
        <ns0:f>IF(AND(L1663=1,O1663*Calculations!$B$2&lt;=Calculations!$B$11*Calculations!$B$4),1,0)</ns0:f>
        <ns0:v>0</ns0:v>
      </ns0:c>
    </ns0:row>
    <ns0:row r="1664">
      <ns0:c r="A1664" t="inlineStr">
        <ns0:is>
          <ns0:t>case_1663</ns0:t>
        </ns0:is>
      </ns0:c>
      <ns0:c r="B1664" t="inlineStr">
        <ns0:is>
          <ns0:t>function_0494</ns0:t>
        </ns0:is>
      </ns0:c>
      <ns0:c r="C1664" t="inlineStr">
        <ns0:is>
          <ns0:t>run_015</ns0:t>
        </ns0:is>
      </ns0:c>
      <ns0:c r="D1664" t="inlineStr">
        <ns0:is>
          <ns0:t>rustc-demangle</ns0:t>
        </ns0:is>
      </ns0:c>
      <ns0:c r="E1664" t="inlineStr">
        <ns0:is>
          <ns0:t>gemini-2.5-flash-nothinking</ns0:t>
        </ns0:is>
      </ns0:c>
      <ns0:c r="F1664" t="inlineStr">
        <ns0:is>
          <ns0:t>E0560</ns0:t>
        </ns0:is>
      </ns0:c>
      <ns0:c r="G1664" t="n">
        <ns0:v>0</ns0:v>
      </ns0:c>
      <ns0:c r="H1664" t="n">
        <ns0:v>2574</ns0:v>
      </ns0:c>
      <ns0:c r="I1664" t="n">
        <ns0:v>573</ns0:v>
      </ns0:c>
      <ns0:c r="J1664" t="n">
        <ns0:v>3147</ns0:v>
      </ns0:c>
      <ns0:c r="K1664" t="n">
        <ns0:v>3</ns0:v>
      </ns0:c>
      <ns0:c r="L1664" t="n">
        <ns0:v>0</ns0:v>
      </ns0:c>
      <ns0:c r="M1664" t="n">
        <ns0:v>547692</ns0:v>
      </ns0:c>
      <ns0:c r="N1664" t="n">
        <ns0:v>1265</ns0:v>
      </ns0:c>
      <ns0:c r="O1664" t="n">
        <ns0:v>548957</ns0:v>
      </ns0:c>
      <ns0:c r="P1664" t="n">
        <ns0:v>17</ns0:v>
      </ns0:c>
      <ns0:c r="Q1664">
        <ns0:f>IF(AND(L1664=1,O1664*Calculations!$B$2&lt;=Calculations!$B$10*Calculations!$B$4),1,0)</ns0:f>
        <ns0:v>0</ns0:v>
      </ns0:c>
      <ns0:c r="R1664">
        <ns0:f>IF(AND(L1664=1,O1664*Calculations!$B$2&lt;=Calculations!$B$11*Calculations!$B$4),1,0)</ns0:f>
        <ns0:v>0</ns0:v>
      </ns0:c>
    </ns0:row>
    <ns0:row r="1665">
      <ns0:c r="A1665" t="inlineStr">
        <ns0:is>
          <ns0:t>case_1664</ns0:t>
        </ns0:is>
      </ns0:c>
      <ns0:c r="B1665" t="inlineStr">
        <ns0:is>
          <ns0:t>function_0495</ns0:t>
        </ns0:is>
      </ns0:c>
      <ns0:c r="C1665" t="inlineStr">
        <ns0:is>
          <ns0:t>run_015</ns0:t>
        </ns0:is>
      </ns0:c>
      <ns0:c r="D1665" t="inlineStr">
        <ns0:is>
          <ns0:t>rustc-demangle</ns0:t>
        </ns0:is>
      </ns0:c>
      <ns0:c r="E1665" t="inlineStr">
        <ns0:is>
          <ns0:t>gemini-2.5-flash-nothinking</ns0:t>
        </ns0:is>
      </ns0:c>
      <ns0:c r="F1665" t="inlineStr">
        <ns0:is>
          <ns0:t>E0433</ns0:t>
        </ns0:is>
      </ns0:c>
      <ns0:c r="G1665" t="n">
        <ns0:v>1</ns0:v>
      </ns0:c>
      <ns0:c r="H1665" t="n">
        <ns0:v>0</ns0:v>
      </ns0:c>
      <ns0:c r="I1665" t="n">
        <ns0:v>0</ns0:v>
      </ns0:c>
      <ns0:c r="J1665" t="n">
        <ns0:v>0</ns0:v>
      </ns0:c>
      <ns0:c r="K1665" t="n">
        <ns0:v>0</ns0:v>
      </ns0:c>
      <ns0:c r="L1665" t="n">
        <ns0:v>1</ns0:v>
      </ns0:c>
      <ns0:c r="M1665" t="n">
        <ns0:v>20710</ns0:v>
      </ns0:c>
      <ns0:c r="N1665" t="n">
        <ns0:v>363</ns0:v>
      </ns0:c>
      <ns0:c r="O1665" t="n">
        <ns0:v>21073</ns0:v>
      </ns0:c>
      <ns0:c r="P1665" t="n">
        <ns0:v>3</ns0:v>
      </ns0:c>
      <ns0:c r="Q1665">
        <ns0:f>IF(AND(L1665=1,O1665*Calculations!$B$2&lt;=Calculations!$B$10*Calculations!$B$4),1,0)</ns0:f>
        <ns0:v>1</ns0:v>
      </ns0:c>
      <ns0:c r="R1665">
        <ns0:f>IF(AND(L1665=1,O1665*Calculations!$B$2&lt;=Calculations!$B$11*Calculations!$B$4),1,0)</ns0:f>
        <ns0:v>1</ns0:v>
      </ns0:c>
    </ns0:row>
    <ns0:row r="1666">
      <ns0:c r="A1666" t="inlineStr">
        <ns0:is>
          <ns0:t>case_1665</ns0:t>
        </ns0:is>
      </ns0:c>
      <ns0:c r="B1666" t="inlineStr">
        <ns0:is>
          <ns0:t>function_0496</ns0:t>
        </ns0:is>
      </ns0:c>
      <ns0:c r="C1666" t="inlineStr">
        <ns0:is>
          <ns0:t>run_015</ns0:t>
        </ns0:is>
      </ns0:c>
      <ns0:c r="D1666" t="inlineStr">
        <ns0:is>
          <ns0:t>rustc-demangle</ns0:t>
        </ns0:is>
      </ns0:c>
      <ns0:c r="E1666" t="inlineStr">
        <ns0:is>
          <ns0:t>gemini-2.5-flash-nothinking</ns0:t>
        </ns0:is>
      </ns0:c>
      <ns0:c r="F1666" t="inlineStr">
        <ns0:is>
          <ns0:t>E0433</ns0:t>
        </ns0:is>
      </ns0:c>
      <ns0:c r="G1666" t="n">
        <ns0:v>0</ns0:v>
      </ns0:c>
      <ns0:c r="H1666" t="n">
        <ns0:v>11027</ns0:v>
      </ns0:c>
      <ns0:c r="I1666" t="n">
        <ns0:v>1575</ns0:v>
      </ns0:c>
      <ns0:c r="J1666" t="n">
        <ns0:v>12602</ns0:v>
      </ns0:c>
      <ns0:c r="K1666" t="n">
        <ns0:v>3</ns0:v>
      </ns0:c>
      <ns0:c r="L1666" t="n">
        <ns0:v>0</ns0:v>
      </ns0:c>
      <ns0:c r="M1666" t="n">
        <ns0:v>126160</ns0:v>
      </ns0:c>
      <ns0:c r="N1666" t="n">
        <ns0:v>654</ns0:v>
      </ns0:c>
      <ns0:c r="O1666" t="n">
        <ns0:v>126814</ns0:v>
      </ns0:c>
      <ns0:c r="P1666" t="n">
        <ns0:v>7</ns0:v>
      </ns0:c>
      <ns0:c r="Q1666">
        <ns0:f>IF(AND(L1666=1,O1666*Calculations!$B$2&lt;=Calculations!$B$10*Calculations!$B$4),1,0)</ns0:f>
        <ns0:v>0</ns0:v>
      </ns0:c>
      <ns0:c r="R1666">
        <ns0:f>IF(AND(L1666=1,O1666*Calculations!$B$2&lt;=Calculations!$B$11*Calculations!$B$4),1,0)</ns0:f>
        <ns0:v>0</ns0:v>
      </ns0:c>
    </ns0:row>
    <ns0:row r="1667">
      <ns0:c r="A1667" t="inlineStr">
        <ns0:is>
          <ns0:t>case_1666</ns0:t>
        </ns0:is>
      </ns0:c>
      <ns0:c r="B1667" t="inlineStr">
        <ns0:is>
          <ns0:t>function_0497</ns0:t>
        </ns0:is>
      </ns0:c>
      <ns0:c r="C1667" t="inlineStr">
        <ns0:is>
          <ns0:t>run_015</ns0:t>
        </ns0:is>
      </ns0:c>
      <ns0:c r="D1667" t="inlineStr">
        <ns0:is>
          <ns0:t>rustc-demangle</ns0:t>
        </ns0:is>
      </ns0:c>
      <ns0:c r="E1667" t="inlineStr">
        <ns0:is>
          <ns0:t>gemini-2.5-flash-nothinking</ns0:t>
        </ns0:is>
      </ns0:c>
      <ns0:c r="F1667" t="inlineStr">
        <ns0:is>
          <ns0:t>E0433</ns0:t>
        </ns0:is>
      </ns0:c>
      <ns0:c r="G1667" t="n">
        <ns0:v>0</ns0:v>
      </ns0:c>
      <ns0:c r="H1667" t="n">
        <ns0:v>7159</ns0:v>
      </ns0:c>
      <ns0:c r="I1667" t="n">
        <ns0:v>699</ns0:v>
      </ns0:c>
      <ns0:c r="J1667" t="n">
        <ns0:v>7858</ns0:v>
      </ns0:c>
      <ns0:c r="K1667" t="n">
        <ns0:v>3</ns0:v>
      </ns0:c>
      <ns0:c r="L1667" t="n">
        <ns0:v>0</ns0:v>
      </ns0:c>
      <ns0:c r="M1667" t="n">
        <ns0:v>83187</ns0:v>
      </ns0:c>
      <ns0:c r="N1667" t="n">
        <ns0:v>1662</ns0:v>
      </ns0:c>
      <ns0:c r="O1667" t="n">
        <ns0:v>84849</ns0:v>
      </ns0:c>
      <ns0:c r="P1667" t="n">
        <ns0:v>10</ns0:v>
      </ns0:c>
      <ns0:c r="Q1667">
        <ns0:f>IF(AND(L1667=1,O1667*Calculations!$B$2&lt;=Calculations!$B$10*Calculations!$B$4),1,0)</ns0:f>
        <ns0:v>0</ns0:v>
      </ns0:c>
      <ns0:c r="R1667">
        <ns0:f>IF(AND(L1667=1,O1667*Calculations!$B$2&lt;=Calculations!$B$11*Calculations!$B$4),1,0)</ns0:f>
        <ns0:v>0</ns0:v>
      </ns0:c>
    </ns0:row>
    <ns0:row r="1668">
      <ns0:c r="A1668" t="inlineStr">
        <ns0:is>
          <ns0:t>case_1667</ns0:t>
        </ns0:is>
      </ns0:c>
      <ns0:c r="B1668" t="inlineStr">
        <ns0:is>
          <ns0:t>function_0497</ns0:t>
        </ns0:is>
      </ns0:c>
      <ns0:c r="C1668" t="inlineStr">
        <ns0:is>
          <ns0:t>run_015</ns0:t>
        </ns0:is>
      </ns0:c>
      <ns0:c r="D1668" t="inlineStr">
        <ns0:is>
          <ns0:t>rustc-demangle</ns0:t>
        </ns0:is>
      </ns0:c>
      <ns0:c r="E1668" t="inlineStr">
        <ns0:is>
          <ns0:t>gemini-2.5-flash-nothinking</ns0:t>
        </ns0:is>
      </ns0:c>
      <ns0:c r="F1668" t="inlineStr">
        <ns0:is>
          <ns0:t>E0599</ns0:t>
        </ns0:is>
      </ns0:c>
      <ns0:c r="G1668" t="n">
        <ns0:v>0</ns0:v>
      </ns0:c>
      <ns0:c r="H1668" t="n">
        <ns0:v>3864</ns0:v>
      </ns0:c>
      <ns0:c r="I1668" t="n">
        <ns0:v>768</ns0:v>
      </ns0:c>
      <ns0:c r="J1668" t="n">
        <ns0:v>4632</ns0:v>
      </ns0:c>
      <ns0:c r="K1668" t="n">
        <ns0:v>3</ns0:v>
      </ns0:c>
      <ns0:c r="L1668" t="n">
        <ns0:v>1</ns0:v>
      </ns0:c>
      <ns0:c r="M1668" t="n">
        <ns0:v>223413</ns0:v>
      </ns0:c>
      <ns0:c r="N1668" t="n">
        <ns0:v>9372</ns0:v>
      </ns0:c>
      <ns0:c r="O1668" t="n">
        <ns0:v>232785</ns0:v>
      </ns0:c>
      <ns0:c r="P1668" t="n">
        <ns0:v>18</ns0:v>
      </ns0:c>
      <ns0:c r="Q1668">
        <ns0:f>IF(AND(L1668=1,O1668*Calculations!$B$2&lt;=Calculations!$B$10*Calculations!$B$4),1,0)</ns0:f>
        <ns0:v>0</ns0:v>
      </ns0:c>
      <ns0:c r="R1668">
        <ns0:f>IF(AND(L1668=1,O1668*Calculations!$B$2&lt;=Calculations!$B$11*Calculations!$B$4),1,0)</ns0:f>
        <ns0:v>0</ns0:v>
      </ns0:c>
    </ns0:row>
    <ns0:row r="1669">
      <ns0:c r="A1669" t="inlineStr">
        <ns0:is>
          <ns0:t>case_1668</ns0:t>
        </ns0:is>
      </ns0:c>
      <ns0:c r="B1669" t="inlineStr">
        <ns0:is>
          <ns0:t>function_0497</ns0:t>
        </ns0:is>
      </ns0:c>
      <ns0:c r="C1669" t="inlineStr">
        <ns0:is>
          <ns0:t>run_015</ns0:t>
        </ns0:is>
      </ns0:c>
      <ns0:c r="D1669" t="inlineStr">
        <ns0:is>
          <ns0:t>rustc-demangle</ns0:t>
        </ns0:is>
      </ns0:c>
      <ns0:c r="E1669" t="inlineStr">
        <ns0:is>
          <ns0:t>gemini-2.5-flash-nothinking</ns0:t>
        </ns0:is>
      </ns0:c>
      <ns0:c r="F1669" t="inlineStr">
        <ns0:is>
          <ns0:t>E0433</ns0:t>
        </ns0:is>
      </ns0:c>
      <ns0:c r="G1669" t="n">
        <ns0:v>0</ns0:v>
      </ns0:c>
      <ns0:c r="H1669" t="n">
        <ns0:v>8804</ns0:v>
      </ns0:c>
      <ns0:c r="I1669" t="n">
        <ns0:v>1218</ns0:v>
      </ns0:c>
      <ns0:c r="J1669" t="n">
        <ns0:v>10022</ns0:v>
      </ns0:c>
      <ns0:c r="K1669" t="n">
        <ns0:v>3</ns0:v>
      </ns0:c>
      <ns0:c r="L1669" t="n">
        <ns0:v>0</ns0:v>
      </ns0:c>
      <ns0:c r="M1669" t="n">
        <ns0:v>238177</ns0:v>
      </ns0:c>
      <ns0:c r="N1669" t="n">
        <ns0:v>3466</ns0:v>
      </ns0:c>
      <ns0:c r="O1669" t="n">
        <ns0:v>241643</ns0:v>
      </ns0:c>
      <ns0:c r="P1669" t="n">
        <ns0:v>20</ns0:v>
      </ns0:c>
      <ns0:c r="Q1669">
        <ns0:f>IF(AND(L1669=1,O1669*Calculations!$B$2&lt;=Calculations!$B$10*Calculations!$B$4),1,0)</ns0:f>
        <ns0:v>0</ns0:v>
      </ns0:c>
      <ns0:c r="R1669">
        <ns0:f>IF(AND(L1669=1,O1669*Calculations!$B$2&lt;=Calculations!$B$11*Calculations!$B$4),1,0)</ns0:f>
        <ns0:v>0</ns0:v>
      </ns0:c>
    </ns0:row>
    <ns0:row r="1670">
      <ns0:c r="A1670" t="inlineStr">
        <ns0:is>
          <ns0:t>case_1669</ns0:t>
        </ns0:is>
      </ns0:c>
      <ns0:c r="B1670" t="inlineStr">
        <ns0:is>
          <ns0:t>function_0497</ns0:t>
        </ns0:is>
      </ns0:c>
      <ns0:c r="C1670" t="inlineStr">
        <ns0:is>
          <ns0:t>run_015</ns0:t>
        </ns0:is>
      </ns0:c>
      <ns0:c r="D1670" t="inlineStr">
        <ns0:is>
          <ns0:t>rustc-demangle</ns0:t>
        </ns0:is>
      </ns0:c>
      <ns0:c r="E1670" t="inlineStr">
        <ns0:is>
          <ns0:t>gemini-2.5-flash-nothinking</ns0:t>
        </ns0:is>
      </ns0:c>
      <ns0:c r="F1670" t="inlineStr">
        <ns0:is>
          <ns0:t>E0560</ns0:t>
        </ns0:is>
      </ns0:c>
      <ns0:c r="G1670" t="n">
        <ns0:v>0</ns0:v>
      </ns0:c>
      <ns0:c r="H1670" t="n">
        <ns0:v>2131</ns0:v>
      </ns0:c>
      <ns0:c r="I1670" t="n">
        <ns0:v>231</ns0:v>
      </ns0:c>
      <ns0:c r="J1670" t="n">
        <ns0:v>2362</ns0:v>
      </ns0:c>
      <ns0:c r="K1670" t="n">
        <ns0:v>3</ns0:v>
      </ns0:c>
      <ns0:c r="L1670" t="n">
        <ns0:v>1</ns0:v>
      </ns0:c>
      <ns0:c r="M1670" t="n">
        <ns0:v>62597</ns0:v>
      </ns0:c>
      <ns0:c r="N1670" t="n">
        <ns0:v>1359</ns0:v>
      </ns0:c>
      <ns0:c r="O1670" t="n">
        <ns0:v>63956</ns0:v>
      </ns0:c>
      <ns0:c r="P1670" t="n">
        <ns0:v>5</ns0:v>
      </ns0:c>
      <ns0:c r="Q1670">
        <ns0:f>IF(AND(L1670=1,O1670*Calculations!$B$2&lt;=Calculations!$B$10*Calculations!$B$4),1,0)</ns0:f>
        <ns0:v>0</ns0:v>
      </ns0:c>
      <ns0:c r="R1670">
        <ns0:f>IF(AND(L1670=1,O1670*Calculations!$B$2&lt;=Calculations!$B$11*Calculations!$B$4),1,0)</ns0:f>
        <ns0:v>0</ns0:v>
      </ns0:c>
    </ns0:row>
    <ns0:row r="1671">
      <ns0:c r="A1671" t="inlineStr">
        <ns0:is>
          <ns0:t>case_1670</ns0:t>
        </ns0:is>
      </ns0:c>
      <ns0:c r="B1671" t="inlineStr">
        <ns0:is>
          <ns0:t>function_0498</ns0:t>
        </ns0:is>
      </ns0:c>
      <ns0:c r="C1671" t="inlineStr">
        <ns0:is>
          <ns0:t>run_015</ns0:t>
        </ns0:is>
      </ns0:c>
      <ns0:c r="D1671" t="inlineStr">
        <ns0:is>
          <ns0:t>rustc-demangle</ns0:t>
        </ns0:is>
      </ns0:c>
      <ns0:c r="E1671" t="inlineStr">
        <ns0:is>
          <ns0:t>gemini-2.5-flash-nothinking</ns0:t>
        </ns0:is>
      </ns0:c>
      <ns0:c r="F1671" t="inlineStr">
        <ns0:is>
          <ns0:t>E0433</ns0:t>
        </ns0:is>
      </ns0:c>
      <ns0:c r="G1671" t="n">
        <ns0:v>0</ns0:v>
      </ns0:c>
      <ns0:c r="H1671" t="n">
        <ns0:v>19978</ns0:v>
      </ns0:c>
      <ns0:c r="I1671" t="n">
        <ns0:v>1803</ns0:v>
      </ns0:c>
      <ns0:c r="J1671" t="n">
        <ns0:v>21781</ns0:v>
      </ns0:c>
      <ns0:c r="K1671" t="n">
        <ns0:v>12</ns0:v>
      </ns0:c>
      <ns0:c r="L1671" t="n">
        <ns0:v>0</ns0:v>
      </ns0:c>
      <ns0:c r="M1671" t="n">
        <ns0:v>323105</ns0:v>
      </ns0:c>
      <ns0:c r="N1671" t="n">
        <ns0:v>2650</ns0:v>
      </ns0:c>
      <ns0:c r="O1671" t="n">
        <ns0:v>325755</ns0:v>
      </ns0:c>
      <ns0:c r="P1671" t="n">
        <ns0:v>10</ns0:v>
      </ns0:c>
      <ns0:c r="Q1671">
        <ns0:f>IF(AND(L1671=1,O1671*Calculations!$B$2&lt;=Calculations!$B$10*Calculations!$B$4),1,0)</ns0:f>
        <ns0:v>0</ns0:v>
      </ns0:c>
      <ns0:c r="R1671">
        <ns0:f>IF(AND(L1671=1,O1671*Calculations!$B$2&lt;=Calculations!$B$11*Calculations!$B$4),1,0)</ns0:f>
        <ns0:v>0</ns0:v>
      </ns0:c>
    </ns0:row>
    <ns0:row r="1672">
      <ns0:c r="A1672" t="inlineStr">
        <ns0:is>
          <ns0:t>case_1671</ns0:t>
        </ns0:is>
      </ns0:c>
      <ns0:c r="B1672" t="inlineStr">
        <ns0:is>
          <ns0:t>function_0498</ns0:t>
        </ns0:is>
      </ns0:c>
      <ns0:c r="C1672" t="inlineStr">
        <ns0:is>
          <ns0:t>run_015</ns0:t>
        </ns0:is>
      </ns0:c>
      <ns0:c r="D1672" t="inlineStr">
        <ns0:is>
          <ns0:t>rustc-demangle</ns0:t>
        </ns0:is>
      </ns0:c>
      <ns0:c r="E1672" t="inlineStr">
        <ns0:is>
          <ns0:t>gemini-2.5-flash-nothinking</ns0:t>
        </ns0:is>
      </ns0:c>
      <ns0:c r="F1672" t="inlineStr">
        <ns0:is>
          <ns0:t>E0261,E0433</ns0:t>
        </ns0:is>
      </ns0:c>
      <ns0:c r="G1672" t="n">
        <ns0:v>1</ns0:v>
      </ns0:c>
      <ns0:c r="H1672" t="n">
        <ns0:v>23911</ns0:v>
      </ns0:c>
      <ns0:c r="I1672" t="n">
        <ns0:v>1077</ns0:v>
      </ns0:c>
      <ns0:c r="J1672" t="n">
        <ns0:v>24988</ns0:v>
      </ns0:c>
      <ns0:c r="K1672" t="n">
        <ns0:v>9</ns0:v>
      </ns0:c>
      <ns0:c r="L1672" t="n">
        <ns0:v>0</ns0:v>
      </ns0:c>
      <ns0:c r="M1672" t="n">
        <ns0:v>319023</ns0:v>
      </ns0:c>
      <ns0:c r="N1672" t="n">
        <ns0:v>3768</ns0:v>
      </ns0:c>
      <ns0:c r="O1672" t="n">
        <ns0:v>322791</ns0:v>
      </ns0:c>
      <ns0:c r="P1672" t="n">
        <ns0:v>14</ns0:v>
      </ns0:c>
      <ns0:c r="Q1672">
        <ns0:f>IF(AND(L1672=1,O1672*Calculations!$B$2&lt;=Calculations!$B$10*Calculations!$B$4),1,0)</ns0:f>
        <ns0:v>0</ns0:v>
      </ns0:c>
      <ns0:c r="R1672">
        <ns0:f>IF(AND(L1672=1,O1672*Calculations!$B$2&lt;=Calculations!$B$11*Calculations!$B$4),1,0)</ns0:f>
        <ns0:v>0</ns0:v>
      </ns0:c>
    </ns0:row>
    <ns0:row r="1673">
      <ns0:c r="A1673" t="inlineStr">
        <ns0:is>
          <ns0:t>case_1672</ns0:t>
        </ns0:is>
      </ns0:c>
      <ns0:c r="B1673" t="inlineStr">
        <ns0:is>
          <ns0:t>function_0498</ns0:t>
        </ns0:is>
      </ns0:c>
      <ns0:c r="C1673" t="inlineStr">
        <ns0:is>
          <ns0:t>run_015</ns0:t>
        </ns0:is>
      </ns0:c>
      <ns0:c r="D1673" t="inlineStr">
        <ns0:is>
          <ns0:t>rustc-demangle</ns0:t>
        </ns0:is>
      </ns0:c>
      <ns0:c r="E1673" t="inlineStr">
        <ns0:is>
          <ns0:t>gemini-2.5-flash-nothinking</ns0:t>
        </ns0:is>
      </ns0:c>
      <ns0:c r="F1673" t="inlineStr">
        <ns0:is>
          <ns0:t>E0433</ns0:t>
        </ns0:is>
      </ns0:c>
      <ns0:c r="G1673" t="n">
        <ns0:v>0</ns0:v>
      </ns0:c>
      <ns0:c r="H1673" t="n">
        <ns0:v>7571</ns0:v>
      </ns0:c>
      <ns0:c r="I1673" t="n">
        <ns0:v>804</ns0:v>
      </ns0:c>
      <ns0:c r="J1673" t="n">
        <ns0:v>8375</ns0:v>
      </ns0:c>
      <ns0:c r="K1673" t="n">
        <ns0:v>3</ns0:v>
      </ns0:c>
      <ns0:c r="L1673" t="n">
        <ns0:v>0</ns0:v>
      </ns0:c>
      <ns0:c r="M1673" t="n">
        <ns0:v>165002</ns0:v>
      </ns0:c>
      <ns0:c r="N1673" t="n">
        <ns0:v>1559</ns0:v>
      </ns0:c>
      <ns0:c r="O1673" t="n">
        <ns0:v>166561</ns0:v>
      </ns0:c>
      <ns0:c r="P1673" t="n">
        <ns0:v>10</ns0:v>
      </ns0:c>
      <ns0:c r="Q1673">
        <ns0:f>IF(AND(L1673=1,O1673*Calculations!$B$2&lt;=Calculations!$B$10*Calculations!$B$4),1,0)</ns0:f>
        <ns0:v>0</ns0:v>
      </ns0:c>
      <ns0:c r="R1673">
        <ns0:f>IF(AND(L1673=1,O1673*Calculations!$B$2&lt;=Calculations!$B$11*Calculations!$B$4),1,0)</ns0:f>
        <ns0:v>0</ns0:v>
      </ns0:c>
    </ns0:row>
    <ns0:row r="1674">
      <ns0:c r="A1674" t="inlineStr">
        <ns0:is>
          <ns0:t>case_1673</ns0:t>
        </ns0:is>
      </ns0:c>
      <ns0:c r="B1674" t="inlineStr">
        <ns0:is>
          <ns0:t>function_0498</ns0:t>
        </ns0:is>
      </ns0:c>
      <ns0:c r="C1674" t="inlineStr">
        <ns0:is>
          <ns0:t>run_015</ns0:t>
        </ns0:is>
      </ns0:c>
      <ns0:c r="D1674" t="inlineStr">
        <ns0:is>
          <ns0:t>rustc-demangle</ns0:t>
        </ns0:is>
      </ns0:c>
      <ns0:c r="E1674" t="inlineStr">
        <ns0:is>
          <ns0:t>gemini-2.5-flash-nothinking</ns0:t>
        </ns0:is>
      </ns0:c>
      <ns0:c r="F1674" t="inlineStr">
        <ns0:is>
          <ns0:t>E0599</ns0:t>
        </ns0:is>
      </ns0:c>
      <ns0:c r="G1674" t="n">
        <ns0:v>0</ns0:v>
      </ns0:c>
      <ns0:c r="H1674" t="n">
        <ns0:v>2039</ns0:v>
      </ns0:c>
      <ns0:c r="I1674" t="n">
        <ns0:v>147</ns0:v>
      </ns0:c>
      <ns0:c r="J1674" t="n">
        <ns0:v>2186</ns0:v>
      </ns0:c>
      <ns0:c r="K1674" t="n">
        <ns0:v>3</ns0:v>
      </ns0:c>
      <ns0:c r="L1674" t="n">
        <ns0:v>0</ns0:v>
      </ns0:c>
      <ns0:c r="M1674" t="n">
        <ns0:v>231532</ns0:v>
      </ns0:c>
      <ns0:c r="N1674" t="n">
        <ns0:v>8336</ns0:v>
      </ns0:c>
      <ns0:c r="O1674" t="n">
        <ns0:v>239868</ns0:v>
      </ns0:c>
      <ns0:c r="P1674" t="n">
        <ns0:v>20</ns0:v>
      </ns0:c>
      <ns0:c r="Q1674">
        <ns0:f>IF(AND(L1674=1,O1674*Calculations!$B$2&lt;=Calculations!$B$10*Calculations!$B$4),1,0)</ns0:f>
        <ns0:v>0</ns0:v>
      </ns0:c>
      <ns0:c r="R1674">
        <ns0:f>IF(AND(L1674=1,O1674*Calculations!$B$2&lt;=Calculations!$B$11*Calculations!$B$4),1,0)</ns0:f>
        <ns0:v>0</ns0:v>
      </ns0:c>
    </ns0:row>
    <ns0:row r="1675">
      <ns0:c r="A1675" t="inlineStr">
        <ns0:is>
          <ns0:t>case_1674</ns0:t>
        </ns0:is>
      </ns0:c>
      <ns0:c r="B1675" t="inlineStr">
        <ns0:is>
          <ns0:t>function_0499</ns0:t>
        </ns0:is>
      </ns0:c>
      <ns0:c r="C1675" t="inlineStr">
        <ns0:is>
          <ns0:t>run_015</ns0:t>
        </ns0:is>
      </ns0:c>
      <ns0:c r="D1675" t="inlineStr">
        <ns0:is>
          <ns0:t>rustc-demangle</ns0:t>
        </ns0:is>
      </ns0:c>
      <ns0:c r="E1675" t="inlineStr">
        <ns0:is>
          <ns0:t>gemini-2.5-flash-nothinking</ns0:t>
        </ns0:is>
      </ns0:c>
      <ns0:c r="F1675" t="inlineStr">
        <ns0:is>
          <ns0:t>E0599</ns0:t>
        </ns0:is>
      </ns0:c>
      <ns0:c r="G1675" t="n">
        <ns0:v>0</ns0:v>
      </ns0:c>
      <ns0:c r="H1675" t="n">
        <ns0:v>3518</ns0:v>
      </ns0:c>
      <ns0:c r="I1675" t="n">
        <ns0:v>474</ns0:v>
      </ns0:c>
      <ns0:c r="J1675" t="n">
        <ns0:v>3992</ns0:v>
      </ns0:c>
      <ns0:c r="K1675" t="n">
        <ns0:v>3</ns0:v>
      </ns0:c>
      <ns0:c r="L1675" t="n">
        <ns0:v>0</ns0:v>
      </ns0:c>
      <ns0:c r="M1675" t="n">
        <ns0:v>844421</ns0:v>
      </ns0:c>
      <ns0:c r="N1675" t="n">
        <ns0:v>6539</ns0:v>
      </ns0:c>
      <ns0:c r="O1675" t="n">
        <ns0:v>850960</ns0:v>
      </ns0:c>
      <ns0:c r="P1675" t="n">
        <ns0:v>20</ns0:v>
      </ns0:c>
      <ns0:c r="Q1675">
        <ns0:f>IF(AND(L1675=1,O1675*Calculations!$B$2&lt;=Calculations!$B$10*Calculations!$B$4),1,0)</ns0:f>
        <ns0:v>0</ns0:v>
      </ns0:c>
      <ns0:c r="R1675">
        <ns0:f>IF(AND(L1675=1,O1675*Calculations!$B$2&lt;=Calculations!$B$11*Calculations!$B$4),1,0)</ns0:f>
        <ns0:v>0</ns0:v>
      </ns0:c>
    </ns0:row>
    <ns0:row r="1676">
      <ns0:c r="A1676" t="inlineStr">
        <ns0:is>
          <ns0:t>case_1675</ns0:t>
        </ns0:is>
      </ns0:c>
      <ns0:c r="B1676" t="inlineStr">
        <ns0:is>
          <ns0:t>function_0499</ns0:t>
        </ns0:is>
      </ns0:c>
      <ns0:c r="C1676" t="inlineStr">
        <ns0:is>
          <ns0:t>run_015</ns0:t>
        </ns0:is>
      </ns0:c>
      <ns0:c r="D1676" t="inlineStr">
        <ns0:is>
          <ns0:t>rustc-demangle</ns0:t>
        </ns0:is>
      </ns0:c>
      <ns0:c r="E1676" t="inlineStr">
        <ns0:is>
          <ns0:t>gemini-2.5-flash-nothinking</ns0:t>
        </ns0:is>
      </ns0:c>
      <ns0:c r="F1676" t="inlineStr">
        <ns0:is>
          <ns0:t>E0432,E0599</ns0:t>
        </ns0:is>
      </ns0:c>
      <ns0:c r="G1676" t="n">
        <ns0:v>0</ns0:v>
      </ns0:c>
      <ns0:c r="H1676" t="n">
        <ns0:v>3930</ns0:v>
      </ns0:c>
      <ns0:c r="I1676" t="n">
        <ns0:v>564</ns0:v>
      </ns0:c>
      <ns0:c r="J1676" t="n">
        <ns0:v>4494</ns0:v>
      </ns0:c>
      <ns0:c r="K1676" t="n">
        <ns0:v>3</ns0:v>
      </ns0:c>
      <ns0:c r="L1676" t="n">
        <ns0:v>1</ns0:v>
      </ns0:c>
      <ns0:c r="M1676" t="n">
        <ns0:v>185918</ns0:v>
      </ns0:c>
      <ns0:c r="N1676" t="n">
        <ns0:v>1781</ns0:v>
      </ns0:c>
      <ns0:c r="O1676" t="n">
        <ns0:v>187699</ns0:v>
      </ns0:c>
      <ns0:c r="P1676" t="n">
        <ns0:v>19</ns0:v>
      </ns0:c>
      <ns0:c r="Q1676">
        <ns0:f>IF(AND(L1676=1,O1676*Calculations!$B$2&lt;=Calculations!$B$10*Calculations!$B$4),1,0)</ns0:f>
        <ns0:v>0</ns0:v>
      </ns0:c>
      <ns0:c r="R1676">
        <ns0:f>IF(AND(L1676=1,O1676*Calculations!$B$2&lt;=Calculations!$B$11*Calculations!$B$4),1,0)</ns0:f>
        <ns0:v>0</ns0:v>
      </ns0:c>
    </ns0:row>
    <ns0:row r="1677">
      <ns0:c r="A1677" t="inlineStr">
        <ns0:is>
          <ns0:t>case_1676</ns0:t>
        </ns0:is>
      </ns0:c>
      <ns0:c r="B1677" t="inlineStr">
        <ns0:is>
          <ns0:t>function_0499</ns0:t>
        </ns0:is>
      </ns0:c>
      <ns0:c r="C1677" t="inlineStr">
        <ns0:is>
          <ns0:t>run_015</ns0:t>
        </ns0:is>
      </ns0:c>
      <ns0:c r="D1677" t="inlineStr">
        <ns0:is>
          <ns0:t>rustc-demangle</ns0:t>
        </ns0:is>
      </ns0:c>
      <ns0:c r="E1677" t="inlineStr">
        <ns0:is>
          <ns0:t>gemini-2.5-flash-nothinking</ns0:t>
        </ns0:is>
      </ns0:c>
      <ns0:c r="F1677" t="inlineStr">
        <ns0:is>
          <ns0:t>E0433</ns0:t>
        </ns0:is>
      </ns0:c>
      <ns0:c r="G1677" t="n">
        <ns0:v>0</ns0:v>
      </ns0:c>
      <ns0:c r="H1677" t="n">
        <ns0:v>4584</ns0:v>
      </ns0:c>
      <ns0:c r="I1677" t="n">
        <ns0:v>179</ns0:v>
      </ns0:c>
      <ns0:c r="J1677" t="n">
        <ns0:v>4763</ns0:v>
      </ns0:c>
      <ns0:c r="K1677" t="n">
        <ns0:v>3</ns0:v>
      </ns0:c>
      <ns0:c r="L1677" t="n">
        <ns0:v>1</ns0:v>
      </ns0:c>
      <ns0:c r="M1677" t="n">
        <ns0:v>255811</ns0:v>
      </ns0:c>
      <ns0:c r="N1677" t="n">
        <ns0:v>810</ns0:v>
      </ns0:c>
      <ns0:c r="O1677" t="n">
        <ns0:v>256621</ns0:v>
      </ns0:c>
      <ns0:c r="P1677" t="n">
        <ns0:v>9</ns0:v>
      </ns0:c>
      <ns0:c r="Q1677">
        <ns0:f>IF(AND(L1677=1,O1677*Calculations!$B$2&lt;=Calculations!$B$10*Calculations!$B$4),1,0)</ns0:f>
        <ns0:v>0</ns0:v>
      </ns0:c>
      <ns0:c r="R1677">
        <ns0:f>IF(AND(L1677=1,O1677*Calculations!$B$2&lt;=Calculations!$B$11*Calculations!$B$4),1,0)</ns0:f>
        <ns0:v>0</ns0:v>
      </ns0:c>
    </ns0:row>
    <ns0:row r="1678">
      <ns0:c r="A1678" t="inlineStr">
        <ns0:is>
          <ns0:t>case_1677</ns0:t>
        </ns0:is>
      </ns0:c>
      <ns0:c r="B1678" t="inlineStr">
        <ns0:is>
          <ns0:t>function_0499</ns0:t>
        </ns0:is>
      </ns0:c>
      <ns0:c r="C1678" t="inlineStr">
        <ns0:is>
          <ns0:t>run_015</ns0:t>
        </ns0:is>
      </ns0:c>
      <ns0:c r="D1678" t="inlineStr">
        <ns0:is>
          <ns0:t>rustc-demangle</ns0:t>
        </ns0:is>
      </ns0:c>
      <ns0:c r="E1678" t="inlineStr">
        <ns0:is>
          <ns0:t>gemini-2.5-flash-nothinking</ns0:t>
        </ns0:is>
      </ns0:c>
      <ns0:c r="F1678" t="inlineStr">
        <ns0:is>
          <ns0:t>E0433</ns0:t>
        </ns0:is>
      </ns0:c>
      <ns0:c r="G1678" t="n">
        <ns0:v>0</ns0:v>
      </ns0:c>
      <ns0:c r="H1678" t="n">
        <ns0:v>3844</ns0:v>
      </ns0:c>
      <ns0:c r="I1678" t="n">
        <ns0:v>171</ns0:v>
      </ns0:c>
      <ns0:c r="J1678" t="n">
        <ns0:v>4015</ns0:v>
      </ns0:c>
      <ns0:c r="K1678" t="n">
        <ns0:v>3</ns0:v>
      </ns0:c>
      <ns0:c r="L1678" t="n">
        <ns0:v>0</ns0:v>
      </ns0:c>
      <ns0:c r="M1678" t="n">
        <ns0:v>61530</ns0:v>
      </ns0:c>
      <ns0:c r="N1678" t="n">
        <ns0:v>965</ns0:v>
      </ns0:c>
      <ns0:c r="O1678" t="n">
        <ns0:v>62495</ns0:v>
      </ns0:c>
      <ns0:c r="P1678" t="n">
        <ns0:v>8</ns0:v>
      </ns0:c>
      <ns0:c r="Q1678">
        <ns0:f>IF(AND(L1678=1,O1678*Calculations!$B$2&lt;=Calculations!$B$10*Calculations!$B$4),1,0)</ns0:f>
        <ns0:v>0</ns0:v>
      </ns0:c>
      <ns0:c r="R1678">
        <ns0:f>IF(AND(L1678=1,O1678*Calculations!$B$2&lt;=Calculations!$B$11*Calculations!$B$4),1,0)</ns0:f>
        <ns0:v>0</ns0:v>
      </ns0:c>
    </ns0:row>
    <ns0:row r="1679">
      <ns0:c r="A1679" t="inlineStr">
        <ns0:is>
          <ns0:t>case_1678</ns0:t>
        </ns0:is>
      </ns0:c>
      <ns0:c r="B1679" t="inlineStr">
        <ns0:is>
          <ns0:t>function_0500</ns0:t>
        </ns0:is>
      </ns0:c>
      <ns0:c r="C1679" t="inlineStr">
        <ns0:is>
          <ns0:t>run_015</ns0:t>
        </ns0:is>
      </ns0:c>
      <ns0:c r="D1679" t="inlineStr">
        <ns0:is>
          <ns0:t>rustc-demangle</ns0:t>
        </ns0:is>
      </ns0:c>
      <ns0:c r="E1679" t="inlineStr">
        <ns0:is>
          <ns0:t>gemini-2.5-flash-nothinking</ns0:t>
        </ns0:is>
      </ns0:c>
      <ns0:c r="F1679" t="inlineStr">
        <ns0:is>
          <ns0:t>E0433</ns0:t>
        </ns0:is>
      </ns0:c>
      <ns0:c r="G1679" t="n">
        <ns0:v>1</ns0:v>
      </ns0:c>
      <ns0:c r="H1679" t="n">
        <ns0:v>2862</ns0:v>
      </ns0:c>
      <ns0:c r="I1679" t="n">
        <ns0:v>83</ns0:v>
      </ns0:c>
      <ns0:c r="J1679" t="n">
        <ns0:v>2945</ns0:v>
      </ns0:c>
      <ns0:c r="K1679" t="n">
        <ns0:v>1</ns0:v>
      </ns0:c>
      <ns0:c r="L1679" t="n">
        <ns0:v>1</ns0:v>
      </ns0:c>
      <ns0:c r="M1679" t="n">
        <ns0:v>64749</ns0:v>
      </ns0:c>
      <ns0:c r="N1679" t="n">
        <ns0:v>745</ns0:v>
      </ns0:c>
      <ns0:c r="O1679" t="n">
        <ns0:v>65494</ns0:v>
      </ns0:c>
      <ns0:c r="P1679" t="n">
        <ns0:v>8</ns0:v>
      </ns0:c>
      <ns0:c r="Q1679">
        <ns0:f>IF(AND(L1679=1,O1679*Calculations!$B$2&lt;=Calculations!$B$10*Calculations!$B$4),1,0)</ns0:f>
        <ns0:v>0</ns0:v>
      </ns0:c>
      <ns0:c r="R1679">
        <ns0:f>IF(AND(L1679=1,O1679*Calculations!$B$2&lt;=Calculations!$B$11*Calculations!$B$4),1,0)</ns0:f>
        <ns0:v>0</ns0:v>
      </ns0:c>
    </ns0:row>
    <ns0:row r="1680">
      <ns0:c r="A1680" t="inlineStr">
        <ns0:is>
          <ns0:t>case_1679</ns0:t>
        </ns0:is>
      </ns0:c>
      <ns0:c r="B1680" t="inlineStr">
        <ns0:is>
          <ns0:t>function_0500</ns0:t>
        </ns0:is>
      </ns0:c>
      <ns0:c r="C1680" t="inlineStr">
        <ns0:is>
          <ns0:t>run_015</ns0:t>
        </ns0:is>
      </ns0:c>
      <ns0:c r="D1680" t="inlineStr">
        <ns0:is>
          <ns0:t>rustc-demangle</ns0:t>
        </ns0:is>
      </ns0:c>
      <ns0:c r="E1680" t="inlineStr">
        <ns0:is>
          <ns0:t>gemini-2.5-flash-nothinking</ns0:t>
        </ns0:is>
      </ns0:c>
      <ns0:c r="F1680" t="inlineStr">
        <ns0:is>
          <ns0:t>E0261,E0433</ns0:t>
        </ns0:is>
      </ns0:c>
      <ns0:c r="G1680" t="n">
        <ns0:v>0</ns0:v>
      </ns0:c>
      <ns0:c r="H1680" t="n">
        <ns0:v>5084</ns0:v>
      </ns0:c>
      <ns0:c r="I1680" t="n">
        <ns0:v>273</ns0:v>
      </ns0:c>
      <ns0:c r="J1680" t="n">
        <ns0:v>5357</ns0:v>
      </ns0:c>
      <ns0:c r="K1680" t="n">
        <ns0:v>3</ns0:v>
      </ns0:c>
      <ns0:c r="L1680" t="n">
        <ns0:v>0</ns0:v>
      </ns0:c>
      <ns0:c r="M1680" t="n">
        <ns0:v>73527</ns0:v>
      </ns0:c>
      <ns0:c r="N1680" t="n">
        <ns0:v>1128</ns0:v>
      </ns0:c>
      <ns0:c r="O1680" t="n">
        <ns0:v>74655</ns0:v>
      </ns0:c>
      <ns0:c r="P1680" t="n">
        <ns0:v>9</ns0:v>
      </ns0:c>
      <ns0:c r="Q1680">
        <ns0:f>IF(AND(L1680=1,O1680*Calculations!$B$2&lt;=Calculations!$B$10*Calculations!$B$4),1,0)</ns0:f>
        <ns0:v>0</ns0:v>
      </ns0:c>
      <ns0:c r="R1680">
        <ns0:f>IF(AND(L1680=1,O1680*Calculations!$B$2&lt;=Calculations!$B$11*Calculations!$B$4),1,0)</ns0:f>
        <ns0:v>0</ns0:v>
      </ns0:c>
    </ns0:row>
    <ns0:row r="1681">
      <ns0:c r="A1681" t="inlineStr">
        <ns0:is>
          <ns0:t>case_1680</ns0:t>
        </ns0:is>
      </ns0:c>
      <ns0:c r="B1681" t="inlineStr">
        <ns0:is>
          <ns0:t>function_0500</ns0:t>
        </ns0:is>
      </ns0:c>
      <ns0:c r="C1681" t="inlineStr">
        <ns0:is>
          <ns0:t>run_015</ns0:t>
        </ns0:is>
      </ns0:c>
      <ns0:c r="D1681" t="inlineStr">
        <ns0:is>
          <ns0:t>rustc-demangle</ns0:t>
        </ns0:is>
      </ns0:c>
      <ns0:c r="E1681" t="inlineStr">
        <ns0:is>
          <ns0:t>gemini-2.5-flash-nothinking</ns0:t>
        </ns0:is>
      </ns0:c>
      <ns0:c r="F1681" t="inlineStr">
        <ns0:is>
          <ns0:t>E0433</ns0:t>
        </ns0:is>
      </ns0:c>
      <ns0:c r="G1681" t="n">
        <ns0:v>0</ns0:v>
      </ns0:c>
      <ns0:c r="H1681" t="n">
        <ns0:v>5434</ns0:v>
      </ns0:c>
      <ns0:c r="I1681" t="n">
        <ns0:v>264</ns0:v>
      </ns0:c>
      <ns0:c r="J1681" t="n">
        <ns0:v>5698</ns0:v>
      </ns0:c>
      <ns0:c r="K1681" t="n">
        <ns0:v>3</ns0:v>
      </ns0:c>
      <ns0:c r="L1681" t="n">
        <ns0:v>0</ns0:v>
      </ns0:c>
      <ns0:c r="M1681" t="n">
        <ns0:v>198266</ns0:v>
      </ns0:c>
      <ns0:c r="N1681" t="n">
        <ns0:v>6304</ns0:v>
      </ns0:c>
      <ns0:c r="O1681" t="n">
        <ns0:v>204570</ns0:v>
      </ns0:c>
      <ns0:c r="P1681" t="n">
        <ns0:v>7</ns0:v>
      </ns0:c>
      <ns0:c r="Q1681">
        <ns0:f>IF(AND(L1681=1,O1681*Calculations!$B$2&lt;=Calculations!$B$10*Calculations!$B$4),1,0)</ns0:f>
        <ns0:v>0</ns0:v>
      </ns0:c>
      <ns0:c r="R1681">
        <ns0:f>IF(AND(L1681=1,O1681*Calculations!$B$2&lt;=Calculations!$B$11*Calculations!$B$4),1,0)</ns0:f>
        <ns0:v>0</ns0:v>
      </ns0:c>
    </ns0:row>
    <ns0:row r="1682">
      <ns0:c r="A1682" t="inlineStr">
        <ns0:is>
          <ns0:t>case_1681</ns0:t>
        </ns0:is>
      </ns0:c>
      <ns0:c r="B1682" t="inlineStr">
        <ns0:is>
          <ns0:t>function_0500</ns0:t>
        </ns0:is>
      </ns0:c>
      <ns0:c r="C1682" t="inlineStr">
        <ns0:is>
          <ns0:t>run_015</ns0:t>
        </ns0:is>
      </ns0:c>
      <ns0:c r="D1682" t="inlineStr">
        <ns0:is>
          <ns0:t>rustc-demangle</ns0:t>
        </ns0:is>
      </ns0:c>
      <ns0:c r="E1682" t="inlineStr">
        <ns0:is>
          <ns0:t>gemini-2.5-flash-nothinking</ns0:t>
        </ns0:is>
      </ns0:c>
      <ns0:c r="F1682" t="inlineStr">
        <ns0:is>
          <ns0:t>E0560</ns0:t>
        </ns0:is>
      </ns0:c>
      <ns0:c r="G1682" t="n">
        <ns0:v>0</ns0:v>
      </ns0:c>
      <ns0:c r="H1682" t="n">
        <ns0:v>2834</ns0:v>
      </ns0:c>
      <ns0:c r="I1682" t="n">
        <ns0:v>492</ns0:v>
      </ns0:c>
      <ns0:c r="J1682" t="n">
        <ns0:v>3326</ns0:v>
      </ns0:c>
      <ns0:c r="K1682" t="n">
        <ns0:v>3</ns0:v>
      </ns0:c>
      <ns0:c r="L1682" t="n">
        <ns0:v>0</ns0:v>
      </ns0:c>
      <ns0:c r="M1682" t="n">
        <ns0:v>491049</ns0:v>
      </ns0:c>
      <ns0:c r="N1682" t="n">
        <ns0:v>1669</ns0:v>
      </ns0:c>
      <ns0:c r="O1682" t="n">
        <ns0:v>492718</ns0:v>
      </ns0:c>
      <ns0:c r="P1682" t="n">
        <ns0:v>20</ns0:v>
      </ns0:c>
      <ns0:c r="Q1682">
        <ns0:f>IF(AND(L1682=1,O1682*Calculations!$B$2&lt;=Calculations!$B$10*Calculations!$B$4),1,0)</ns0:f>
        <ns0:v>0</ns0:v>
      </ns0:c>
      <ns0:c r="R1682">
        <ns0:f>IF(AND(L1682=1,O1682*Calculations!$B$2&lt;=Calculations!$B$11*Calculations!$B$4),1,0)</ns0:f>
        <ns0:v>0</ns0:v>
      </ns0:c>
    </ns0:row>
    <ns0:row r="1683">
      <ns0:c r="A1683" t="inlineStr">
        <ns0:is>
          <ns0:t>case_1682</ns0:t>
        </ns0:is>
      </ns0:c>
      <ns0:c r="B1683" t="inlineStr">
        <ns0:is>
          <ns0:t>function_0501</ns0:t>
        </ns0:is>
      </ns0:c>
      <ns0:c r="C1683" t="inlineStr">
        <ns0:is>
          <ns0:t>run_015</ns0:t>
        </ns0:is>
      </ns0:c>
      <ns0:c r="D1683" t="inlineStr">
        <ns0:is>
          <ns0:t>rustc-demangle</ns0:t>
        </ns0:is>
      </ns0:c>
      <ns0:c r="E1683" t="inlineStr">
        <ns0:is>
          <ns0:t>gemini-2.5-flash-nothinking</ns0:t>
        </ns0:is>
      </ns0:c>
      <ns0:c r="F1683" t="inlineStr">
        <ns0:is>
          <ns0:t>E0063,E0277,E0308</ns0:t>
        </ns0:is>
      </ns0:c>
      <ns0:c r="G1683" t="n">
        <ns0:v>0</ns0:v>
      </ns0:c>
      <ns0:c r="H1683" t="n">
        <ns0:v>3974</ns0:v>
      </ns0:c>
      <ns0:c r="I1683" t="n">
        <ns0:v>1032</ns0:v>
      </ns0:c>
      <ns0:c r="J1683" t="n">
        <ns0:v>5006</ns0:v>
      </ns0:c>
      <ns0:c r="K1683" t="n">
        <ns0:v>3</ns0:v>
      </ns0:c>
      <ns0:c r="L1683" t="n">
        <ns0:v>0</ns0:v>
      </ns0:c>
      <ns0:c r="M1683" t="n">
        <ns0:v>521029</ns0:v>
      </ns0:c>
      <ns0:c r="N1683" t="n">
        <ns0:v>2823</ns0:v>
      </ns0:c>
      <ns0:c r="O1683" t="n">
        <ns0:v>523852</ns0:v>
      </ns0:c>
      <ns0:c r="P1683" t="n">
        <ns0:v>15</ns0:v>
      </ns0:c>
      <ns0:c r="Q1683">
        <ns0:f>IF(AND(L1683=1,O1683*Calculations!$B$2&lt;=Calculations!$B$10*Calculations!$B$4),1,0)</ns0:f>
        <ns0:v>0</ns0:v>
      </ns0:c>
      <ns0:c r="R1683">
        <ns0:f>IF(AND(L1683=1,O1683*Calculations!$B$2&lt;=Calculations!$B$11*Calculations!$B$4),1,0)</ns0:f>
        <ns0:v>0</ns0:v>
      </ns0:c>
    </ns0:row>
    <ns0:row r="1684">
      <ns0:c r="A1684" t="inlineStr">
        <ns0:is>
          <ns0:t>case_1683</ns0:t>
        </ns0:is>
      </ns0:c>
      <ns0:c r="B1684" t="inlineStr">
        <ns0:is>
          <ns0:t>function_0501</ns0:t>
        </ns0:is>
      </ns0:c>
      <ns0:c r="C1684" t="inlineStr">
        <ns0:is>
          <ns0:t>run_015</ns0:t>
        </ns0:is>
      </ns0:c>
      <ns0:c r="D1684" t="inlineStr">
        <ns0:is>
          <ns0:t>rustc-demangle</ns0:t>
        </ns0:is>
      </ns0:c>
      <ns0:c r="E1684" t="inlineStr">
        <ns0:is>
          <ns0:t>gemini-2.5-flash-nothinking</ns0:t>
        </ns0:is>
      </ns0:c>
      <ns0:c r="F1684" t="inlineStr">
        <ns0:is>
          <ns0:t>E0063,E0277,E0308</ns0:t>
        </ns0:is>
      </ns0:c>
      <ns0:c r="G1684" t="n">
        <ns0:v>0</ns0:v>
      </ns0:c>
      <ns0:c r="H1684" t="n">
        <ns0:v>3833</ns0:v>
      </ns0:c>
      <ns0:c r="I1684" t="n">
        <ns0:v>1223</ns0:v>
      </ns0:c>
      <ns0:c r="J1684" t="n">
        <ns0:v>5056</ns0:v>
      </ns0:c>
      <ns0:c r="K1684" t="n">
        <ns0:v>3</ns0:v>
      </ns0:c>
      <ns0:c r="L1684" t="n">
        <ns0:v>0</ns0:v>
      </ns0:c>
      <ns0:c r="M1684" t="n">
        <ns0:v>187208</ns0:v>
      </ns0:c>
      <ns0:c r="N1684" t="n">
        <ns0:v>2735</ns0:v>
      </ns0:c>
      <ns0:c r="O1684" t="n">
        <ns0:v>189943</ns0:v>
      </ns0:c>
      <ns0:c r="P1684" t="n">
        <ns0:v>20</ns0:v>
      </ns0:c>
      <ns0:c r="Q1684">
        <ns0:f>IF(AND(L1684=1,O1684*Calculations!$B$2&lt;=Calculations!$B$10*Calculations!$B$4),1,0)</ns0:f>
        <ns0:v>0</ns0:v>
      </ns0:c>
      <ns0:c r="R1684">
        <ns0:f>IF(AND(L1684=1,O1684*Calculations!$B$2&lt;=Calculations!$B$11*Calculations!$B$4),1,0)</ns0:f>
        <ns0:v>0</ns0:v>
      </ns0:c>
    </ns0:row>
    <ns0:row r="1685">
      <ns0:c r="A1685" t="inlineStr">
        <ns0:is>
          <ns0:t>case_1684</ns0:t>
        </ns0:is>
      </ns0:c>
      <ns0:c r="B1685" t="inlineStr">
        <ns0:is>
          <ns0:t>function_0501</ns0:t>
        </ns0:is>
      </ns0:c>
      <ns0:c r="C1685" t="inlineStr">
        <ns0:is>
          <ns0:t>run_015</ns0:t>
        </ns0:is>
      </ns0:c>
      <ns0:c r="D1685" t="inlineStr">
        <ns0:is>
          <ns0:t>rustc-demangle</ns0:t>
        </ns0:is>
      </ns0:c>
      <ns0:c r="E1685" t="inlineStr">
        <ns0:is>
          <ns0:t>gemini-2.5-flash-nothinking</ns0:t>
        </ns0:is>
      </ns0:c>
      <ns0:c r="F1685" t="inlineStr">
        <ns0:is>
          <ns0:t>E0433</ns0:t>
        </ns0:is>
      </ns0:c>
      <ns0:c r="G1685" t="n">
        <ns0:v>1</ns0:v>
      </ns0:c>
      <ns0:c r="H1685" t="n">
        <ns0:v>2973</ns0:v>
      </ns0:c>
      <ns0:c r="I1685" t="n">
        <ns0:v>104</ns0:v>
      </ns0:c>
      <ns0:c r="J1685" t="n">
        <ns0:v>3077</ns0:v>
      </ns0:c>
      <ns0:c r="K1685" t="n">
        <ns0:v>1</ns0:v>
      </ns0:c>
      <ns0:c r="L1685" t="n">
        <ns0:v>1</ns0:v>
      </ns0:c>
      <ns0:c r="M1685" t="n">
        <ns0:v>47392</ns0:v>
      </ns0:c>
      <ns0:c r="N1685" t="n">
        <ns0:v>484</ns0:v>
      </ns0:c>
      <ns0:c r="O1685" t="n">
        <ns0:v>47876</ns0:v>
      </ns0:c>
      <ns0:c r="P1685" t="n">
        <ns0:v>6</ns0:v>
      </ns0:c>
      <ns0:c r="Q1685">
        <ns0:f>IF(AND(L1685=1,O1685*Calculations!$B$2&lt;=Calculations!$B$10*Calculations!$B$4),1,0)</ns0:f>
        <ns0:v>0</ns0:v>
      </ns0:c>
      <ns0:c r="R1685">
        <ns0:f>IF(AND(L1685=1,O1685*Calculations!$B$2&lt;=Calculations!$B$11*Calculations!$B$4),1,0)</ns0:f>
        <ns0:v>0</ns0:v>
      </ns0:c>
    </ns0:row>
    <ns0:row r="1686">
      <ns0:c r="A1686" t="inlineStr">
        <ns0:is>
          <ns0:t>case_1685</ns0:t>
        </ns0:is>
      </ns0:c>
      <ns0:c r="B1686" t="inlineStr">
        <ns0:is>
          <ns0:t>function_0501</ns0:t>
        </ns0:is>
      </ns0:c>
      <ns0:c r="C1686" t="inlineStr">
        <ns0:is>
          <ns0:t>run_015</ns0:t>
        </ns0:is>
      </ns0:c>
      <ns0:c r="D1686" t="inlineStr">
        <ns0:is>
          <ns0:t>rustc-demangle</ns0:t>
        </ns0:is>
      </ns0:c>
      <ns0:c r="E1686" t="inlineStr">
        <ns0:is>
          <ns0:t>gemini-2.5-flash-nothinking</ns0:t>
        </ns0:is>
      </ns0:c>
      <ns0:c r="F1686" t="inlineStr">
        <ns0:is>
          <ns0:t>E0063,E0277,E0308</ns0:t>
        </ns0:is>
      </ns0:c>
      <ns0:c r="G1686" t="n">
        <ns0:v>0</ns0:v>
      </ns0:c>
      <ns0:c r="H1686" t="n">
        <ns0:v>14370</ns0:v>
      </ns0:c>
      <ns0:c r="I1686" t="n">
        <ns0:v>1658</ns0:v>
      </ns0:c>
      <ns0:c r="J1686" t="n">
        <ns0:v>16028</ns0:v>
      </ns0:c>
      <ns0:c r="K1686" t="n">
        <ns0:v>18</ns0:v>
      </ns0:c>
      <ns0:c r="L1686" t="n">
        <ns0:v>0</ns0:v>
      </ns0:c>
      <ns0:c r="M1686" t="n">
        <ns0:v>1006714</ns0:v>
      </ns0:c>
      <ns0:c r="N1686" t="n">
        <ns0:v>3891</ns0:v>
      </ns0:c>
      <ns0:c r="O1686" t="n">
        <ns0:v>1010605</ns0:v>
      </ns0:c>
      <ns0:c r="P1686" t="n">
        <ns0:v>25</ns0:v>
      </ns0:c>
      <ns0:c r="Q1686">
        <ns0:f>IF(AND(L1686=1,O1686*Calculations!$B$2&lt;=Calculations!$B$10*Calculations!$B$4),1,0)</ns0:f>
        <ns0:v>0</ns0:v>
      </ns0:c>
      <ns0:c r="R1686">
        <ns0:f>IF(AND(L1686=1,O1686*Calculations!$B$2&lt;=Calculations!$B$11*Calculations!$B$4),1,0)</ns0:f>
        <ns0:v>0</ns0:v>
      </ns0:c>
    </ns0:row>
    <ns0:row r="1687">
      <ns0:c r="A1687" t="inlineStr">
        <ns0:is>
          <ns0:t>case_1686</ns0:t>
        </ns0:is>
      </ns0:c>
      <ns0:c r="B1687" t="inlineStr">
        <ns0:is>
          <ns0:t>function_0502</ns0:t>
        </ns0:is>
      </ns0:c>
      <ns0:c r="C1687" t="inlineStr">
        <ns0:is>
          <ns0:t>run_015</ns0:t>
        </ns0:is>
      </ns0:c>
      <ns0:c r="D1687" t="inlineStr">
        <ns0:is>
          <ns0:t>rustc-demangle</ns0:t>
        </ns0:is>
      </ns0:c>
      <ns0:c r="E1687" t="inlineStr">
        <ns0:is>
          <ns0:t>gemini-2.5-flash-nothinking</ns0:t>
        </ns0:is>
      </ns0:c>
      <ns0:c r="F1687" t="inlineStr">
        <ns0:is>
          <ns0:t>E0433</ns0:t>
        </ns0:is>
      </ns0:c>
      <ns0:c r="G1687" t="n">
        <ns0:v>1</ns0:v>
      </ns0:c>
      <ns0:c r="H1687" t="n">
        <ns0:v>21835</ns0:v>
      </ns0:c>
      <ns0:c r="I1687" t="n">
        <ns0:v>953</ns0:v>
      </ns0:c>
      <ns0:c r="J1687" t="n">
        <ns0:v>22788</ns0:v>
      </ns0:c>
      <ns0:c r="K1687" t="n">
        <ns0:v>8</ns0:v>
      </ns0:c>
      <ns0:c r="L1687" t="n">
        <ns0:v>0</ns0:v>
      </ns0:c>
      <ns0:c r="M1687" t="n">
        <ns0:v>248990</ns0:v>
      </ns0:c>
      <ns0:c r="N1687" t="n">
        <ns0:v>1554</ns0:v>
      </ns0:c>
      <ns0:c r="O1687" t="n">
        <ns0:v>250544</ns0:v>
      </ns0:c>
      <ns0:c r="P1687" t="n">
        <ns0:v>20</ns0:v>
      </ns0:c>
      <ns0:c r="Q1687">
        <ns0:f>IF(AND(L1687=1,O1687*Calculations!$B$2&lt;=Calculations!$B$10*Calculations!$B$4),1,0)</ns0:f>
        <ns0:v>0</ns0:v>
      </ns0:c>
      <ns0:c r="R1687">
        <ns0:f>IF(AND(L1687=1,O1687*Calculations!$B$2&lt;=Calculations!$B$11*Calculations!$B$4),1,0)</ns0:f>
        <ns0:v>0</ns0:v>
      </ns0:c>
    </ns0:row>
    <ns0:row r="1688">
      <ns0:c r="A1688" t="inlineStr">
        <ns0:is>
          <ns0:t>case_1687</ns0:t>
        </ns0:is>
      </ns0:c>
      <ns0:c r="B1688" t="inlineStr">
        <ns0:is>
          <ns0:t>function_0502</ns0:t>
        </ns0:is>
      </ns0:c>
      <ns0:c r="C1688" t="inlineStr">
        <ns0:is>
          <ns0:t>run_015</ns0:t>
        </ns0:is>
      </ns0:c>
      <ns0:c r="D1688" t="inlineStr">
        <ns0:is>
          <ns0:t>rustc-demangle</ns0:t>
        </ns0:is>
      </ns0:c>
      <ns0:c r="E1688" t="inlineStr">
        <ns0:is>
          <ns0:t>gemini-2.5-flash-nothinking</ns0:t>
        </ns0:is>
      </ns0:c>
      <ns0:c r="F1688" t="inlineStr">
        <ns0:is>
          <ns0:t>E0261,E0277,E0308,E0560</ns0:t>
        </ns0:is>
      </ns0:c>
      <ns0:c r="G1688" t="n">
        <ns0:v>0</ns0:v>
      </ns0:c>
      <ns0:c r="H1688" t="n">
        <ns0:v>41532</ns0:v>
      </ns0:c>
      <ns0:c r="I1688" t="n">
        <ns0:v>2646</ns0:v>
      </ns0:c>
      <ns0:c r="J1688" t="n">
        <ns0:v>44178</ns0:v>
      </ns0:c>
      <ns0:c r="K1688" t="n">
        <ns0:v>18</ns0:v>
      </ns0:c>
      <ns0:c r="L1688" t="n">
        <ns0:v>0</ns0:v>
      </ns0:c>
      <ns0:c r="M1688" t="n">
        <ns0:v>133070</ns0:v>
      </ns0:c>
      <ns0:c r="N1688" t="n">
        <ns0:v>1054</ns0:v>
      </ns0:c>
      <ns0:c r="O1688" t="n">
        <ns0:v>134124</ns0:v>
      </ns0:c>
      <ns0:c r="P1688" t="n">
        <ns0:v>4</ns0:v>
      </ns0:c>
      <ns0:c r="Q1688">
        <ns0:f>IF(AND(L1688=1,O1688*Calculations!$B$2&lt;=Calculations!$B$10*Calculations!$B$4),1,0)</ns0:f>
        <ns0:v>0</ns0:v>
      </ns0:c>
      <ns0:c r="R1688">
        <ns0:f>IF(AND(L1688=1,O1688*Calculations!$B$2&lt;=Calculations!$B$11*Calculations!$B$4),1,0)</ns0:f>
        <ns0:v>0</ns0:v>
      </ns0:c>
    </ns0:row>
    <ns0:row r="1689">
      <ns0:c r="A1689" t="inlineStr">
        <ns0:is>
          <ns0:t>case_1688</ns0:t>
        </ns0:is>
      </ns0:c>
      <ns0:c r="B1689" t="inlineStr">
        <ns0:is>
          <ns0:t>function_0502</ns0:t>
        </ns0:is>
      </ns0:c>
      <ns0:c r="C1689" t="inlineStr">
        <ns0:is>
          <ns0:t>run_015</ns0:t>
        </ns0:is>
      </ns0:c>
      <ns0:c r="D1689" t="inlineStr">
        <ns0:is>
          <ns0:t>rustc-demangle</ns0:t>
        </ns0:is>
      </ns0:c>
      <ns0:c r="E1689" t="inlineStr">
        <ns0:is>
          <ns0:t>gemini-2.5-flash-nothinking</ns0:t>
        </ns0:is>
      </ns0:c>
      <ns0:c r="F1689" t="inlineStr">
        <ns0:is>
          <ns0:t>E0433</ns0:t>
        </ns0:is>
      </ns0:c>
      <ns0:c r="G1689" t="n">
        <ns0:v>0</ns0:v>
      </ns0:c>
      <ns0:c r="H1689" t="n">
        <ns0:v>37808</ns0:v>
      </ns0:c>
      <ns0:c r="I1689" t="n">
        <ns0:v>2358</ns0:v>
      </ns0:c>
      <ns0:c r="J1689" t="n">
        <ns0:v>40166</ns0:v>
      </ns0:c>
      <ns0:c r="K1689" t="n">
        <ns0:v>16</ns0:v>
      </ns0:c>
      <ns0:c r="L1689" t="n">
        <ns0:v>0</ns0:v>
      </ns0:c>
      <ns0:c r="M1689" t="n">
        <ns0:v>858839</ns0:v>
      </ns0:c>
      <ns0:c r="N1689" t="n">
        <ns0:v>5165</ns0:v>
      </ns0:c>
      <ns0:c r="O1689" t="n">
        <ns0:v>864004</ns0:v>
      </ns0:c>
      <ns0:c r="P1689" t="n">
        <ns0:v>20</ns0:v>
      </ns0:c>
      <ns0:c r="Q1689">
        <ns0:f>IF(AND(L1689=1,O1689*Calculations!$B$2&lt;=Calculations!$B$10*Calculations!$B$4),1,0)</ns0:f>
        <ns0:v>0</ns0:v>
      </ns0:c>
      <ns0:c r="R1689">
        <ns0:f>IF(AND(L1689=1,O1689*Calculations!$B$2&lt;=Calculations!$B$11*Calculations!$B$4),1,0)</ns0:f>
        <ns0:v>0</ns0:v>
      </ns0:c>
    </ns0:row>
    <ns0:row r="1690">
      <ns0:c r="A1690" t="inlineStr">
        <ns0:is>
          <ns0:t>case_1689</ns0:t>
        </ns0:is>
      </ns0:c>
      <ns0:c r="B1690" t="inlineStr">
        <ns0:is>
          <ns0:t>function_0502</ns0:t>
        </ns0:is>
      </ns0:c>
      <ns0:c r="C1690" t="inlineStr">
        <ns0:is>
          <ns0:t>run_015</ns0:t>
        </ns0:is>
      </ns0:c>
      <ns0:c r="D1690" t="inlineStr">
        <ns0:is>
          <ns0:t>rustc-demangle</ns0:t>
        </ns0:is>
      </ns0:c>
      <ns0:c r="E1690" t="inlineStr">
        <ns0:is>
          <ns0:t>gemini-2.5-flash-nothinking</ns0:t>
        </ns0:is>
      </ns0:c>
      <ns0:c r="F1690" t="inlineStr">
        <ns0:is>
          <ns0:t>E0277</ns0:t>
        </ns0:is>
      </ns0:c>
      <ns0:c r="G1690" t="n">
        <ns0:v>0</ns0:v>
      </ns0:c>
      <ns0:c r="H1690" t="n">
        <ns0:v>28436</ns0:v>
      </ns0:c>
      <ns0:c r="I1690" t="n">
        <ns0:v>2985</ns0:v>
      </ns0:c>
      <ns0:c r="J1690" t="n">
        <ns0:v>31421</ns0:v>
      </ns0:c>
      <ns0:c r="K1690" t="n">
        <ns0:v>39</ns0:v>
      </ns0:c>
      <ns0:c r="L1690" t="n">
        <ns0:v>0</ns0:v>
      </ns0:c>
      <ns0:c r="M1690" t="n">
        <ns0:v>232765</ns0:v>
      </ns0:c>
      <ns0:c r="N1690" t="n">
        <ns0:v>2183</ns0:v>
      </ns0:c>
      <ns0:c r="O1690" t="n">
        <ns0:v>234948</ns0:v>
      </ns0:c>
      <ns0:c r="P1690" t="n">
        <ns0:v>20</ns0:v>
      </ns0:c>
      <ns0:c r="Q1690">
        <ns0:f>IF(AND(L1690=1,O1690*Calculations!$B$2&lt;=Calculations!$B$10*Calculations!$B$4),1,0)</ns0:f>
        <ns0:v>0</ns0:v>
      </ns0:c>
      <ns0:c r="R1690">
        <ns0:f>IF(AND(L1690=1,O1690*Calculations!$B$2&lt;=Calculations!$B$11*Calculations!$B$4),1,0)</ns0:f>
        <ns0:v>0</ns0:v>
      </ns0:c>
    </ns0:row>
    <ns0:row r="1691">
      <ns0:c r="A1691" t="inlineStr">
        <ns0:is>
          <ns0:t>case_1690</ns0:t>
        </ns0:is>
      </ns0:c>
      <ns0:c r="B1691" t="inlineStr">
        <ns0:is>
          <ns0:t>function_0503</ns0:t>
        </ns0:is>
      </ns0:c>
      <ns0:c r="C1691" t="inlineStr">
        <ns0:is>
          <ns0:t>run_015</ns0:t>
        </ns0:is>
      </ns0:c>
      <ns0:c r="D1691" t="inlineStr">
        <ns0:is>
          <ns0:t>rustc-demangle</ns0:t>
        </ns0:is>
      </ns0:c>
      <ns0:c r="E1691" t="inlineStr">
        <ns0:is>
          <ns0:t>gemini-2.5-flash-nothinking</ns0:t>
        </ns0:is>
      </ns0:c>
      <ns0:c r="F1691" t="inlineStr">
        <ns0:is>
          <ns0:t>E0433</ns0:t>
        </ns0:is>
      </ns0:c>
      <ns0:c r="G1691" t="n">
        <ns0:v>0</ns0:v>
      </ns0:c>
      <ns0:c r="H1691" t="n">
        <ns0:v>14719</ns0:v>
      </ns0:c>
      <ns0:c r="I1691" t="n">
        <ns0:v>4264</ns0:v>
      </ns0:c>
      <ns0:c r="J1691" t="n">
        <ns0:v>18983</ns0:v>
      </ns0:c>
      <ns0:c r="K1691" t="n">
        <ns0:v>3</ns0:v>
      </ns0:c>
      <ns0:c r="L1691" t="n">
        <ns0:v>0</ns0:v>
      </ns0:c>
      <ns0:c r="M1691" t="n">
        <ns0:v>244341</ns0:v>
      </ns0:c>
      <ns0:c r="N1691" t="n">
        <ns0:v>2323</ns0:v>
      </ns0:c>
      <ns0:c r="O1691" t="n">
        <ns0:v>246664</ns0:v>
      </ns0:c>
      <ns0:c r="P1691" t="n">
        <ns0:v>20</ns0:v>
      </ns0:c>
      <ns0:c r="Q1691">
        <ns0:f>IF(AND(L1691=1,O1691*Calculations!$B$2&lt;=Calculations!$B$10*Calculations!$B$4),1,0)</ns0:f>
        <ns0:v>0</ns0:v>
      </ns0:c>
      <ns0:c r="R1691">
        <ns0:f>IF(AND(L1691=1,O1691*Calculations!$B$2&lt;=Calculations!$B$11*Calculations!$B$4),1,0)</ns0:f>
        <ns0:v>0</ns0:v>
      </ns0:c>
    </ns0:row>
    <ns0:row r="1692">
      <ns0:c r="A1692" t="inlineStr">
        <ns0:is>
          <ns0:t>case_1691</ns0:t>
        </ns0:is>
      </ns0:c>
      <ns0:c r="B1692" t="inlineStr">
        <ns0:is>
          <ns0:t>function_0503</ns0:t>
        </ns0:is>
      </ns0:c>
      <ns0:c r="C1692" t="inlineStr">
        <ns0:is>
          <ns0:t>run_015</ns0:t>
        </ns0:is>
      </ns0:c>
      <ns0:c r="D1692" t="inlineStr">
        <ns0:is>
          <ns0:t>rustc-demangle</ns0:t>
        </ns0:is>
      </ns0:c>
      <ns0:c r="E1692" t="inlineStr">
        <ns0:is>
          <ns0:t>gemini-2.5-flash-nothinking</ns0:t>
        </ns0:is>
      </ns0:c>
      <ns0:c r="F1692" t="inlineStr">
        <ns0:is>
          <ns0:t>E0261,E0599</ns0:t>
        </ns0:is>
      </ns0:c>
      <ns0:c r="G1692" t="n">
        <ns0:v>0</ns0:v>
      </ns0:c>
      <ns0:c r="H1692" t="n">
        <ns0:v>2760</ns0:v>
      </ns0:c>
      <ns0:c r="I1692" t="n">
        <ns0:v>203</ns0:v>
      </ns0:c>
      <ns0:c r="J1692" t="n">
        <ns0:v>2963</ns0:v>
      </ns0:c>
      <ns0:c r="K1692" t="n">
        <ns0:v>3</ns0:v>
      </ns0:c>
      <ns0:c r="L1692" t="n">
        <ns0:v>0</ns0:v>
      </ns0:c>
      <ns0:c r="M1692" t="n">
        <ns0:v>67691</ns0:v>
      </ns0:c>
      <ns0:c r="N1692" t="n">
        <ns0:v>680</ns0:v>
      </ns0:c>
      <ns0:c r="O1692" t="n">
        <ns0:v>68371</ns0:v>
      </ns0:c>
      <ns0:c r="P1692" t="n">
        <ns0:v>8</ns0:v>
      </ns0:c>
      <ns0:c r="Q1692">
        <ns0:f>IF(AND(L1692=1,O1692*Calculations!$B$2&lt;=Calculations!$B$10*Calculations!$B$4),1,0)</ns0:f>
        <ns0:v>0</ns0:v>
      </ns0:c>
      <ns0:c r="R1692">
        <ns0:f>IF(AND(L1692=1,O1692*Calculations!$B$2&lt;=Calculations!$B$11*Calculations!$B$4),1,0)</ns0:f>
        <ns0:v>0</ns0:v>
      </ns0:c>
    </ns0:row>
    <ns0:row r="1693">
      <ns0:c r="A1693" t="inlineStr">
        <ns0:is>
          <ns0:t>case_1692</ns0:t>
        </ns0:is>
      </ns0:c>
      <ns0:c r="B1693" t="inlineStr">
        <ns0:is>
          <ns0:t>function_0503</ns0:t>
        </ns0:is>
      </ns0:c>
      <ns0:c r="C1693" t="inlineStr">
        <ns0:is>
          <ns0:t>run_015</ns0:t>
        </ns0:is>
      </ns0:c>
      <ns0:c r="D1693" t="inlineStr">
        <ns0:is>
          <ns0:t>rustc-demangle</ns0:t>
        </ns0:is>
      </ns0:c>
      <ns0:c r="E1693" t="inlineStr">
        <ns0:is>
          <ns0:t>gemini-2.5-flash-nothinking</ns0:t>
        </ns0:is>
      </ns0:c>
      <ns0:c r="F1693" t="inlineStr">
        <ns0:is>
          <ns0:t>E0433</ns0:t>
        </ns0:is>
      </ns0:c>
      <ns0:c r="G1693" t="n">
        <ns0:v>0</ns0:v>
      </ns0:c>
      <ns0:c r="H1693" t="n">
        <ns0:v>4480</ns0:v>
      </ns0:c>
      <ns0:c r="I1693" t="n">
        <ns0:v>173</ns0:v>
      </ns0:c>
      <ns0:c r="J1693" t="n">
        <ns0:v>4653</ns0:v>
      </ns0:c>
      <ns0:c r="K1693" t="n">
        <ns0:v>3</ns0:v>
      </ns0:c>
      <ns0:c r="L1693" t="n">
        <ns0:v>0</ns0:v>
      </ns0:c>
      <ns0:c r="M1693" t="n">
        <ns0:v>160629</ns0:v>
      </ns0:c>
      <ns0:c r="N1693" t="n">
        <ns0:v>526</ns0:v>
      </ns0:c>
      <ns0:c r="O1693" t="n">
        <ns0:v>161155</ns0:v>
      </ns0:c>
      <ns0:c r="P1693" t="n">
        <ns0:v>6</ns0:v>
      </ns0:c>
      <ns0:c r="Q1693">
        <ns0:f>IF(AND(L1693=1,O1693*Calculations!$B$2&lt;=Calculations!$B$10*Calculations!$B$4),1,0)</ns0:f>
        <ns0:v>0</ns0:v>
      </ns0:c>
      <ns0:c r="R1693">
        <ns0:f>IF(AND(L1693=1,O1693*Calculations!$B$2&lt;=Calculations!$B$11*Calculations!$B$4),1,0)</ns0:f>
        <ns0:v>0</ns0:v>
      </ns0:c>
    </ns0:row>
    <ns0:row r="1694">
      <ns0:c r="A1694" t="inlineStr">
        <ns0:is>
          <ns0:t>case_1693</ns0:t>
        </ns0:is>
      </ns0:c>
      <ns0:c r="B1694" t="inlineStr">
        <ns0:is>
          <ns0:t>function_0503</ns0:t>
        </ns0:is>
      </ns0:c>
      <ns0:c r="C1694" t="inlineStr">
        <ns0:is>
          <ns0:t>run_015</ns0:t>
        </ns0:is>
      </ns0:c>
      <ns0:c r="D1694" t="inlineStr">
        <ns0:is>
          <ns0:t>rustc-demangle</ns0:t>
        </ns0:is>
      </ns0:c>
      <ns0:c r="E1694" t="inlineStr">
        <ns0:is>
          <ns0:t>gemini-2.5-flash-nothinking</ns0:t>
        </ns0:is>
      </ns0:c>
      <ns0:c r="F1694" t="inlineStr">
        <ns0:is>
          <ns0:t>E0765</ns0:t>
        </ns0:is>
      </ns0:c>
      <ns0:c r="G1694" t="n">
        <ns0:v>0</ns0:v>
      </ns0:c>
      <ns0:c r="H1694" t="n">
        <ns0:v>0</ns0:v>
      </ns0:c>
      <ns0:c r="I1694" t="n">
        <ns0:v>0</ns0:v>
      </ns0:c>
      <ns0:c r="J1694" t="n">
        <ns0:v>0</ns0:v>
      </ns0:c>
      <ns0:c r="K1694" t="n">
        <ns0:v>0</ns0:v>
      </ns0:c>
      <ns0:c r="L1694" t="n">
        <ns0:v>0</ns0:v>
      </ns0:c>
      <ns0:c r="M1694" t="n">
        <ns0:v>339837</ns0:v>
      </ns0:c>
      <ns0:c r="N1694" t="n">
        <ns0:v>19822</ns0:v>
      </ns0:c>
      <ns0:c r="O1694" t="n">
        <ns0:v>359659</ns0:v>
      </ns0:c>
      <ns0:c r="P1694" t="n">
        <ns0:v>13</ns0:v>
      </ns0:c>
      <ns0:c r="Q1694">
        <ns0:f>IF(AND(L1694=1,O1694*Calculations!$B$2&lt;=Calculations!$B$10*Calculations!$B$4),1,0)</ns0:f>
        <ns0:v>0</ns0:v>
      </ns0:c>
      <ns0:c r="R1694">
        <ns0:f>IF(AND(L1694=1,O1694*Calculations!$B$2&lt;=Calculations!$B$11*Calculations!$B$4),1,0)</ns0:f>
        <ns0:v>0</ns0:v>
      </ns0:c>
    </ns0:row>
    <ns0:row r="1695">
      <ns0:c r="A1695" t="inlineStr">
        <ns0:is>
          <ns0:t>case_1694</ns0:t>
        </ns0:is>
      </ns0:c>
      <ns0:c r="B1695" t="inlineStr">
        <ns0:is>
          <ns0:t>function_0504</ns0:t>
        </ns0:is>
      </ns0:c>
      <ns0:c r="C1695" t="inlineStr">
        <ns0:is>
          <ns0:t>run_015</ns0:t>
        </ns0:is>
      </ns0:c>
      <ns0:c r="D1695" t="inlineStr">
        <ns0:is>
          <ns0:t>rustc-demangle</ns0:t>
        </ns0:is>
      </ns0:c>
      <ns0:c r="E1695" t="inlineStr">
        <ns0:is>
          <ns0:t>gemini-2.5-flash-nothinking</ns0:t>
        </ns0:is>
      </ns0:c>
      <ns0:c r="F1695" t="inlineStr">
        <ns0:is>
          <ns0:t>E0433,E0599</ns0:t>
        </ns0:is>
      </ns0:c>
      <ns0:c r="G1695" t="n">
        <ns0:v>0</ns0:v>
      </ns0:c>
      <ns0:c r="H1695" t="n">
        <ns0:v>20087</ns0:v>
      </ns0:c>
      <ns0:c r="I1695" t="n">
        <ns0:v>1436</ns0:v>
      </ns0:c>
      <ns0:c r="J1695" t="n">
        <ns0:v>21523</ns0:v>
      </ns0:c>
      <ns0:c r="K1695" t="n">
        <ns0:v>12</ns0:v>
      </ns0:c>
      <ns0:c r="L1695" t="n">
        <ns0:v>0</ns0:v>
      </ns0:c>
      <ns0:c r="M1695" t="n">
        <ns0:v>494811</ns0:v>
      </ns0:c>
      <ns0:c r="N1695" t="n">
        <ns0:v>7167</ns0:v>
      </ns0:c>
      <ns0:c r="O1695" t="n">
        <ns0:v>501978</ns0:v>
      </ns0:c>
      <ns0:c r="P1695" t="n">
        <ns0:v>21</ns0:v>
      </ns0:c>
      <ns0:c r="Q1695">
        <ns0:f>IF(AND(L1695=1,O1695*Calculations!$B$2&lt;=Calculations!$B$10*Calculations!$B$4),1,0)</ns0:f>
        <ns0:v>0</ns0:v>
      </ns0:c>
      <ns0:c r="R1695">
        <ns0:f>IF(AND(L1695=1,O1695*Calculations!$B$2&lt;=Calculations!$B$11*Calculations!$B$4),1,0)</ns0:f>
        <ns0:v>0</ns0:v>
      </ns0:c>
    </ns0:row>
    <ns0:row r="1696">
      <ns0:c r="A1696" t="inlineStr">
        <ns0:is>
          <ns0:t>case_1695</ns0:t>
        </ns0:is>
      </ns0:c>
      <ns0:c r="B1696" t="inlineStr">
        <ns0:is>
          <ns0:t>function_0504</ns0:t>
        </ns0:is>
      </ns0:c>
      <ns0:c r="C1696" t="inlineStr">
        <ns0:is>
          <ns0:t>run_015</ns0:t>
        </ns0:is>
      </ns0:c>
      <ns0:c r="D1696" t="inlineStr">
        <ns0:is>
          <ns0:t>rustc-demangle</ns0:t>
        </ns0:is>
      </ns0:c>
      <ns0:c r="E1696" t="inlineStr">
        <ns0:is>
          <ns0:t>gemini-2.5-flash-nothinking</ns0:t>
        </ns0:is>
      </ns0:c>
      <ns0:c r="F1696" t="inlineStr">
        <ns0:is>
          <ns0:t>E0599</ns0:t>
        </ns0:is>
      </ns0:c>
      <ns0:c r="G1696" t="n">
        <ns0:v>0</ns0:v>
      </ns0:c>
      <ns0:c r="H1696" t="n">
        <ns0:v>3497</ns0:v>
      </ns0:c>
      <ns0:c r="I1696" t="n">
        <ns0:v>1258</ns0:v>
      </ns0:c>
      <ns0:c r="J1696" t="n">
        <ns0:v>4755</ns0:v>
      </ns0:c>
      <ns0:c r="K1696" t="n">
        <ns0:v>3</ns0:v>
      </ns0:c>
      <ns0:c r="L1696" t="n">
        <ns0:v>0</ns0:v>
      </ns0:c>
      <ns0:c r="M1696" t="n">
        <ns0:v>113081</ns0:v>
      </ns0:c>
      <ns0:c r="N1696" t="n">
        <ns0:v>872</ns0:v>
      </ns0:c>
      <ns0:c r="O1696" t="n">
        <ns0:v>113953</ns0:v>
      </ns0:c>
      <ns0:c r="P1696" t="n">
        <ns0:v>12</ns0:v>
      </ns0:c>
      <ns0:c r="Q1696">
        <ns0:f>IF(AND(L1696=1,O1696*Calculations!$B$2&lt;=Calculations!$B$10*Calculations!$B$4),1,0)</ns0:f>
        <ns0:v>0</ns0:v>
      </ns0:c>
      <ns0:c r="R1696">
        <ns0:f>IF(AND(L1696=1,O1696*Calculations!$B$2&lt;=Calculations!$B$11*Calculations!$B$4),1,0)</ns0:f>
        <ns0:v>0</ns0:v>
      </ns0:c>
    </ns0:row>
    <ns0:row r="1697">
      <ns0:c r="A1697" t="inlineStr">
        <ns0:is>
          <ns0:t>case_1696</ns0:t>
        </ns0:is>
      </ns0:c>
      <ns0:c r="B1697" t="inlineStr">
        <ns0:is>
          <ns0:t>function_0504</ns0:t>
        </ns0:is>
      </ns0:c>
      <ns0:c r="C1697" t="inlineStr">
        <ns0:is>
          <ns0:t>run_015</ns0:t>
        </ns0:is>
      </ns0:c>
      <ns0:c r="D1697" t="inlineStr">
        <ns0:is>
          <ns0:t>rustc-demangle</ns0:t>
        </ns0:is>
      </ns0:c>
      <ns0:c r="E1697" t="inlineStr">
        <ns0:is>
          <ns0:t>gemini-2.5-flash-nothinking</ns0:t>
        </ns0:is>
      </ns0:c>
      <ns0:c r="F1697" t="inlineStr">
        <ns0:is>
          <ns0:t>E0599</ns0:t>
        </ns0:is>
      </ns0:c>
      <ns0:c r="G1697" t="n">
        <ns0:v>0</ns0:v>
      </ns0:c>
      <ns0:c r="H1697" t="n">
        <ns0:v>4261</ns0:v>
      </ns0:c>
      <ns0:c r="I1697" t="n">
        <ns0:v>1060</ns0:v>
      </ns0:c>
      <ns0:c r="J1697" t="n">
        <ns0:v>5321</ns0:v>
      </ns0:c>
      <ns0:c r="K1697" t="n">
        <ns0:v>3</ns0:v>
      </ns0:c>
      <ns0:c r="L1697" t="n">
        <ns0:v>0</ns0:v>
      </ns0:c>
      <ns0:c r="M1697" t="n">
        <ns0:v>262023</ns0:v>
      </ns0:c>
      <ns0:c r="N1697" t="n">
        <ns0:v>2615</ns0:v>
      </ns0:c>
      <ns0:c r="O1697" t="n">
        <ns0:v>264638</ns0:v>
      </ns0:c>
      <ns0:c r="P1697" t="n">
        <ns0:v>8</ns0:v>
      </ns0:c>
      <ns0:c r="Q1697">
        <ns0:f>IF(AND(L1697=1,O1697*Calculations!$B$2&lt;=Calculations!$B$10*Calculations!$B$4),1,0)</ns0:f>
        <ns0:v>0</ns0:v>
      </ns0:c>
      <ns0:c r="R1697">
        <ns0:f>IF(AND(L1697=1,O1697*Calculations!$B$2&lt;=Calculations!$B$11*Calculations!$B$4),1,0)</ns0:f>
        <ns0:v>0</ns0:v>
      </ns0:c>
    </ns0:row>
    <ns0:row r="1698">
      <ns0:c r="A1698" t="inlineStr">
        <ns0:is>
          <ns0:t>case_1697</ns0:t>
        </ns0:is>
      </ns0:c>
      <ns0:c r="B1698" t="inlineStr">
        <ns0:is>
          <ns0:t>function_0504</ns0:t>
        </ns0:is>
      </ns0:c>
      <ns0:c r="C1698" t="inlineStr">
        <ns0:is>
          <ns0:t>run_015</ns0:t>
        </ns0:is>
      </ns0:c>
      <ns0:c r="D1698" t="inlineStr">
        <ns0:is>
          <ns0:t>rustc-demangle</ns0:t>
        </ns0:is>
      </ns0:c>
      <ns0:c r="E1698" t="inlineStr">
        <ns0:is>
          <ns0:t>gemini-2.5-flash-nothinking</ns0:t>
        </ns0:is>
      </ns0:c>
      <ns0:c r="F1698" t="inlineStr">
        <ns0:is>
          <ns0:t>E0433,E0599</ns0:t>
        </ns0:is>
      </ns0:c>
      <ns0:c r="G1698" t="n">
        <ns0:v>0</ns0:v>
      </ns0:c>
      <ns0:c r="H1698" t="n">
        <ns0:v>26234</ns0:v>
      </ns0:c>
      <ns0:c r="I1698" t="n">
        <ns0:v>1257</ns0:v>
      </ns0:c>
      <ns0:c r="J1698" t="n">
        <ns0:v>27491</ns0:v>
      </ns0:c>
      <ns0:c r="K1698" t="n">
        <ns0:v>21</ns0:v>
      </ns0:c>
      <ns0:c r="L1698" t="n">
        <ns0:v>1</ns0:v>
      </ns0:c>
      <ns0:c r="M1698" t="n">
        <ns0:v>335351</ns0:v>
      </ns0:c>
      <ns0:c r="N1698" t="n">
        <ns0:v>2690</ns0:v>
      </ns0:c>
      <ns0:c r="O1698" t="n">
        <ns0:v>338041</ns0:v>
      </ns0:c>
      <ns0:c r="P1698" t="n">
        <ns0:v>19</ns0:v>
      </ns0:c>
      <ns0:c r="Q1698">
        <ns0:f>IF(AND(L1698=1,O1698*Calculations!$B$2&lt;=Calculations!$B$10*Calculations!$B$4),1,0)</ns0:f>
        <ns0:v>0</ns0:v>
      </ns0:c>
      <ns0:c r="R1698">
        <ns0:f>IF(AND(L1698=1,O1698*Calculations!$B$2&lt;=Calculations!$B$11*Calculations!$B$4),1,0)</ns0:f>
        <ns0:v>0</ns0:v>
      </ns0:c>
    </ns0:row>
    <ns0:row r="1699">
      <ns0:c r="A1699" t="inlineStr">
        <ns0:is>
          <ns0:t>case_1698</ns0:t>
        </ns0:is>
      </ns0:c>
      <ns0:c r="B1699" t="inlineStr">
        <ns0:is>
          <ns0:t>function_0505</ns0:t>
        </ns0:is>
      </ns0:c>
      <ns0:c r="C1699" t="inlineStr">
        <ns0:is>
          <ns0:t>run_015</ns0:t>
        </ns0:is>
      </ns0:c>
      <ns0:c r="D1699" t="inlineStr">
        <ns0:is>
          <ns0:t>rustc-demangle</ns0:t>
        </ns0:is>
      </ns0:c>
      <ns0:c r="E1699" t="inlineStr">
        <ns0:is>
          <ns0:t>gemini-2.5-flash-nothinking</ns0:t>
        </ns0:is>
      </ns0:c>
      <ns0:c r="F1699" t="inlineStr">
        <ns0:is>
          <ns0:t>E0261,E0433</ns0:t>
        </ns0:is>
      </ns0:c>
      <ns0:c r="G1699" t="n">
        <ns0:v>0</ns0:v>
      </ns0:c>
      <ns0:c r="H1699" t="n">
        <ns0:v>4810</ns0:v>
      </ns0:c>
      <ns0:c r="I1699" t="n">
        <ns0:v>203</ns0:v>
      </ns0:c>
      <ns0:c r="J1699" t="n">
        <ns0:v>5013</ns0:v>
      </ns0:c>
      <ns0:c r="K1699" t="n">
        <ns0:v>3</ns0:v>
      </ns0:c>
      <ns0:c r="L1699" t="n">
        <ns0:v>0</ns0:v>
      </ns0:c>
      <ns0:c r="M1699" t="n">
        <ns0:v>207893</ns0:v>
      </ns0:c>
      <ns0:c r="N1699" t="n">
        <ns0:v>2610</ns0:v>
      </ns0:c>
      <ns0:c r="O1699" t="n">
        <ns0:v>210503</ns0:v>
      </ns0:c>
      <ns0:c r="P1699" t="n">
        <ns0:v>20</ns0:v>
      </ns0:c>
      <ns0:c r="Q1699">
        <ns0:f>IF(AND(L1699=1,O1699*Calculations!$B$2&lt;=Calculations!$B$10*Calculations!$B$4),1,0)</ns0:f>
        <ns0:v>0</ns0:v>
      </ns0:c>
      <ns0:c r="R1699">
        <ns0:f>IF(AND(L1699=1,O1699*Calculations!$B$2&lt;=Calculations!$B$11*Calculations!$B$4),1,0)</ns0:f>
        <ns0:v>0</ns0:v>
      </ns0:c>
    </ns0:row>
    <ns0:row r="1700">
      <ns0:c r="A1700" t="inlineStr">
        <ns0:is>
          <ns0:t>case_1699</ns0:t>
        </ns0:is>
      </ns0:c>
      <ns0:c r="B1700" t="inlineStr">
        <ns0:is>
          <ns0:t>function_0505</ns0:t>
        </ns0:is>
      </ns0:c>
      <ns0:c r="C1700" t="inlineStr">
        <ns0:is>
          <ns0:t>run_015</ns0:t>
        </ns0:is>
      </ns0:c>
      <ns0:c r="D1700" t="inlineStr">
        <ns0:is>
          <ns0:t>rustc-demangle</ns0:t>
        </ns0:is>
      </ns0:c>
      <ns0:c r="E1700" t="inlineStr">
        <ns0:is>
          <ns0:t>gemini-2.5-flash-nothinking</ns0:t>
        </ns0:is>
      </ns0:c>
      <ns0:c r="F1700" t="inlineStr">
        <ns0:is>
          <ns0:t>E0433</ns0:t>
        </ns0:is>
      </ns0:c>
      <ns0:c r="G1700" t="n">
        <ns0:v>1</ns0:v>
      </ns0:c>
      <ns0:c r="H1700" t="n">
        <ns0:v>2718</ns0:v>
      </ns0:c>
      <ns0:c r="I1700" t="n">
        <ns0:v>75</ns0:v>
      </ns0:c>
      <ns0:c r="J1700" t="n">
        <ns0:v>2793</ns0:v>
      </ns0:c>
      <ns0:c r="K1700" t="n">
        <ns0:v>1</ns0:v>
      </ns0:c>
      <ns0:c r="L1700" t="n">
        <ns0:v>1</ns0:v>
      </ns0:c>
      <ns0:c r="M1700" t="n">
        <ns0:v>154808</ns0:v>
      </ns0:c>
      <ns0:c r="N1700" t="n">
        <ns0:v>1149</ns0:v>
      </ns0:c>
      <ns0:c r="O1700" t="n">
        <ns0:v>155957</ns0:v>
      </ns0:c>
      <ns0:c r="P1700" t="n">
        <ns0:v>10</ns0:v>
      </ns0:c>
      <ns0:c r="Q1700">
        <ns0:f>IF(AND(L1700=1,O1700*Calculations!$B$2&lt;=Calculations!$B$10*Calculations!$B$4),1,0)</ns0:f>
        <ns0:v>0</ns0:v>
      </ns0:c>
      <ns0:c r="R1700">
        <ns0:f>IF(AND(L1700=1,O1700*Calculations!$B$2&lt;=Calculations!$B$11*Calculations!$B$4),1,0)</ns0:f>
        <ns0:v>0</ns0:v>
      </ns0:c>
    </ns0:row>
    <ns0:row r="1701">
      <ns0:c r="A1701" t="inlineStr">
        <ns0:is>
          <ns0:t>case_1700</ns0:t>
        </ns0:is>
      </ns0:c>
      <ns0:c r="B1701" t="inlineStr">
        <ns0:is>
          <ns0:t>function_0505</ns0:t>
        </ns0:is>
      </ns0:c>
      <ns0:c r="C1701" t="inlineStr">
        <ns0:is>
          <ns0:t>run_015</ns0:t>
        </ns0:is>
      </ns0:c>
      <ns0:c r="D1701" t="inlineStr">
        <ns0:is>
          <ns0:t>rustc-demangle</ns0:t>
        </ns0:is>
      </ns0:c>
      <ns0:c r="E1701" t="inlineStr">
        <ns0:is>
          <ns0:t>gemini-2.5-flash-nothinking</ns0:t>
        </ns0:is>
      </ns0:c>
      <ns0:c r="F1701" t="inlineStr">
        <ns0:is>
          <ns0:t>E0433</ns0:t>
        </ns0:is>
      </ns0:c>
      <ns0:c r="G1701" t="n">
        <ns0:v>1</ns0:v>
      </ns0:c>
      <ns0:c r="H1701" t="n">
        <ns0:v>3047</ns0:v>
      </ns0:c>
      <ns0:c r="I1701" t="n">
        <ns0:v>78</ns0:v>
      </ns0:c>
      <ns0:c r="J1701" t="n">
        <ns0:v>3125</ns0:v>
      </ns0:c>
      <ns0:c r="K1701" t="n">
        <ns0:v>1</ns0:v>
      </ns0:c>
      <ns0:c r="L1701" t="n">
        <ns0:v>1</ns0:v>
      </ns0:c>
      <ns0:c r="M1701" t="n">
        <ns0:v>113555</ns0:v>
      </ns0:c>
      <ns0:c r="N1701" t="n">
        <ns0:v>1064</ns0:v>
      </ns0:c>
      <ns0:c r="O1701" t="n">
        <ns0:v>114619</ns0:v>
      </ns0:c>
      <ns0:c r="P1701" t="n">
        <ns0:v>12</ns0:v>
      </ns0:c>
      <ns0:c r="Q1701">
        <ns0:f>IF(AND(L1701=1,O1701*Calculations!$B$2&lt;=Calculations!$B$10*Calculations!$B$4),1,0)</ns0:f>
        <ns0:v>0</ns0:v>
      </ns0:c>
      <ns0:c r="R1701">
        <ns0:f>IF(AND(L1701=1,O1701*Calculations!$B$2&lt;=Calculations!$B$11*Calculations!$B$4),1,0)</ns0:f>
        <ns0:v>0</ns0:v>
      </ns0:c>
    </ns0:row>
    <ns0:row r="1702">
      <ns0:c r="A1702" t="inlineStr">
        <ns0:is>
          <ns0:t>case_1701</ns0:t>
        </ns0:is>
      </ns0:c>
      <ns0:c r="B1702" t="inlineStr">
        <ns0:is>
          <ns0:t>function_0505</ns0:t>
        </ns0:is>
      </ns0:c>
      <ns0:c r="C1702" t="inlineStr">
        <ns0:is>
          <ns0:t>run_015</ns0:t>
        </ns0:is>
      </ns0:c>
      <ns0:c r="D1702" t="inlineStr">
        <ns0:is>
          <ns0:t>rustc-demangle</ns0:t>
        </ns0:is>
      </ns0:c>
      <ns0:c r="E1702" t="inlineStr">
        <ns0:is>
          <ns0:t>gemini-2.5-flash-nothinking</ns0:t>
        </ns0:is>
      </ns0:c>
      <ns0:c r="F1702" t="inlineStr">
        <ns0:is>
          <ns0:t>E0560</ns0:t>
        </ns0:is>
      </ns0:c>
      <ns0:c r="G1702" t="n">
        <ns0:v>0</ns0:v>
      </ns0:c>
      <ns0:c r="H1702" t="n">
        <ns0:v>2215</ns0:v>
      </ns0:c>
      <ns0:c r="I1702" t="n">
        <ns0:v>240</ns0:v>
      </ns0:c>
      <ns0:c r="J1702" t="n">
        <ns0:v>2455</ns0:v>
      </ns0:c>
      <ns0:c r="K1702" t="n">
        <ns0:v>3</ns0:v>
      </ns0:c>
      <ns0:c r="L1702" t="n">
        <ns0:v>1</ns0:v>
      </ns0:c>
      <ns0:c r="M1702" t="n">
        <ns0:v>479912</ns0:v>
      </ns0:c>
      <ns0:c r="N1702" t="n">
        <ns0:v>3375</ns0:v>
      </ns0:c>
      <ns0:c r="O1702" t="n">
        <ns0:v>483287</ns0:v>
      </ns0:c>
      <ns0:c r="P1702" t="n">
        <ns0:v>16</ns0:v>
      </ns0:c>
      <ns0:c r="Q1702">
        <ns0:f>IF(AND(L1702=1,O1702*Calculations!$B$2&lt;=Calculations!$B$10*Calculations!$B$4),1,0)</ns0:f>
        <ns0:v>0</ns0:v>
      </ns0:c>
      <ns0:c r="R1702">
        <ns0:f>IF(AND(L1702=1,O1702*Calculations!$B$2&lt;=Calculations!$B$11*Calculations!$B$4),1,0)</ns0:f>
        <ns0:v>0</ns0:v>
      </ns0:c>
    </ns0:row>
    <ns0:row r="1703">
      <ns0:c r="A1703" t="inlineStr">
        <ns0:is>
          <ns0:t>case_1702</ns0:t>
        </ns0:is>
      </ns0:c>
      <ns0:c r="B1703" t="inlineStr">
        <ns0:is>
          <ns0:t>function_0506</ns0:t>
        </ns0:is>
      </ns0:c>
      <ns0:c r="C1703" t="inlineStr">
        <ns0:is>
          <ns0:t>run_015</ns0:t>
        </ns0:is>
      </ns0:c>
      <ns0:c r="D1703" t="inlineStr">
        <ns0:is>
          <ns0:t>rustc-demangle</ns0:t>
        </ns0:is>
      </ns0:c>
      <ns0:c r="E1703" t="inlineStr">
        <ns0:is>
          <ns0:t>gemini-2.5-flash-nothinking</ns0:t>
        </ns0:is>
      </ns0:c>
      <ns0:c r="F1703" t="inlineStr">
        <ns0:is>
          <ns0:t>E0599</ns0:t>
        </ns0:is>
      </ns0:c>
      <ns0:c r="G1703" t="n">
        <ns0:v>0</ns0:v>
      </ns0:c>
      <ns0:c r="H1703" t="n">
        <ns0:v>4728</ns0:v>
      </ns0:c>
      <ns0:c r="I1703" t="n">
        <ns0:v>2130</ns0:v>
      </ns0:c>
      <ns0:c r="J1703" t="n">
        <ns0:v>6858</ns0:v>
      </ns0:c>
      <ns0:c r="K1703" t="n">
        <ns0:v>3</ns0:v>
      </ns0:c>
      <ns0:c r="L1703" t="n">
        <ns0:v>0</ns0:v>
      </ns0:c>
      <ns0:c r="M1703" t="n">
        <ns0:v>533043</ns0:v>
      </ns0:c>
      <ns0:c r="N1703" t="n">
        <ns0:v>6472</ns0:v>
      </ns0:c>
      <ns0:c r="O1703" t="n">
        <ns0:v>539515</ns0:v>
      </ns0:c>
      <ns0:c r="P1703" t="n">
        <ns0:v>14</ns0:v>
      </ns0:c>
      <ns0:c r="Q1703">
        <ns0:f>IF(AND(L1703=1,O1703*Calculations!$B$2&lt;=Calculations!$B$10*Calculations!$B$4),1,0)</ns0:f>
        <ns0:v>0</ns0:v>
      </ns0:c>
      <ns0:c r="R1703">
        <ns0:f>IF(AND(L1703=1,O1703*Calculations!$B$2&lt;=Calculations!$B$11*Calculations!$B$4),1,0)</ns0:f>
        <ns0:v>0</ns0:v>
      </ns0:c>
    </ns0:row>
    <ns0:row r="1704">
      <ns0:c r="A1704" t="inlineStr">
        <ns0:is>
          <ns0:t>case_1703</ns0:t>
        </ns0:is>
      </ns0:c>
      <ns0:c r="B1704" t="inlineStr">
        <ns0:is>
          <ns0:t>function_0506</ns0:t>
        </ns0:is>
      </ns0:c>
      <ns0:c r="C1704" t="inlineStr">
        <ns0:is>
          <ns0:t>run_015</ns0:t>
        </ns0:is>
      </ns0:c>
      <ns0:c r="D1704" t="inlineStr">
        <ns0:is>
          <ns0:t>rustc-demangle</ns0:t>
        </ns0:is>
      </ns0:c>
      <ns0:c r="E1704" t="inlineStr">
        <ns0:is>
          <ns0:t>gemini-2.5-flash-nothinking</ns0:t>
        </ns0:is>
      </ns0:c>
      <ns0:c r="F1704" t="inlineStr">
        <ns0:is>
          <ns0:t>E0261,E0432,E0599</ns0:t>
        </ns0:is>
      </ns0:c>
      <ns0:c r="G1704" t="n">
        <ns0:v>0</ns0:v>
      </ns0:c>
      <ns0:c r="H1704" t="n">
        <ns0:v>8769</ns0:v>
      </ns0:c>
      <ns0:c r="I1704" t="n">
        <ns0:v>301</ns0:v>
      </ns0:c>
      <ns0:c r="J1704" t="n">
        <ns0:v>9070</ns0:v>
      </ns0:c>
      <ns0:c r="K1704" t="n">
        <ns0:v>3</ns0:v>
      </ns0:c>
      <ns0:c r="L1704" t="n">
        <ns0:v>0</ns0:v>
      </ns0:c>
      <ns0:c r="M1704" t="n">
        <ns0:v>96124</ns0:v>
      </ns0:c>
      <ns0:c r="N1704" t="n">
        <ns0:v>3527</ns0:v>
      </ns0:c>
      <ns0:c r="O1704" t="n">
        <ns0:v>99651</ns0:v>
      </ns0:c>
      <ns0:c r="P1704" t="n">
        <ns0:v>12</ns0:v>
      </ns0:c>
      <ns0:c r="Q1704">
        <ns0:f>IF(AND(L1704=1,O1704*Calculations!$B$2&lt;=Calculations!$B$10*Calculations!$B$4),1,0)</ns0:f>
        <ns0:v>0</ns0:v>
      </ns0:c>
      <ns0:c r="R1704">
        <ns0:f>IF(AND(L1704=1,O1704*Calculations!$B$2&lt;=Calculations!$B$11*Calculations!$B$4),1,0)</ns0:f>
        <ns0:v>0</ns0:v>
      </ns0:c>
    </ns0:row>
    <ns0:row r="1705">
      <ns0:c r="A1705" t="inlineStr">
        <ns0:is>
          <ns0:t>case_1704</ns0:t>
        </ns0:is>
      </ns0:c>
      <ns0:c r="B1705" t="inlineStr">
        <ns0:is>
          <ns0:t>function_0506</ns0:t>
        </ns0:is>
      </ns0:c>
      <ns0:c r="C1705" t="inlineStr">
        <ns0:is>
          <ns0:t>run_015</ns0:t>
        </ns0:is>
      </ns0:c>
      <ns0:c r="D1705" t="inlineStr">
        <ns0:is>
          <ns0:t>rustc-demangle</ns0:t>
        </ns0:is>
      </ns0:c>
      <ns0:c r="E1705" t="inlineStr">
        <ns0:is>
          <ns0:t>gemini-2.5-flash-nothinking</ns0:t>
        </ns0:is>
      </ns0:c>
      <ns0:c r="F1705" t="inlineStr">
        <ns0:is>
          <ns0:t>E0599</ns0:t>
        </ns0:is>
      </ns0:c>
      <ns0:c r="G1705" t="n">
        <ns0:v>0</ns0:v>
      </ns0:c>
      <ns0:c r="H1705" t="n">
        <ns0:v>2457</ns0:v>
      </ns0:c>
      <ns0:c r="I1705" t="n">
        <ns0:v>237</ns0:v>
      </ns0:c>
      <ns0:c r="J1705" t="n">
        <ns0:v>2694</ns0:v>
      </ns0:c>
      <ns0:c r="K1705" t="n">
        <ns0:v>3</ns0:v>
      </ns0:c>
      <ns0:c r="L1705" t="n">
        <ns0:v>1</ns0:v>
      </ns0:c>
      <ns0:c r="M1705" t="n">
        <ns0:v>233400</ns0:v>
      </ns0:c>
      <ns0:c r="N1705" t="n">
        <ns0:v>10939</ns0:v>
      </ns0:c>
      <ns0:c r="O1705" t="n">
        <ns0:v>244339</ns0:v>
      </ns0:c>
      <ns0:c r="P1705" t="n">
        <ns0:v>9</ns0:v>
      </ns0:c>
      <ns0:c r="Q1705">
        <ns0:f>IF(AND(L1705=1,O1705*Calculations!$B$2&lt;=Calculations!$B$10*Calculations!$B$4),1,0)</ns0:f>
        <ns0:v>0</ns0:v>
      </ns0:c>
      <ns0:c r="R1705">
        <ns0:f>IF(AND(L1705=1,O1705*Calculations!$B$2&lt;=Calculations!$B$11*Calculations!$B$4),1,0)</ns0:f>
        <ns0:v>0</ns0:v>
      </ns0:c>
    </ns0:row>
    <ns0:row r="1706">
      <ns0:c r="A1706" t="inlineStr">
        <ns0:is>
          <ns0:t>case_1705</ns0:t>
        </ns0:is>
      </ns0:c>
      <ns0:c r="B1706" t="inlineStr">
        <ns0:is>
          <ns0:t>function_0506</ns0:t>
        </ns0:is>
      </ns0:c>
      <ns0:c r="C1706" t="inlineStr">
        <ns0:is>
          <ns0:t>run_015</ns0:t>
        </ns0:is>
      </ns0:c>
      <ns0:c r="D1706" t="inlineStr">
        <ns0:is>
          <ns0:t>rustc-demangle</ns0:t>
        </ns0:is>
      </ns0:c>
      <ns0:c r="E1706" t="inlineStr">
        <ns0:is>
          <ns0:t>gemini-2.5-flash-nothinking</ns0:t>
        </ns0:is>
      </ns0:c>
      <ns0:c r="F1706" t="inlineStr">
        <ns0:is>
          <ns0:t>E0599</ns0:t>
        </ns0:is>
      </ns0:c>
      <ns0:c r="G1706" t="n">
        <ns0:v>0</ns0:v>
      </ns0:c>
      <ns0:c r="H1706" t="n">
        <ns0:v>6707</ns0:v>
      </ns0:c>
      <ns0:c r="I1706" t="n">
        <ns0:v>2689</ns0:v>
      </ns0:c>
      <ns0:c r="J1706" t="n">
        <ns0:v>9396</ns0:v>
      </ns0:c>
      <ns0:c r="K1706" t="n">
        <ns0:v>3</ns0:v>
      </ns0:c>
      <ns0:c r="L1706" t="n">
        <ns0:v>0</ns0:v>
      </ns0:c>
      <ns0:c r="M1706" t="n">
        <ns0:v>79199</ns0:v>
      </ns0:c>
      <ns0:c r="N1706" t="n">
        <ns0:v>899</ns0:v>
      </ns0:c>
      <ns0:c r="O1706" t="n">
        <ns0:v>80098</ns0:v>
      </ns0:c>
      <ns0:c r="P1706" t="n">
        <ns0:v>8</ns0:v>
      </ns0:c>
      <ns0:c r="Q1706">
        <ns0:f>IF(AND(L1706=1,O1706*Calculations!$B$2&lt;=Calculations!$B$10*Calculations!$B$4),1,0)</ns0:f>
        <ns0:v>0</ns0:v>
      </ns0:c>
      <ns0:c r="R1706">
        <ns0:f>IF(AND(L1706=1,O1706*Calculations!$B$2&lt;=Calculations!$B$11*Calculations!$B$4),1,0)</ns0:f>
        <ns0:v>0</ns0:v>
      </ns0:c>
    </ns0:row>
    <ns0:row r="1707">
      <ns0:c r="A1707" t="inlineStr">
        <ns0:is>
          <ns0:t>case_1706</ns0:t>
        </ns0:is>
      </ns0:c>
      <ns0:c r="B1707" t="inlineStr">
        <ns0:is>
          <ns0:t>function_0507</ns0:t>
        </ns0:is>
      </ns0:c>
      <ns0:c r="C1707" t="inlineStr">
        <ns0:is>
          <ns0:t>run_015</ns0:t>
        </ns0:is>
      </ns0:c>
      <ns0:c r="D1707" t="inlineStr">
        <ns0:is>
          <ns0:t>rustc-demangle</ns0:t>
        </ns0:is>
      </ns0:c>
      <ns0:c r="E1707" t="inlineStr">
        <ns0:is>
          <ns0:t>gemini-2.5-flash-nothinking</ns0:t>
        </ns0:is>
      </ns0:c>
      <ns0:c r="F1707" t="inlineStr">
        <ns0:is>
          <ns0:t>E0433</ns0:t>
        </ns0:is>
      </ns0:c>
      <ns0:c r="G1707" t="n">
        <ns0:v>1</ns0:v>
      </ns0:c>
      <ns0:c r="H1707" t="n">
        <ns0:v>2589</ns0:v>
      </ns0:c>
      <ns0:c r="I1707" t="n">
        <ns0:v>70</ns0:v>
      </ns0:c>
      <ns0:c r="J1707" t="n">
        <ns0:v>2659</ns0:v>
      </ns0:c>
      <ns0:c r="K1707" t="n">
        <ns0:v>1</ns0:v>
      </ns0:c>
      <ns0:c r="L1707" t="n">
        <ns0:v>1</ns0:v>
      </ns0:c>
      <ns0:c r="M1707" t="n">
        <ns0:v>47414</ns0:v>
      </ns0:c>
      <ns0:c r="N1707" t="n">
        <ns0:v>435</ns0:v>
      </ns0:c>
      <ns0:c r="O1707" t="n">
        <ns0:v>47849</ns0:v>
      </ns0:c>
      <ns0:c r="P1707" t="n">
        <ns0:v>6</ns0:v>
      </ns0:c>
      <ns0:c r="Q1707">
        <ns0:f>IF(AND(L1707=1,O1707*Calculations!$B$2&lt;=Calculations!$B$10*Calculations!$B$4),1,0)</ns0:f>
        <ns0:v>0</ns0:v>
      </ns0:c>
      <ns0:c r="R1707">
        <ns0:f>IF(AND(L1707=1,O1707*Calculations!$B$2&lt;=Calculations!$B$11*Calculations!$B$4),1,0)</ns0:f>
        <ns0:v>0</ns0:v>
      </ns0:c>
    </ns0:row>
    <ns0:row r="1708">
      <ns0:c r="A1708" t="inlineStr">
        <ns0:is>
          <ns0:t>case_1707</ns0:t>
        </ns0:is>
      </ns0:c>
      <ns0:c r="B1708" t="inlineStr">
        <ns0:is>
          <ns0:t>function_0507</ns0:t>
        </ns0:is>
      </ns0:c>
      <ns0:c r="C1708" t="inlineStr">
        <ns0:is>
          <ns0:t>run_015</ns0:t>
        </ns0:is>
      </ns0:c>
      <ns0:c r="D1708" t="inlineStr">
        <ns0:is>
          <ns0:t>rustc-demangle</ns0:t>
        </ns0:is>
      </ns0:c>
      <ns0:c r="E1708" t="inlineStr">
        <ns0:is>
          <ns0:t>gemini-2.5-flash-nothinking</ns0:t>
        </ns0:is>
      </ns0:c>
      <ns0:c r="F1708" t="inlineStr">
        <ns0:is>
          <ns0:t>E0261,E0599</ns0:t>
        </ns0:is>
      </ns0:c>
      <ns0:c r="G1708" t="n">
        <ns0:v>0</ns0:v>
      </ns0:c>
      <ns0:c r="H1708" t="n">
        <ns0:v>2779</ns0:v>
      </ns0:c>
      <ns0:c r="I1708" t="n">
        <ns0:v>186</ns0:v>
      </ns0:c>
      <ns0:c r="J1708" t="n">
        <ns0:v>2965</ns0:v>
      </ns0:c>
      <ns0:c r="K1708" t="n">
        <ns0:v>3</ns0:v>
      </ns0:c>
      <ns0:c r="L1708" t="n">
        <ns0:v>0</ns0:v>
      </ns0:c>
      <ns0:c r="M1708" t="n">
        <ns0:v>58471</ns0:v>
      </ns0:c>
      <ns0:c r="N1708" t="n">
        <ns0:v>854</ns0:v>
      </ns0:c>
      <ns0:c r="O1708" t="n">
        <ns0:v>59325</ns0:v>
      </ns0:c>
      <ns0:c r="P1708" t="n">
        <ns0:v>7</ns0:v>
      </ns0:c>
      <ns0:c r="Q1708">
        <ns0:f>IF(AND(L1708=1,O1708*Calculations!$B$2&lt;=Calculations!$B$10*Calculations!$B$4),1,0)</ns0:f>
        <ns0:v>0</ns0:v>
      </ns0:c>
      <ns0:c r="R1708">
        <ns0:f>IF(AND(L1708=1,O1708*Calculations!$B$2&lt;=Calculations!$B$11*Calculations!$B$4),1,0)</ns0:f>
        <ns0:v>0</ns0:v>
      </ns0:c>
    </ns0:row>
    <ns0:row r="1709">
      <ns0:c r="A1709" t="inlineStr">
        <ns0:is>
          <ns0:t>case_1708</ns0:t>
        </ns0:is>
      </ns0:c>
      <ns0:c r="B1709" t="inlineStr">
        <ns0:is>
          <ns0:t>function_0507</ns0:t>
        </ns0:is>
      </ns0:c>
      <ns0:c r="C1709" t="inlineStr">
        <ns0:is>
          <ns0:t>run_015</ns0:t>
        </ns0:is>
      </ns0:c>
      <ns0:c r="D1709" t="inlineStr">
        <ns0:is>
          <ns0:t>rustc-demangle</ns0:t>
        </ns0:is>
      </ns0:c>
      <ns0:c r="E1709" t="inlineStr">
        <ns0:is>
          <ns0:t>gemini-2.5-flash-nothinking</ns0:t>
        </ns0:is>
      </ns0:c>
      <ns0:c r="F1709" t="inlineStr">
        <ns0:is>
          <ns0:t>E0433</ns0:t>
        </ns0:is>
      </ns0:c>
      <ns0:c r="G1709" t="n">
        <ns0:v>1</ns0:v>
      </ns0:c>
      <ns0:c r="H1709" t="n">
        <ns0:v>12831</ns0:v>
      </ns0:c>
      <ns0:c r="I1709" t="n">
        <ns0:v>527</ns0:v>
      </ns0:c>
      <ns0:c r="J1709" t="n">
        <ns0:v>13358</ns0:v>
      </ns0:c>
      <ns0:c r="K1709" t="n">
        <ns0:v>6</ns0:v>
      </ns0:c>
      <ns0:c r="L1709" t="n">
        <ns0:v>1</ns0:v>
      </ns0:c>
      <ns0:c r="M1709" t="n">
        <ns0:v>149488</ns0:v>
      </ns0:c>
      <ns0:c r="N1709" t="n">
        <ns0:v>6240</ns0:v>
      </ns0:c>
      <ns0:c r="O1709" t="n">
        <ns0:v>155728</ns0:v>
      </ns0:c>
      <ns0:c r="P1709" t="n">
        <ns0:v>10</ns0:v>
      </ns0:c>
      <ns0:c r="Q1709">
        <ns0:f>IF(AND(L1709=1,O1709*Calculations!$B$2&lt;=Calculations!$B$10*Calculations!$B$4),1,0)</ns0:f>
        <ns0:v>0</ns0:v>
      </ns0:c>
      <ns0:c r="R1709">
        <ns0:f>IF(AND(L1709=1,O1709*Calculations!$B$2&lt;=Calculations!$B$11*Calculations!$B$4),1,0)</ns0:f>
        <ns0:v>0</ns0:v>
      </ns0:c>
    </ns0:row>
    <ns0:row r="1710">
      <ns0:c r="A1710" t="inlineStr">
        <ns0:is>
          <ns0:t>case_1709</ns0:t>
        </ns0:is>
      </ns0:c>
      <ns0:c r="B1710" t="inlineStr">
        <ns0:is>
          <ns0:t>function_0507</ns0:t>
        </ns0:is>
      </ns0:c>
      <ns0:c r="C1710" t="inlineStr">
        <ns0:is>
          <ns0:t>run_015</ns0:t>
        </ns0:is>
      </ns0:c>
      <ns0:c r="D1710" t="inlineStr">
        <ns0:is>
          <ns0:t>rustc-demangle</ns0:t>
        </ns0:is>
      </ns0:c>
      <ns0:c r="E1710" t="inlineStr">
        <ns0:is>
          <ns0:t>gemini-2.5-flash-nothinking</ns0:t>
        </ns0:is>
      </ns0:c>
      <ns0:c r="F1710" t="inlineStr">
        <ns0:is>
          <ns0:t>E0433,E0560</ns0:t>
        </ns0:is>
      </ns0:c>
      <ns0:c r="G1710" t="n">
        <ns0:v>1</ns0:v>
      </ns0:c>
      <ns0:c r="H1710" t="n">
        <ns0:v>14449</ns0:v>
      </ns0:c>
      <ns0:c r="I1710" t="n">
        <ns0:v>511</ns0:v>
      </ns0:c>
      <ns0:c r="J1710" t="n">
        <ns0:v>14960</ns0:v>
      </ns0:c>
      <ns0:c r="K1710" t="n">
        <ns0:v>7</ns0:v>
      </ns0:c>
      <ns0:c r="L1710" t="n">
        <ns0:v>1</ns0:v>
      </ns0:c>
      <ns0:c r="M1710" t="n">
        <ns0:v>125556</ns0:v>
      </ns0:c>
      <ns0:c r="N1710" t="n">
        <ns0:v>570</ns0:v>
      </ns0:c>
      <ns0:c r="O1710" t="n">
        <ns0:v>126126</ns0:v>
      </ns0:c>
      <ns0:c r="P1710" t="n">
        <ns0:v>5</ns0:v>
      </ns0:c>
      <ns0:c r="Q1710">
        <ns0:f>IF(AND(L1710=1,O1710*Calculations!$B$2&lt;=Calculations!$B$10*Calculations!$B$4),1,0)</ns0:f>
        <ns0:v>0</ns0:v>
      </ns0:c>
      <ns0:c r="R1710">
        <ns0:f>IF(AND(L1710=1,O1710*Calculations!$B$2&lt;=Calculations!$B$11*Calculations!$B$4),1,0)</ns0:f>
        <ns0:v>0</ns0:v>
      </ns0:c>
    </ns0:row>
    <ns0:row r="1711">
      <ns0:c r="A1711" t="inlineStr">
        <ns0:is>
          <ns0:t>case_1710</ns0:t>
        </ns0:is>
      </ns0:c>
      <ns0:c r="B1711" t="inlineStr">
        <ns0:is>
          <ns0:t>function_0508</ns0:t>
        </ns0:is>
      </ns0:c>
      <ns0:c r="C1711" t="inlineStr">
        <ns0:is>
          <ns0:t>run_015</ns0:t>
        </ns0:is>
      </ns0:c>
      <ns0:c r="D1711" t="inlineStr">
        <ns0:is>
          <ns0:t>rustc-demangle</ns0:t>
        </ns0:is>
      </ns0:c>
      <ns0:c r="E1711" t="inlineStr">
        <ns0:is>
          <ns0:t>gemini-2.5-flash-nothinking</ns0:t>
        </ns0:is>
      </ns0:c>
      <ns0:c r="F1711" t="inlineStr">
        <ns0:is>
          <ns0:t>E0433</ns0:t>
        </ns0:is>
      </ns0:c>
      <ns0:c r="G1711" t="n">
        <ns0:v>1</ns0:v>
      </ns0:c>
      <ns0:c r="H1711" t="n">
        <ns0:v>2274</ns0:v>
      </ns0:c>
      <ns0:c r="I1711" t="n">
        <ns0:v>141</ns0:v>
      </ns0:c>
      <ns0:c r="J1711" t="n">
        <ns0:v>2415</ns0:v>
      </ns0:c>
      <ns0:c r="K1711" t="n">
        <ns0:v>1</ns0:v>
      </ns0:c>
      <ns0:c r="L1711" t="n">
        <ns0:v>1</ns0:v>
      </ns0:c>
      <ns0:c r="M1711" t="n">
        <ns0:v>148758</ns0:v>
      </ns0:c>
      <ns0:c r="N1711" t="n">
        <ns0:v>982</ns0:v>
      </ns0:c>
      <ns0:c r="O1711" t="n">
        <ns0:v>149740</ns0:v>
      </ns0:c>
      <ns0:c r="P1711" t="n">
        <ns0:v>7</ns0:v>
      </ns0:c>
      <ns0:c r="Q1711">
        <ns0:f>IF(AND(L1711=1,O1711*Calculations!$B$2&lt;=Calculations!$B$10*Calculations!$B$4),1,0)</ns0:f>
        <ns0:v>0</ns0:v>
      </ns0:c>
      <ns0:c r="R1711">
        <ns0:f>IF(AND(L1711=1,O1711*Calculations!$B$2&lt;=Calculations!$B$11*Calculations!$B$4),1,0)</ns0:f>
        <ns0:v>0</ns0:v>
      </ns0:c>
    </ns0:row>
    <ns0:row r="1712">
      <ns0:c r="A1712" t="inlineStr">
        <ns0:is>
          <ns0:t>case_1711</ns0:t>
        </ns0:is>
      </ns0:c>
      <ns0:c r="B1712" t="inlineStr">
        <ns0:is>
          <ns0:t>function_0508</ns0:t>
        </ns0:is>
      </ns0:c>
      <ns0:c r="C1712" t="inlineStr">
        <ns0:is>
          <ns0:t>run_015</ns0:t>
        </ns0:is>
      </ns0:c>
      <ns0:c r="D1712" t="inlineStr">
        <ns0:is>
          <ns0:t>rustc-demangle</ns0:t>
        </ns0:is>
      </ns0:c>
      <ns0:c r="E1712" t="inlineStr">
        <ns0:is>
          <ns0:t>gemini-2.5-flash-nothinking</ns0:t>
        </ns0:is>
      </ns0:c>
      <ns0:c r="F1712" t="inlineStr">
        <ns0:is>
          <ns0:t>E0599</ns0:t>
        </ns0:is>
      </ns0:c>
      <ns0:c r="G1712" t="n">
        <ns0:v>0</ns0:v>
      </ns0:c>
      <ns0:c r="H1712" t="n">
        <ns0:v>2931</ns0:v>
      </ns0:c>
      <ns0:c r="I1712" t="n">
        <ns0:v>308</ns0:v>
      </ns0:c>
      <ns0:c r="J1712" t="n">
        <ns0:v>3239</ns0:v>
      </ns0:c>
      <ns0:c r="K1712" t="n">
        <ns0:v>3</ns0:v>
      </ns0:c>
      <ns0:c r="L1712" t="n">
        <ns0:v>1</ns0:v>
      </ns0:c>
      <ns0:c r="M1712" t="n">
        <ns0:v>85008</ns0:v>
      </ns0:c>
      <ns0:c r="N1712" t="n">
        <ns0:v>1948</ns0:v>
      </ns0:c>
      <ns0:c r="O1712" t="n">
        <ns0:v>86956</ns0:v>
      </ns0:c>
      <ns0:c r="P1712" t="n">
        <ns0:v>6</ns0:v>
      </ns0:c>
      <ns0:c r="Q1712">
        <ns0:f>IF(AND(L1712=1,O1712*Calculations!$B$2&lt;=Calculations!$B$10*Calculations!$B$4),1,0)</ns0:f>
        <ns0:v>0</ns0:v>
      </ns0:c>
      <ns0:c r="R1712">
        <ns0:f>IF(AND(L1712=1,O1712*Calculations!$B$2&lt;=Calculations!$B$11*Calculations!$B$4),1,0)</ns0:f>
        <ns0:v>0</ns0:v>
      </ns0:c>
    </ns0:row>
    <ns0:row r="1713">
      <ns0:c r="A1713" t="inlineStr">
        <ns0:is>
          <ns0:t>case_1712</ns0:t>
        </ns0:is>
      </ns0:c>
      <ns0:c r="B1713" t="inlineStr">
        <ns0:is>
          <ns0:t>function_0508</ns0:t>
        </ns0:is>
      </ns0:c>
      <ns0:c r="C1713" t="inlineStr">
        <ns0:is>
          <ns0:t>run_015</ns0:t>
        </ns0:is>
      </ns0:c>
      <ns0:c r="D1713" t="inlineStr">
        <ns0:is>
          <ns0:t>rustc-demangle</ns0:t>
        </ns0:is>
      </ns0:c>
      <ns0:c r="E1713" t="inlineStr">
        <ns0:is>
          <ns0:t>gemini-2.5-flash-nothinking</ns0:t>
        </ns0:is>
      </ns0:c>
      <ns0:c r="F1713" t="inlineStr">
        <ns0:is>
          <ns0:t>E0433</ns0:t>
        </ns0:is>
      </ns0:c>
      <ns0:c r="G1713" t="n">
        <ns0:v>1</ns0:v>
      </ns0:c>
      <ns0:c r="H1713" t="n">
        <ns0:v>2671</ns0:v>
      </ns0:c>
      <ns0:c r="I1713" t="n">
        <ns0:v>73</ns0:v>
      </ns0:c>
      <ns0:c r="J1713" t="n">
        <ns0:v>2744</ns0:v>
      </ns0:c>
      <ns0:c r="K1713" t="n">
        <ns0:v>1</ns0:v>
      </ns0:c>
      <ns0:c r="L1713" t="n">
        <ns0:v>1</ns0:v>
      </ns0:c>
      <ns0:c r="M1713" t="n">
        <ns0:v>179133</ns0:v>
      </ns0:c>
      <ns0:c r="N1713" t="n">
        <ns0:v>592</ns0:v>
      </ns0:c>
      <ns0:c r="O1713" t="n">
        <ns0:v>179725</ns0:v>
      </ns0:c>
      <ns0:c r="P1713" t="n">
        <ns0:v>8</ns0:v>
      </ns0:c>
      <ns0:c r="Q1713">
        <ns0:f>IF(AND(L1713=1,O1713*Calculations!$B$2&lt;=Calculations!$B$10*Calculations!$B$4),1,0)</ns0:f>
        <ns0:v>0</ns0:v>
      </ns0:c>
      <ns0:c r="R1713">
        <ns0:f>IF(AND(L1713=1,O1713*Calculations!$B$2&lt;=Calculations!$B$11*Calculations!$B$4),1,0)</ns0:f>
        <ns0:v>0</ns0:v>
      </ns0:c>
    </ns0:row>
    <ns0:row r="1714">
      <ns0:c r="A1714" t="inlineStr">
        <ns0:is>
          <ns0:t>case_1713</ns0:t>
        </ns0:is>
      </ns0:c>
      <ns0:c r="B1714" t="inlineStr">
        <ns0:is>
          <ns0:t>function_0508</ns0:t>
        </ns0:is>
      </ns0:c>
      <ns0:c r="C1714" t="inlineStr">
        <ns0:is>
          <ns0:t>run_015</ns0:t>
        </ns0:is>
      </ns0:c>
      <ns0:c r="D1714" t="inlineStr">
        <ns0:is>
          <ns0:t>rustc-demangle</ns0:t>
        </ns0:is>
      </ns0:c>
      <ns0:c r="E1714" t="inlineStr">
        <ns0:is>
          <ns0:t>gemini-2.5-flash-nothinking</ns0:t>
        </ns0:is>
      </ns0:c>
      <ns0:c r="F1714" t="inlineStr">
        <ns0:is>
          <ns0:t>E0433</ns0:t>
        </ns0:is>
      </ns0:c>
      <ns0:c r="G1714" t="n">
        <ns0:v>1</ns0:v>
      </ns0:c>
      <ns0:c r="H1714" t="n">
        <ns0:v>2741</ns0:v>
      </ns0:c>
      <ns0:c r="I1714" t="n">
        <ns0:v>97</ns0:v>
      </ns0:c>
      <ns0:c r="J1714" t="n">
        <ns0:v>2838</ns0:v>
      </ns0:c>
      <ns0:c r="K1714" t="n">
        <ns0:v>1</ns0:v>
      </ns0:c>
      <ns0:c r="L1714" t="n">
        <ns0:v>1</ns0:v>
      </ns0:c>
      <ns0:c r="M1714" t="n">
        <ns0:v>63194</ns0:v>
      </ns0:c>
      <ns0:c r="N1714" t="n">
        <ns0:v>1297</ns0:v>
      </ns0:c>
      <ns0:c r="O1714" t="n">
        <ns0:v>64491</ns0:v>
      </ns0:c>
      <ns0:c r="P1714" t="n">
        <ns0:v>8</ns0:v>
      </ns0:c>
      <ns0:c r="Q1714">
        <ns0:f>IF(AND(L1714=1,O1714*Calculations!$B$2&lt;=Calculations!$B$10*Calculations!$B$4),1,0)</ns0:f>
        <ns0:v>0</ns0:v>
      </ns0:c>
      <ns0:c r="R1714">
        <ns0:f>IF(AND(L1714=1,O1714*Calculations!$B$2&lt;=Calculations!$B$11*Calculations!$B$4),1,0)</ns0:f>
        <ns0:v>0</ns0:v>
      </ns0:c>
    </ns0:row>
    <ns0:row r="1715">
      <ns0:c r="A1715" t="inlineStr">
        <ns0:is>
          <ns0:t>case_1714</ns0:t>
        </ns0:is>
      </ns0:c>
      <ns0:c r="B1715" t="inlineStr">
        <ns0:is>
          <ns0:t>function_0509</ns0:t>
        </ns0:is>
      </ns0:c>
      <ns0:c r="C1715" t="inlineStr">
        <ns0:is>
          <ns0:t>run_015</ns0:t>
        </ns0:is>
      </ns0:c>
      <ns0:c r="D1715" t="inlineStr">
        <ns0:is>
          <ns0:t>rustc-demangle</ns0:t>
        </ns0:is>
      </ns0:c>
      <ns0:c r="E1715" t="inlineStr">
        <ns0:is>
          <ns0:t>gemini-2.5-flash-nothinking</ns0:t>
        </ns0:is>
      </ns0:c>
      <ns0:c r="F1715" t="inlineStr">
        <ns0:is>
          <ns0:t>E0560</ns0:t>
        </ns0:is>
      </ns0:c>
      <ns0:c r="G1715" t="n">
        <ns0:v>0</ns0:v>
      </ns0:c>
      <ns0:c r="H1715" t="n">
        <ns0:v>3232</ns0:v>
      </ns0:c>
      <ns0:c r="I1715" t="n">
        <ns0:v>450</ns0:v>
      </ns0:c>
      <ns0:c r="J1715" t="n">
        <ns0:v>3682</ns0:v>
      </ns0:c>
      <ns0:c r="K1715" t="n">
        <ns0:v>3</ns0:v>
      </ns0:c>
      <ns0:c r="L1715" t="n">
        <ns0:v>0</ns0:v>
      </ns0:c>
      <ns0:c r="M1715" t="n">
        <ns0:v>52625</ns0:v>
      </ns0:c>
      <ns0:c r="N1715" t="n">
        <ns0:v>739</ns0:v>
      </ns0:c>
      <ns0:c r="O1715" t="n">
        <ns0:v>53364</ns0:v>
      </ns0:c>
      <ns0:c r="P1715" t="n">
        <ns0:v>7</ns0:v>
      </ns0:c>
      <ns0:c r="Q1715">
        <ns0:f>IF(AND(L1715=1,O1715*Calculations!$B$2&lt;=Calculations!$B$10*Calculations!$B$4),1,0)</ns0:f>
        <ns0:v>0</ns0:v>
      </ns0:c>
      <ns0:c r="R1715">
        <ns0:f>IF(AND(L1715=1,O1715*Calculations!$B$2&lt;=Calculations!$B$11*Calculations!$B$4),1,0)</ns0:f>
        <ns0:v>0</ns0:v>
      </ns0:c>
    </ns0:row>
    <ns0:row r="1716">
      <ns0:c r="A1716" t="inlineStr">
        <ns0:is>
          <ns0:t>case_1715</ns0:t>
        </ns0:is>
      </ns0:c>
      <ns0:c r="B1716" t="inlineStr">
        <ns0:is>
          <ns0:t>function_0509</ns0:t>
        </ns0:is>
      </ns0:c>
      <ns0:c r="C1716" t="inlineStr">
        <ns0:is>
          <ns0:t>run_015</ns0:t>
        </ns0:is>
      </ns0:c>
      <ns0:c r="D1716" t="inlineStr">
        <ns0:is>
          <ns0:t>rustc-demangle</ns0:t>
        </ns0:is>
      </ns0:c>
      <ns0:c r="E1716" t="inlineStr">
        <ns0:is>
          <ns0:t>gemini-2.5-flash-nothinking</ns0:t>
        </ns0:is>
      </ns0:c>
      <ns0:c r="F1716" t="inlineStr">
        <ns0:is>
          <ns0:t>E0599</ns0:t>
        </ns0:is>
      </ns0:c>
      <ns0:c r="G1716" t="n">
        <ns0:v>0</ns0:v>
      </ns0:c>
      <ns0:c r="H1716" t="n">
        <ns0:v>2657</ns0:v>
      </ns0:c>
      <ns0:c r="I1716" t="n">
        <ns0:v>165</ns0:v>
      </ns0:c>
      <ns0:c r="J1716" t="n">
        <ns0:v>2822</ns0:v>
      </ns0:c>
      <ns0:c r="K1716" t="n">
        <ns0:v>3</ns0:v>
      </ns0:c>
      <ns0:c r="L1716" t="n">
        <ns0:v>0</ns0:v>
      </ns0:c>
      <ns0:c r="M1716" t="n">
        <ns0:v>251053</ns0:v>
      </ns0:c>
      <ns0:c r="N1716" t="n">
        <ns0:v>722</ns0:v>
      </ns0:c>
      <ns0:c r="O1716" t="n">
        <ns0:v>251775</ns0:v>
      </ns0:c>
      <ns0:c r="P1716" t="n">
        <ns0:v>9</ns0:v>
      </ns0:c>
      <ns0:c r="Q1716">
        <ns0:f>IF(AND(L1716=1,O1716*Calculations!$B$2&lt;=Calculations!$B$10*Calculations!$B$4),1,0)</ns0:f>
        <ns0:v>0</ns0:v>
      </ns0:c>
      <ns0:c r="R1716">
        <ns0:f>IF(AND(L1716=1,O1716*Calculations!$B$2&lt;=Calculations!$B$11*Calculations!$B$4),1,0)</ns0:f>
        <ns0:v>0</ns0:v>
      </ns0:c>
    </ns0:row>
    <ns0:row r="1717">
      <ns0:c r="A1717" t="inlineStr">
        <ns0:is>
          <ns0:t>case_1716</ns0:t>
        </ns0:is>
      </ns0:c>
      <ns0:c r="B1717" t="inlineStr">
        <ns0:is>
          <ns0:t>function_0509</ns0:t>
        </ns0:is>
      </ns0:c>
      <ns0:c r="C1717" t="inlineStr">
        <ns0:is>
          <ns0:t>run_015</ns0:t>
        </ns0:is>
      </ns0:c>
      <ns0:c r="D1717" t="inlineStr">
        <ns0:is>
          <ns0:t>rustc-demangle</ns0:t>
        </ns0:is>
      </ns0:c>
      <ns0:c r="E1717" t="inlineStr">
        <ns0:is>
          <ns0:t>gemini-2.5-flash-nothinking</ns0:t>
        </ns0:is>
      </ns0:c>
      <ns0:c r="F1717" t="inlineStr">
        <ns0:is>
          <ns0:t>E0599</ns0:t>
        </ns0:is>
      </ns0:c>
      <ns0:c r="G1717" t="n">
        <ns0:v>0</ns0:v>
      </ns0:c>
      <ns0:c r="H1717" t="n">
        <ns0:v>2951</ns0:v>
      </ns0:c>
      <ns0:c r="I1717" t="n">
        <ns0:v>657</ns0:v>
      </ns0:c>
      <ns0:c r="J1717" t="n">
        <ns0:v>3608</ns0:v>
      </ns0:c>
      <ns0:c r="K1717" t="n">
        <ns0:v>3</ns0:v>
      </ns0:c>
      <ns0:c r="L1717" t="n">
        <ns0:v>0</ns0:v>
      </ns0:c>
      <ns0:c r="M1717" t="n">
        <ns0:v>95119</ns0:v>
      </ns0:c>
      <ns0:c r="N1717" t="n">
        <ns0:v>1079</ns0:v>
      </ns0:c>
      <ns0:c r="O1717" t="n">
        <ns0:v>96198</ns0:v>
      </ns0:c>
      <ns0:c r="P1717" t="n">
        <ns0:v>10</ns0:v>
      </ns0:c>
      <ns0:c r="Q1717">
        <ns0:f>IF(AND(L1717=1,O1717*Calculations!$B$2&lt;=Calculations!$B$10*Calculations!$B$4),1,0)</ns0:f>
        <ns0:v>0</ns0:v>
      </ns0:c>
      <ns0:c r="R1717">
        <ns0:f>IF(AND(L1717=1,O1717*Calculations!$B$2&lt;=Calculations!$B$11*Calculations!$B$4),1,0)</ns0:f>
        <ns0:v>0</ns0:v>
      </ns0:c>
    </ns0:row>
    <ns0:row r="1718">
      <ns0:c r="A1718" t="inlineStr">
        <ns0:is>
          <ns0:t>case_1717</ns0:t>
        </ns0:is>
      </ns0:c>
      <ns0:c r="B1718" t="inlineStr">
        <ns0:is>
          <ns0:t>function_0509</ns0:t>
        </ns0:is>
      </ns0:c>
      <ns0:c r="C1718" t="inlineStr">
        <ns0:is>
          <ns0:t>run_015</ns0:t>
        </ns0:is>
      </ns0:c>
      <ns0:c r="D1718" t="inlineStr">
        <ns0:is>
          <ns0:t>rustc-demangle</ns0:t>
        </ns0:is>
      </ns0:c>
      <ns0:c r="E1718" t="inlineStr">
        <ns0:is>
          <ns0:t>gemini-2.5-flash-nothinking</ns0:t>
        </ns0:is>
      </ns0:c>
      <ns0:c r="F1718" t="inlineStr">
        <ns0:is>
          <ns0:t>E0560</ns0:t>
        </ns0:is>
      </ns0:c>
      <ns0:c r="G1718" t="n">
        <ns0:v>0</ns0:v>
      </ns0:c>
      <ns0:c r="H1718" t="n">
        <ns0:v>2557</ns0:v>
      </ns0:c>
      <ns0:c r="I1718" t="n">
        <ns0:v>339</ns0:v>
      </ns0:c>
      <ns0:c r="J1718" t="n">
        <ns0:v>2896</ns0:v>
      </ns0:c>
      <ns0:c r="K1718" t="n">
        <ns0:v>3</ns0:v>
      </ns0:c>
      <ns0:c r="L1718" t="n">
        <ns0:v>0</ns0:v>
      </ns0:c>
      <ns0:c r="M1718" t="n">
        <ns0:v>409088</ns0:v>
      </ns0:c>
      <ns0:c r="N1718" t="n">
        <ns0:v>1194</ns0:v>
      </ns0:c>
      <ns0:c r="O1718" t="n">
        <ns0:v>410282</ns0:v>
      </ns0:c>
      <ns0:c r="P1718" t="n">
        <ns0:v>15</ns0:v>
      </ns0:c>
      <ns0:c r="Q1718">
        <ns0:f>IF(AND(L1718=1,O1718*Calculations!$B$2&lt;=Calculations!$B$10*Calculations!$B$4),1,0)</ns0:f>
        <ns0:v>0</ns0:v>
      </ns0:c>
      <ns0:c r="R1718">
        <ns0:f>IF(AND(L1718=1,O1718*Calculations!$B$2&lt;=Calculations!$B$11*Calculations!$B$4),1,0)</ns0:f>
        <ns0:v>0</ns0:v>
      </ns0:c>
    </ns0:row>
    <ns0:row r="1719">
      <ns0:c r="A1719" t="inlineStr">
        <ns0:is>
          <ns0:t>case_1718</ns0:t>
        </ns0:is>
      </ns0:c>
      <ns0:c r="B1719" t="inlineStr">
        <ns0:is>
          <ns0:t>function_0510</ns0:t>
        </ns0:is>
      </ns0:c>
      <ns0:c r="C1719" t="inlineStr">
        <ns0:is>
          <ns0:t>run_015</ns0:t>
        </ns0:is>
      </ns0:c>
      <ns0:c r="D1719" t="inlineStr">
        <ns0:is>
          <ns0:t>rustc-demangle</ns0:t>
        </ns0:is>
      </ns0:c>
      <ns0:c r="E1719" t="inlineStr">
        <ns0:is>
          <ns0:t>gemini-2.5-flash-nothinking</ns0:t>
        </ns0:is>
      </ns0:c>
      <ns0:c r="F1719" t="inlineStr">
        <ns0:is>
          <ns0:t>E0308,E0432,E0433,E0560,E0599</ns0:t>
        </ns0:is>
      </ns0:c>
      <ns0:c r="G1719" t="n">
        <ns0:v>0</ns0:v>
      </ns0:c>
      <ns0:c r="H1719" t="n">
        <ns0:v>8317</ns0:v>
      </ns0:c>
      <ns0:c r="I1719" t="n">
        <ns0:v>641</ns0:v>
      </ns0:c>
      <ns0:c r="J1719" t="n">
        <ns0:v>8958</ns0:v>
      </ns0:c>
      <ns0:c r="K1719" t="n">
        <ns0:v>3</ns0:v>
      </ns0:c>
      <ns0:c r="L1719" t="n">
        <ns0:v>0</ns0:v>
      </ns0:c>
      <ns0:c r="M1719" t="n">
        <ns0:v>177177</ns0:v>
      </ns0:c>
      <ns0:c r="N1719" t="n">
        <ns0:v>2223</ns0:v>
      </ns0:c>
      <ns0:c r="O1719" t="n">
        <ns0:v>179400</ns0:v>
      </ns0:c>
      <ns0:c r="P1719" t="n">
        <ns0:v>20</ns0:v>
      </ns0:c>
      <ns0:c r="Q1719">
        <ns0:f>IF(AND(L1719=1,O1719*Calculations!$B$2&lt;=Calculations!$B$10*Calculations!$B$4),1,0)</ns0:f>
        <ns0:v>0</ns0:v>
      </ns0:c>
      <ns0:c r="R1719">
        <ns0:f>IF(AND(L1719=1,O1719*Calculations!$B$2&lt;=Calculations!$B$11*Calculations!$B$4),1,0)</ns0:f>
        <ns0:v>0</ns0:v>
      </ns0:c>
    </ns0:row>
    <ns0:row r="1720">
      <ns0:c r="A1720" t="inlineStr">
        <ns0:is>
          <ns0:t>case_1719</ns0:t>
        </ns0:is>
      </ns0:c>
      <ns0:c r="B1720" t="inlineStr">
        <ns0:is>
          <ns0:t>function_0510</ns0:t>
        </ns0:is>
      </ns0:c>
      <ns0:c r="C1720" t="inlineStr">
        <ns0:is>
          <ns0:t>run_015</ns0:t>
        </ns0:is>
      </ns0:c>
      <ns0:c r="D1720" t="inlineStr">
        <ns0:is>
          <ns0:t>rustc-demangle</ns0:t>
        </ns0:is>
      </ns0:c>
      <ns0:c r="E1720" t="inlineStr">
        <ns0:is>
          <ns0:t>gemini-2.5-flash-nothinking</ns0:t>
        </ns0:is>
      </ns0:c>
      <ns0:c r="F1720" t="inlineStr">
        <ns0:is>
          <ns0:t>E0308,E0432,E0560,E0599</ns0:t>
        </ns0:is>
      </ns0:c>
      <ns0:c r="G1720" t="n">
        <ns0:v>0</ns0:v>
      </ns0:c>
      <ns0:c r="H1720" t="n">
        <ns0:v>4238</ns0:v>
      </ns0:c>
      <ns0:c r="I1720" t="n">
        <ns0:v>420</ns0:v>
      </ns0:c>
      <ns0:c r="J1720" t="n">
        <ns0:v>4658</ns0:v>
      </ns0:c>
      <ns0:c r="K1720" t="n">
        <ns0:v>3</ns0:v>
      </ns0:c>
      <ns0:c r="L1720" t="n">
        <ns0:v>0</ns0:v>
      </ns0:c>
      <ns0:c r="M1720" t="n">
        <ns0:v>925721</ns0:v>
      </ns0:c>
      <ns0:c r="N1720" t="n">
        <ns0:v>5618</ns0:v>
      </ns0:c>
      <ns0:c r="O1720" t="n">
        <ns0:v>931339</ns0:v>
      </ns0:c>
      <ns0:c r="P1720" t="n">
        <ns0:v>21</ns0:v>
      </ns0:c>
      <ns0:c r="Q1720">
        <ns0:f>IF(AND(L1720=1,O1720*Calculations!$B$2&lt;=Calculations!$B$10*Calculations!$B$4),1,0)</ns0:f>
        <ns0:v>0</ns0:v>
      </ns0:c>
      <ns0:c r="R1720">
        <ns0:f>IF(AND(L1720=1,O1720*Calculations!$B$2&lt;=Calculations!$B$11*Calculations!$B$4),1,0)</ns0:f>
        <ns0:v>0</ns0:v>
      </ns0:c>
    </ns0:row>
    <ns0:row r="1721">
      <ns0:c r="A1721" t="inlineStr">
        <ns0:is>
          <ns0:t>case_1720</ns0:t>
        </ns0:is>
      </ns0:c>
      <ns0:c r="B1721" t="inlineStr">
        <ns0:is>
          <ns0:t>function_0510</ns0:t>
        </ns0:is>
      </ns0:c>
      <ns0:c r="C1721" t="inlineStr">
        <ns0:is>
          <ns0:t>run_015</ns0:t>
        </ns0:is>
      </ns0:c>
      <ns0:c r="D1721" t="inlineStr">
        <ns0:is>
          <ns0:t>rustc-demangle</ns0:t>
        </ns0:is>
      </ns0:c>
      <ns0:c r="E1721" t="inlineStr">
        <ns0:is>
          <ns0:t>gemini-2.5-flash-nothinking</ns0:t>
        </ns0:is>
      </ns0:c>
      <ns0:c r="F1721" t="inlineStr">
        <ns0:is>
          <ns0:t>E0308,E0412,E0433,E0560,E0599</ns0:t>
        </ns0:is>
      </ns0:c>
      <ns0:c r="G1721" t="n">
        <ns0:v>0</ns0:v>
      </ns0:c>
      <ns0:c r="H1721" t="n">
        <ns0:v>4746</ns0:v>
      </ns0:c>
      <ns0:c r="I1721" t="n">
        <ns0:v>392</ns0:v>
      </ns0:c>
      <ns0:c r="J1721" t="n">
        <ns0:v>5138</ns0:v>
      </ns0:c>
      <ns0:c r="K1721" t="n">
        <ns0:v>3</ns0:v>
      </ns0:c>
      <ns0:c r="L1721" t="n">
        <ns0:v>1</ns0:v>
      </ns0:c>
      <ns0:c r="M1721" t="n">
        <ns0:v>473532</ns0:v>
      </ns0:c>
      <ns0:c r="N1721" t="n">
        <ns0:v>6419</ns0:v>
      </ns0:c>
      <ns0:c r="O1721" t="n">
        <ns0:v>479951</ns0:v>
      </ns0:c>
      <ns0:c r="P1721" t="n">
        <ns0:v>16</ns0:v>
      </ns0:c>
      <ns0:c r="Q1721">
        <ns0:f>IF(AND(L1721=1,O1721*Calculations!$B$2&lt;=Calculations!$B$10*Calculations!$B$4),1,0)</ns0:f>
        <ns0:v>0</ns0:v>
      </ns0:c>
      <ns0:c r="R1721">
        <ns0:f>IF(AND(L1721=1,O1721*Calculations!$B$2&lt;=Calculations!$B$11*Calculations!$B$4),1,0)</ns0:f>
        <ns0:v>0</ns0:v>
      </ns0:c>
    </ns0:row>
    <ns0:row r="1722">
      <ns0:c r="A1722" t="inlineStr">
        <ns0:is>
          <ns0:t>case_1721</ns0:t>
        </ns0:is>
      </ns0:c>
      <ns0:c r="B1722" t="inlineStr">
        <ns0:is>
          <ns0:t>function_0510</ns0:t>
        </ns0:is>
      </ns0:c>
      <ns0:c r="C1722" t="inlineStr">
        <ns0:is>
          <ns0:t>run_015</ns0:t>
        </ns0:is>
      </ns0:c>
      <ns0:c r="D1722" t="inlineStr">
        <ns0:is>
          <ns0:t>rustc-demangle</ns0:t>
        </ns0:is>
      </ns0:c>
      <ns0:c r="E1722" t="inlineStr">
        <ns0:is>
          <ns0:t>gemini-2.5-flash-nothinking</ns0:t>
        </ns0:is>
      </ns0:c>
      <ns0:c r="F1722" t="inlineStr">
        <ns0:is>
          <ns0:t>E0432,E0599</ns0:t>
        </ns0:is>
      </ns0:c>
      <ns0:c r="G1722" t="n">
        <ns0:v>0</ns0:v>
      </ns0:c>
      <ns0:c r="H1722" t="n">
        <ns0:v>5612</ns0:v>
      </ns0:c>
      <ns0:c r="I1722" t="n">
        <ns0:v>374</ns0:v>
      </ns0:c>
      <ns0:c r="J1722" t="n">
        <ns0:v>5986</ns0:v>
      </ns0:c>
      <ns0:c r="K1722" t="n">
        <ns0:v>3</ns0:v>
      </ns0:c>
      <ns0:c r="L1722" t="n">
        <ns0:v>0</ns0:v>
      </ns0:c>
      <ns0:c r="M1722" t="n">
        <ns0:v>314633</ns0:v>
      </ns0:c>
      <ns0:c r="N1722" t="n">
        <ns0:v>6253</ns0:v>
      </ns0:c>
      <ns0:c r="O1722" t="n">
        <ns0:v>320886</ns0:v>
      </ns0:c>
      <ns0:c r="P1722" t="n">
        <ns0:v>20</ns0:v>
      </ns0:c>
      <ns0:c r="Q1722">
        <ns0:f>IF(AND(L1722=1,O1722*Calculations!$B$2&lt;=Calculations!$B$10*Calculations!$B$4),1,0)</ns0:f>
        <ns0:v>0</ns0:v>
      </ns0:c>
      <ns0:c r="R1722">
        <ns0:f>IF(AND(L1722=1,O1722*Calculations!$B$2&lt;=Calculations!$B$11*Calculations!$B$4),1,0)</ns0:f>
        <ns0:v>0</ns0:v>
      </ns0:c>
    </ns0:row>
    <ns0:row r="1723">
      <ns0:c r="A1723" t="inlineStr">
        <ns0:is>
          <ns0:t>case_1722</ns0:t>
        </ns0:is>
      </ns0:c>
      <ns0:c r="B1723" t="inlineStr">
        <ns0:is>
          <ns0:t>function_0511</ns0:t>
        </ns0:is>
      </ns0:c>
      <ns0:c r="C1723" t="inlineStr">
        <ns0:is>
          <ns0:t>run_015</ns0:t>
        </ns0:is>
      </ns0:c>
      <ns0:c r="D1723" t="inlineStr">
        <ns0:is>
          <ns0:t>rustc-demangle</ns0:t>
        </ns0:is>
      </ns0:c>
      <ns0:c r="E1723" t="inlineStr">
        <ns0:is>
          <ns0:t>gemini-2.5-flash-nothinking</ns0:t>
        </ns0:is>
      </ns0:c>
      <ns0:c r="F1723" t="inlineStr">
        <ns0:is>
          <ns0:t>E0277,E0369,E0433,E0560</ns0:t>
        </ns0:is>
      </ns0:c>
      <ns0:c r="G1723" t="n">
        <ns0:v>1</ns0:v>
      </ns0:c>
      <ns0:c r="H1723" t="n">
        <ns0:v>0</ns0:v>
      </ns0:c>
      <ns0:c r="I1723" t="n">
        <ns0:v>0</ns0:v>
      </ns0:c>
      <ns0:c r="J1723" t="n">
        <ns0:v>0</ns0:v>
      </ns0:c>
      <ns0:c r="K1723" t="n">
        <ns0:v>0</ns0:v>
      </ns0:c>
      <ns0:c r="L1723" t="n">
        <ns0:v>0</ns0:v>
      </ns0:c>
      <ns0:c r="M1723" t="n">
        <ns0:v>812231</ns0:v>
      </ns0:c>
      <ns0:c r="N1723" t="n">
        <ns0:v>5064</ns0:v>
      </ns0:c>
      <ns0:c r="O1723" t="n">
        <ns0:v>817295</ns0:v>
      </ns0:c>
      <ns0:c r="P1723" t="n">
        <ns0:v>20</ns0:v>
      </ns0:c>
      <ns0:c r="Q1723">
        <ns0:f>IF(AND(L1723=1,O1723*Calculations!$B$2&lt;=Calculations!$B$10*Calculations!$B$4),1,0)</ns0:f>
        <ns0:v>0</ns0:v>
      </ns0:c>
      <ns0:c r="R1723">
        <ns0:f>IF(AND(L1723=1,O1723*Calculations!$B$2&lt;=Calculations!$B$11*Calculations!$B$4),1,0)</ns0:f>
        <ns0:v>0</ns0:v>
      </ns0:c>
    </ns0:row>
    <ns0:row r="1724">
      <ns0:c r="A1724" t="inlineStr">
        <ns0:is>
          <ns0:t>case_1723</ns0:t>
        </ns0:is>
      </ns0:c>
      <ns0:c r="B1724" t="inlineStr">
        <ns0:is>
          <ns0:t>function_0511</ns0:t>
        </ns0:is>
      </ns0:c>
      <ns0:c r="C1724" t="inlineStr">
        <ns0:is>
          <ns0:t>run_015</ns0:t>
        </ns0:is>
      </ns0:c>
      <ns0:c r="D1724" t="inlineStr">
        <ns0:is>
          <ns0:t>rustc-demangle</ns0:t>
        </ns0:is>
      </ns0:c>
      <ns0:c r="E1724" t="inlineStr">
        <ns0:is>
          <ns0:t>gemini-2.5-flash-nothinking</ns0:t>
        </ns0:is>
      </ns0:c>
      <ns0:c r="F1724" t="inlineStr">
        <ns0:is>
          <ns0:t>E0277,E0369,E0432,E0433,E0560</ns0:t>
        </ns0:is>
      </ns0:c>
      <ns0:c r="G1724" t="n">
        <ns0:v>1</ns0:v>
      </ns0:c>
      <ns0:c r="H1724" t="n">
        <ns0:v>0</ns0:v>
      </ns0:c>
      <ns0:c r="I1724" t="n">
        <ns0:v>0</ns0:v>
      </ns0:c>
      <ns0:c r="J1724" t="n">
        <ns0:v>0</ns0:v>
      </ns0:c>
      <ns0:c r="K1724" t="n">
        <ns0:v>0</ns0:v>
      </ns0:c>
      <ns0:c r="L1724" t="n">
        <ns0:v>0</ns0:v>
      </ns0:c>
      <ns0:c r="M1724" t="n">
        <ns0:v>279050</ns0:v>
      </ns0:c>
      <ns0:c r="N1724" t="n">
        <ns0:v>4762</ns0:v>
      </ns0:c>
      <ns0:c r="O1724" t="n">
        <ns0:v>283812</ns0:v>
      </ns0:c>
      <ns0:c r="P1724" t="n">
        <ns0:v>23</ns0:v>
      </ns0:c>
      <ns0:c r="Q1724">
        <ns0:f>IF(AND(L1724=1,O1724*Calculations!$B$2&lt;=Calculations!$B$10*Calculations!$B$4),1,0)</ns0:f>
        <ns0:v>0</ns0:v>
      </ns0:c>
      <ns0:c r="R1724">
        <ns0:f>IF(AND(L1724=1,O1724*Calculations!$B$2&lt;=Calculations!$B$11*Calculations!$B$4),1,0)</ns0:f>
        <ns0:v>0</ns0:v>
      </ns0:c>
    </ns0:row>
    <ns0:row r="1725">
      <ns0:c r="A1725" t="inlineStr">
        <ns0:is>
          <ns0:t>case_1724</ns0:t>
        </ns0:is>
      </ns0:c>
      <ns0:c r="B1725" t="inlineStr">
        <ns0:is>
          <ns0:t>function_0511</ns0:t>
        </ns0:is>
      </ns0:c>
      <ns0:c r="C1725" t="inlineStr">
        <ns0:is>
          <ns0:t>run_015</ns0:t>
        </ns0:is>
      </ns0:c>
      <ns0:c r="D1725" t="inlineStr">
        <ns0:is>
          <ns0:t>rustc-demangle</ns0:t>
        </ns0:is>
      </ns0:c>
      <ns0:c r="E1725" t="inlineStr">
        <ns0:is>
          <ns0:t>gemini-2.5-flash-nothinking</ns0:t>
        </ns0:is>
      </ns0:c>
      <ns0:c r="F1725" t="inlineStr">
        <ns0:is>
          <ns0:t>E0277,E0369,E0433,E0560,E0599,E0609</ns0:t>
        </ns0:is>
      </ns0:c>
      <ns0:c r="G1725" t="n">
        <ns0:v>1</ns0:v>
      </ns0:c>
      <ns0:c r="H1725" t="n">
        <ns0:v>0</ns0:v>
      </ns0:c>
      <ns0:c r="I1725" t="n">
        <ns0:v>0</ns0:v>
      </ns0:c>
      <ns0:c r="J1725" t="n">
        <ns0:v>0</ns0:v>
      </ns0:c>
      <ns0:c r="K1725" t="n">
        <ns0:v>0</ns0:v>
      </ns0:c>
      <ns0:c r="L1725" t="n">
        <ns0:v>0</ns0:v>
      </ns0:c>
      <ns0:c r="M1725" t="n">
        <ns0:v>614093</ns0:v>
      </ns0:c>
      <ns0:c r="N1725" t="n">
        <ns0:v>8971</ns0:v>
      </ns0:c>
      <ns0:c r="O1725" t="n">
        <ns0:v>623064</ns0:v>
      </ns0:c>
      <ns0:c r="P1725" t="n">
        <ns0:v>20</ns0:v>
      </ns0:c>
      <ns0:c r="Q1725">
        <ns0:f>IF(AND(L1725=1,O1725*Calculations!$B$2&lt;=Calculations!$B$10*Calculations!$B$4),1,0)</ns0:f>
        <ns0:v>0</ns0:v>
      </ns0:c>
      <ns0:c r="R1725">
        <ns0:f>IF(AND(L1725=1,O1725*Calculations!$B$2&lt;=Calculations!$B$11*Calculations!$B$4),1,0)</ns0:f>
        <ns0:v>0</ns0:v>
      </ns0:c>
    </ns0:row>
    <ns0:row r="1726">
      <ns0:c r="A1726" t="inlineStr">
        <ns0:is>
          <ns0:t>case_1725</ns0:t>
        </ns0:is>
      </ns0:c>
      <ns0:c r="B1726" t="inlineStr">
        <ns0:is>
          <ns0:t>function_0511</ns0:t>
        </ns0:is>
      </ns0:c>
      <ns0:c r="C1726" t="inlineStr">
        <ns0:is>
          <ns0:t>run_015</ns0:t>
        </ns0:is>
      </ns0:c>
      <ns0:c r="D1726" t="inlineStr">
        <ns0:is>
          <ns0:t>rustc-demangle</ns0:t>
        </ns0:is>
      </ns0:c>
      <ns0:c r="E1726" t="inlineStr">
        <ns0:is>
          <ns0:t>gemini-2.5-flash-nothinking</ns0:t>
        </ns0:is>
      </ns0:c>
      <ns0:c r="F1726" t="inlineStr">
        <ns0:is>
          <ns0:t>E0433,E0599</ns0:t>
        </ns0:is>
      </ns0:c>
      <ns0:c r="G1726" t="n">
        <ns0:v>0</ns0:v>
      </ns0:c>
      <ns0:c r="H1726" t="n">
        <ns0:v>17392</ns0:v>
      </ns0:c>
      <ns0:c r="I1726" t="n">
        <ns0:v>3225</ns0:v>
      </ns0:c>
      <ns0:c r="J1726" t="n">
        <ns0:v>20617</ns0:v>
      </ns0:c>
      <ns0:c r="K1726" t="n">
        <ns0:v>15</ns0:v>
      </ns0:c>
      <ns0:c r="L1726" t="n">
        <ns0:v>0</ns0:v>
      </ns0:c>
      <ns0:c r="M1726" t="n">
        <ns0:v>734696</ns0:v>
      </ns0:c>
      <ns0:c r="N1726" t="n">
        <ns0:v>3852</ns0:v>
      </ns0:c>
      <ns0:c r="O1726" t="n">
        <ns0:v>738548</ns0:v>
      </ns0:c>
      <ns0:c r="P1726" t="n">
        <ns0:v>20</ns0:v>
      </ns0:c>
      <ns0:c r="Q1726">
        <ns0:f>IF(AND(L1726=1,O1726*Calculations!$B$2&lt;=Calculations!$B$10*Calculations!$B$4),1,0)</ns0:f>
        <ns0:v>0</ns0:v>
      </ns0:c>
      <ns0:c r="R1726">
        <ns0:f>IF(AND(L1726=1,O1726*Calculations!$B$2&lt;=Calculations!$B$11*Calculations!$B$4),1,0)</ns0:f>
        <ns0:v>0</ns0:v>
      </ns0:c>
    </ns0:row>
    <ns0:row r="1727">
      <ns0:c r="A1727" t="inlineStr">
        <ns0:is>
          <ns0:t>case_1726</ns0:t>
        </ns0:is>
      </ns0:c>
      <ns0:c r="B1727" t="inlineStr">
        <ns0:is>
          <ns0:t>function_0512</ns0:t>
        </ns0:is>
      </ns0:c>
      <ns0:c r="C1727" t="inlineStr">
        <ns0:is>
          <ns0:t>run_015</ns0:t>
        </ns0:is>
      </ns0:c>
      <ns0:c r="D1727" t="inlineStr">
        <ns0:is>
          <ns0:t>rustc-demangle</ns0:t>
        </ns0:is>
      </ns0:c>
      <ns0:c r="E1727" t="inlineStr">
        <ns0:is>
          <ns0:t>gemini-2.5-flash-nothinking</ns0:t>
        </ns0:is>
      </ns0:c>
      <ns0:c r="F1727" t="inlineStr">
        <ns0:is>
          <ns0:t>E0433,E0599</ns0:t>
        </ns0:is>
      </ns0:c>
      <ns0:c r="G1727" t="n">
        <ns0:v>0</ns0:v>
      </ns0:c>
      <ns0:c r="H1727" t="n">
        <ns0:v>2788</ns0:v>
      </ns0:c>
      <ns0:c r="I1727" t="n">
        <ns0:v>258</ns0:v>
      </ns0:c>
      <ns0:c r="J1727" t="n">
        <ns0:v>3046</ns0:v>
      </ns0:c>
      <ns0:c r="K1727" t="n">
        <ns0:v>3</ns0:v>
      </ns0:c>
      <ns0:c r="L1727" t="n">
        <ns0:v>0</ns0:v>
      </ns0:c>
      <ns0:c r="M1727" t="n">
        <ns0:v>237251</ns0:v>
      </ns0:c>
      <ns0:c r="N1727" t="n">
        <ns0:v>4194</ns0:v>
      </ns0:c>
      <ns0:c r="O1727" t="n">
        <ns0:v>241445</ns0:v>
      </ns0:c>
      <ns0:c r="P1727" t="n">
        <ns0:v>20</ns0:v>
      </ns0:c>
      <ns0:c r="Q1727">
        <ns0:f>IF(AND(L1727=1,O1727*Calculations!$B$2&lt;=Calculations!$B$10*Calculations!$B$4),1,0)</ns0:f>
        <ns0:v>0</ns0:v>
      </ns0:c>
      <ns0:c r="R1727">
        <ns0:f>IF(AND(L1727=1,O1727*Calculations!$B$2&lt;=Calculations!$B$11*Calculations!$B$4),1,0)</ns0:f>
        <ns0:v>0</ns0:v>
      </ns0:c>
    </ns0:row>
    <ns0:row r="1728">
      <ns0:c r="A1728" t="inlineStr">
        <ns0:is>
          <ns0:t>case_1727</ns0:t>
        </ns0:is>
      </ns0:c>
      <ns0:c r="B1728" t="inlineStr">
        <ns0:is>
          <ns0:t>function_0512</ns0:t>
        </ns0:is>
      </ns0:c>
      <ns0:c r="C1728" t="inlineStr">
        <ns0:is>
          <ns0:t>run_015</ns0:t>
        </ns0:is>
      </ns0:c>
      <ns0:c r="D1728" t="inlineStr">
        <ns0:is>
          <ns0:t>rustc-demangle</ns0:t>
        </ns0:is>
      </ns0:c>
      <ns0:c r="E1728" t="inlineStr">
        <ns0:is>
          <ns0:t>gemini-2.5-flash-nothinking</ns0:t>
        </ns0:is>
      </ns0:c>
      <ns0:c r="F1728" t="inlineStr">
        <ns0:is>
          <ns0:t>E0432,E0433,E0599</ns0:t>
        </ns0:is>
      </ns0:c>
      <ns0:c r="G1728" t="n">
        <ns0:v>0</ns0:v>
      </ns0:c>
      <ns0:c r="H1728" t="n">
        <ns0:v>3875</ns0:v>
      </ns0:c>
      <ns0:c r="I1728" t="n">
        <ns0:v>259</ns0:v>
      </ns0:c>
      <ns0:c r="J1728" t="n">
        <ns0:v>4134</ns0:v>
      </ns0:c>
      <ns0:c r="K1728" t="n">
        <ns0:v>3</ns0:v>
      </ns0:c>
      <ns0:c r="L1728" t="n">
        <ns0:v>0</ns0:v>
      </ns0:c>
      <ns0:c r="M1728" t="n">
        <ns0:v>181369</ns0:v>
      </ns0:c>
      <ns0:c r="N1728" t="n">
        <ns0:v>1507</ns0:v>
      </ns0:c>
      <ns0:c r="O1728" t="n">
        <ns0:v>182876</ns0:v>
      </ns0:c>
      <ns0:c r="P1728" t="n">
        <ns0:v>20</ns0:v>
      </ns0:c>
      <ns0:c r="Q1728">
        <ns0:f>IF(AND(L1728=1,O1728*Calculations!$B$2&lt;=Calculations!$B$10*Calculations!$B$4),1,0)</ns0:f>
        <ns0:v>0</ns0:v>
      </ns0:c>
      <ns0:c r="R1728">
        <ns0:f>IF(AND(L1728=1,O1728*Calculations!$B$2&lt;=Calculations!$B$11*Calculations!$B$4),1,0)</ns0:f>
        <ns0:v>0</ns0:v>
      </ns0:c>
    </ns0:row>
    <ns0:row r="1729">
      <ns0:c r="A1729" t="inlineStr">
        <ns0:is>
          <ns0:t>case_1728</ns0:t>
        </ns0:is>
      </ns0:c>
      <ns0:c r="B1729" t="inlineStr">
        <ns0:is>
          <ns0:t>function_0512</ns0:t>
        </ns0:is>
      </ns0:c>
      <ns0:c r="C1729" t="inlineStr">
        <ns0:is>
          <ns0:t>run_015</ns0:t>
        </ns0:is>
      </ns0:c>
      <ns0:c r="D1729" t="inlineStr">
        <ns0:is>
          <ns0:t>rustc-demangle</ns0:t>
        </ns0:is>
      </ns0:c>
      <ns0:c r="E1729" t="inlineStr">
        <ns0:is>
          <ns0:t>gemini-2.5-flash-nothinking</ns0:t>
        </ns0:is>
      </ns0:c>
      <ns0:c r="F1729" t="inlineStr">
        <ns0:is>
          <ns0:t>E0433,E0599</ns0:t>
        </ns0:is>
      </ns0:c>
      <ns0:c r="G1729" t="n">
        <ns0:v>0</ns0:v>
      </ns0:c>
      <ns0:c r="H1729" t="n">
        <ns0:v>2770</ns0:v>
      </ns0:c>
      <ns0:c r="I1729" t="n">
        <ns0:v>237</ns0:v>
      </ns0:c>
      <ns0:c r="J1729" t="n">
        <ns0:v>3007</ns0:v>
      </ns0:c>
      <ns0:c r="K1729" t="n">
        <ns0:v>3</ns0:v>
      </ns0:c>
      <ns0:c r="L1729" t="n">
        <ns0:v>0</ns0:v>
      </ns0:c>
      <ns0:c r="M1729" t="n">
        <ns0:v>169732</ns0:v>
      </ns0:c>
      <ns0:c r="N1729" t="n">
        <ns0:v>2515</ns0:v>
      </ns0:c>
      <ns0:c r="O1729" t="n">
        <ns0:v>172247</ns0:v>
      </ns0:c>
      <ns0:c r="P1729" t="n">
        <ns0:v>20</ns0:v>
      </ns0:c>
      <ns0:c r="Q1729">
        <ns0:f>IF(AND(L1729=1,O1729*Calculations!$B$2&lt;=Calculations!$B$10*Calculations!$B$4),1,0)</ns0:f>
        <ns0:v>0</ns0:v>
      </ns0:c>
      <ns0:c r="R1729">
        <ns0:f>IF(AND(L1729=1,O1729*Calculations!$B$2&lt;=Calculations!$B$11*Calculations!$B$4),1,0)</ns0:f>
        <ns0:v>0</ns0:v>
      </ns0:c>
    </ns0:row>
    <ns0:row r="1730">
      <ns0:c r="A1730" t="inlineStr">
        <ns0:is>
          <ns0:t>case_1729</ns0:t>
        </ns0:is>
      </ns0:c>
      <ns0:c r="B1730" t="inlineStr">
        <ns0:is>
          <ns0:t>function_0512</ns0:t>
        </ns0:is>
      </ns0:c>
      <ns0:c r="C1730" t="inlineStr">
        <ns0:is>
          <ns0:t>run_015</ns0:t>
        </ns0:is>
      </ns0:c>
      <ns0:c r="D1730" t="inlineStr">
        <ns0:is>
          <ns0:t>rustc-demangle</ns0:t>
        </ns0:is>
      </ns0:c>
      <ns0:c r="E1730" t="inlineStr">
        <ns0:is>
          <ns0:t>gemini-2.5-flash-nothinking</ns0:t>
        </ns0:is>
      </ns0:c>
      <ns0:c r="F1730" t="inlineStr">
        <ns0:is>
          <ns0:t>E0599</ns0:t>
        </ns0:is>
      </ns0:c>
      <ns0:c r="G1730" t="n">
        <ns0:v>0</ns0:v>
      </ns0:c>
      <ns0:c r="H1730" t="n">
        <ns0:v>3176</ns0:v>
      </ns0:c>
      <ns0:c r="I1730" t="n">
        <ns0:v>351</ns0:v>
      </ns0:c>
      <ns0:c r="J1730" t="n">
        <ns0:v>3527</ns0:v>
      </ns0:c>
      <ns0:c r="K1730" t="n">
        <ns0:v>3</ns0:v>
      </ns0:c>
      <ns0:c r="L1730" t="n">
        <ns0:v>0</ns0:v>
      </ns0:c>
      <ns0:c r="M1730" t="n">
        <ns0:v>31835</ns0:v>
      </ns0:c>
      <ns0:c r="N1730" t="n">
        <ns0:v>1781</ns0:v>
      </ns0:c>
      <ns0:c r="O1730" t="n">
        <ns0:v>33616</ns0:v>
      </ns0:c>
      <ns0:c r="P1730" t="n">
        <ns0:v>3</ns0:v>
      </ns0:c>
      <ns0:c r="Q1730">
        <ns0:f>IF(AND(L1730=1,O1730*Calculations!$B$2&lt;=Calculations!$B$10*Calculations!$B$4),1,0)</ns0:f>
        <ns0:v>0</ns0:v>
      </ns0:c>
      <ns0:c r="R1730">
        <ns0:f>IF(AND(L1730=1,O1730*Calculations!$B$2&lt;=Calculations!$B$11*Calculations!$B$4),1,0)</ns0:f>
        <ns0:v>0</ns0:v>
      </ns0:c>
    </ns0:row>
    <ns0:row r="1731">
      <ns0:c r="A1731" t="inlineStr">
        <ns0:is>
          <ns0:t>case_1730</ns0:t>
        </ns0:is>
      </ns0:c>
      <ns0:c r="B1731" t="inlineStr">
        <ns0:is>
          <ns0:t>function_0513</ns0:t>
        </ns0:is>
      </ns0:c>
      <ns0:c r="C1731" t="inlineStr">
        <ns0:is>
          <ns0:t>run_015</ns0:t>
        </ns0:is>
      </ns0:c>
      <ns0:c r="D1731" t="inlineStr">
        <ns0:is>
          <ns0:t>rustc-demangle</ns0:t>
        </ns0:is>
      </ns0:c>
      <ns0:c r="E1731" t="inlineStr">
        <ns0:is>
          <ns0:t>gemini-2.5-flash-nothinking</ns0:t>
        </ns0:is>
      </ns0:c>
      <ns0:c r="F1731" t="inlineStr">
        <ns0:is>
          <ns0:t>E0308,E0412,E0433,E0599,E0658</ns0:t>
        </ns0:is>
      </ns0:c>
      <ns0:c r="G1731" t="n">
        <ns0:v>1</ns0:v>
      </ns0:c>
      <ns0:c r="H1731" t="n">
        <ns0:v>0</ns0:v>
      </ns0:c>
      <ns0:c r="I1731" t="n">
        <ns0:v>0</ns0:v>
      </ns0:c>
      <ns0:c r="J1731" t="n">
        <ns0:v>0</ns0:v>
      </ns0:c>
      <ns0:c r="K1731" t="n">
        <ns0:v>0</ns0:v>
      </ns0:c>
      <ns0:c r="L1731" t="n">
        <ns0:v>0</ns0:v>
      </ns0:c>
      <ns0:c r="M1731" t="n">
        <ns0:v>223719</ns0:v>
      </ns0:c>
      <ns0:c r="N1731" t="n">
        <ns0:v>6545</ns0:v>
      </ns0:c>
      <ns0:c r="O1731" t="n">
        <ns0:v>230264</ns0:v>
      </ns0:c>
      <ns0:c r="P1731" t="n">
        <ns0:v>20</ns0:v>
      </ns0:c>
      <ns0:c r="Q1731">
        <ns0:f>IF(AND(L1731=1,O1731*Calculations!$B$2&lt;=Calculations!$B$10*Calculations!$B$4),1,0)</ns0:f>
        <ns0:v>0</ns0:v>
      </ns0:c>
      <ns0:c r="R1731">
        <ns0:f>IF(AND(L1731=1,O1731*Calculations!$B$2&lt;=Calculations!$B$11*Calculations!$B$4),1,0)</ns0:f>
        <ns0:v>0</ns0:v>
      </ns0:c>
    </ns0:row>
    <ns0:row r="1732">
      <ns0:c r="A1732" t="inlineStr">
        <ns0:is>
          <ns0:t>case_1731</ns0:t>
        </ns0:is>
      </ns0:c>
      <ns0:c r="B1732" t="inlineStr">
        <ns0:is>
          <ns0:t>function_0513</ns0:t>
        </ns0:is>
      </ns0:c>
      <ns0:c r="C1732" t="inlineStr">
        <ns0:is>
          <ns0:t>run_015</ns0:t>
        </ns0:is>
      </ns0:c>
      <ns0:c r="D1732" t="inlineStr">
        <ns0:is>
          <ns0:t>rustc-demangle</ns0:t>
        </ns0:is>
      </ns0:c>
      <ns0:c r="E1732" t="inlineStr">
        <ns0:is>
          <ns0:t>gemini-2.5-flash-nothinking</ns0:t>
        </ns0:is>
      </ns0:c>
      <ns0:c r="F1732" t="inlineStr">
        <ns0:is>
          <ns0:t>E0308,E0433,E0560</ns0:t>
        </ns0:is>
      </ns0:c>
      <ns0:c r="G1732" t="n">
        <ns0:v>1</ns0:v>
      </ns0:c>
      <ns0:c r="H1732" t="n">
        <ns0:v>0</ns0:v>
      </ns0:c>
      <ns0:c r="I1732" t="n">
        <ns0:v>0</ns0:v>
      </ns0:c>
      <ns0:c r="J1732" t="n">
        <ns0:v>0</ns0:v>
      </ns0:c>
      <ns0:c r="K1732" t="n">
        <ns0:v>0</ns0:v>
      </ns0:c>
      <ns0:c r="L1732" t="n">
        <ns0:v>0</ns0:v>
      </ns0:c>
      <ns0:c r="M1732" t="n">
        <ns0:v>225241</ns0:v>
      </ns0:c>
      <ns0:c r="N1732" t="n">
        <ns0:v>22103</ns0:v>
      </ns0:c>
      <ns0:c r="O1732" t="n">
        <ns0:v>247344</ns0:v>
      </ns0:c>
      <ns0:c r="P1732" t="n">
        <ns0:v>20</ns0:v>
      </ns0:c>
      <ns0:c r="Q1732">
        <ns0:f>IF(AND(L1732=1,O1732*Calculations!$B$2&lt;=Calculations!$B$10*Calculations!$B$4),1,0)</ns0:f>
        <ns0:v>0</ns0:v>
      </ns0:c>
      <ns0:c r="R1732">
        <ns0:f>IF(AND(L1732=1,O1732*Calculations!$B$2&lt;=Calculations!$B$11*Calculations!$B$4),1,0)</ns0:f>
        <ns0:v>0</ns0:v>
      </ns0:c>
    </ns0:row>
    <ns0:row r="1733">
      <ns0:c r="A1733" t="inlineStr">
        <ns0:is>
          <ns0:t>case_1732</ns0:t>
        </ns0:is>
      </ns0:c>
      <ns0:c r="B1733" t="inlineStr">
        <ns0:is>
          <ns0:t>function_0513</ns0:t>
        </ns0:is>
      </ns0:c>
      <ns0:c r="C1733" t="inlineStr">
        <ns0:is>
          <ns0:t>run_015</ns0:t>
        </ns0:is>
      </ns0:c>
      <ns0:c r="D1733" t="inlineStr">
        <ns0:is>
          <ns0:t>rustc-demangle</ns0:t>
        </ns0:is>
      </ns0:c>
      <ns0:c r="E1733" t="inlineStr">
        <ns0:is>
          <ns0:t>gemini-2.5-flash-nothinking</ns0:t>
        </ns0:is>
      </ns0:c>
      <ns0:c r="F1733" t="inlineStr">
        <ns0:is>
          <ns0:t>E0277,E0369,E0412,E0433,E0599,E0658</ns0:t>
        </ns0:is>
      </ns0:c>
      <ns0:c r="G1733" t="n">
        <ns0:v>0</ns0:v>
      </ns0:c>
      <ns0:c r="H1733" t="n">
        <ns0:v>10257</ns0:v>
      </ns0:c>
      <ns0:c r="I1733" t="n">
        <ns0:v>1544</ns0:v>
      </ns0:c>
      <ns0:c r="J1733" t="n">
        <ns0:v>11801</ns0:v>
      </ns0:c>
      <ns0:c r="K1733" t="n">
        <ns0:v>3</ns0:v>
      </ns0:c>
      <ns0:c r="L1733" t="n">
        <ns0:v>0</ns0:v>
      </ns0:c>
      <ns0:c r="M1733" t="n">
        <ns0:v>215351</ns0:v>
      </ns0:c>
      <ns0:c r="N1733" t="n">
        <ns0:v>2671</ns0:v>
      </ns0:c>
      <ns0:c r="O1733" t="n">
        <ns0:v>218022</ns0:v>
      </ns0:c>
      <ns0:c r="P1733" t="n">
        <ns0:v>20</ns0:v>
      </ns0:c>
      <ns0:c r="Q1733">
        <ns0:f>IF(AND(L1733=1,O1733*Calculations!$B$2&lt;=Calculations!$B$10*Calculations!$B$4),1,0)</ns0:f>
        <ns0:v>0</ns0:v>
      </ns0:c>
      <ns0:c r="R1733">
        <ns0:f>IF(AND(L1733=1,O1733*Calculations!$B$2&lt;=Calculations!$B$11*Calculations!$B$4),1,0)</ns0:f>
        <ns0:v>0</ns0:v>
      </ns0:c>
    </ns0:row>
    <ns0:row r="1734">
      <ns0:c r="A1734" t="inlineStr">
        <ns0:is>
          <ns0:t>case_1733</ns0:t>
        </ns0:is>
      </ns0:c>
      <ns0:c r="B1734" t="inlineStr">
        <ns0:is>
          <ns0:t>function_0513</ns0:t>
        </ns0:is>
      </ns0:c>
      <ns0:c r="C1734" t="inlineStr">
        <ns0:is>
          <ns0:t>run_015</ns0:t>
        </ns0:is>
      </ns0:c>
      <ns0:c r="D1734" t="inlineStr">
        <ns0:is>
          <ns0:t>rustc-demangle</ns0:t>
        </ns0:is>
      </ns0:c>
      <ns0:c r="E1734" t="inlineStr">
        <ns0:is>
          <ns0:t>gemini-2.5-flash-nothinking</ns0:t>
        </ns0:is>
      </ns0:c>
      <ns0:c r="F1734" t="inlineStr">
        <ns0:is>
          <ns0:t>E0433</ns0:t>
        </ns0:is>
      </ns0:c>
      <ns0:c r="G1734" t="n">
        <ns0:v>1</ns0:v>
      </ns0:c>
      <ns0:c r="H1734" t="n">
        <ns0:v>0</ns0:v>
      </ns0:c>
      <ns0:c r="I1734" t="n">
        <ns0:v>0</ns0:v>
      </ns0:c>
      <ns0:c r="J1734" t="n">
        <ns0:v>0</ns0:v>
      </ns0:c>
      <ns0:c r="K1734" t="n">
        <ns0:v>0</ns0:v>
      </ns0:c>
      <ns0:c r="L1734" t="n">
        <ns0:v>1</ns0:v>
      </ns0:c>
      <ns0:c r="M1734" t="n">
        <ns0:v>556206</ns0:v>
      </ns0:c>
      <ns0:c r="N1734" t="n">
        <ns0:v>3225</ns0:v>
      </ns0:c>
      <ns0:c r="O1734" t="n">
        <ns0:v>559431</ns0:v>
      </ns0:c>
      <ns0:c r="P1734" t="n">
        <ns0:v>20</ns0:v>
      </ns0:c>
      <ns0:c r="Q1734">
        <ns0:f>IF(AND(L1734=1,O1734*Calculations!$B$2&lt;=Calculations!$B$10*Calculations!$B$4),1,0)</ns0:f>
        <ns0:v>0</ns0:v>
      </ns0:c>
      <ns0:c r="R1734">
        <ns0:f>IF(AND(L1734=1,O1734*Calculations!$B$2&lt;=Calculations!$B$11*Calculations!$B$4),1,0)</ns0:f>
        <ns0:v>0</ns0:v>
      </ns0:c>
    </ns0:row>
    <ns0:row r="1735">
      <ns0:c r="A1735" t="inlineStr">
        <ns0:is>
          <ns0:t>case_1734</ns0:t>
        </ns0:is>
      </ns0:c>
      <ns0:c r="B1735" t="inlineStr">
        <ns0:is>
          <ns0:t>function_0514</ns0:t>
        </ns0:is>
      </ns0:c>
      <ns0:c r="C1735" t="inlineStr">
        <ns0:is>
          <ns0:t>run_015</ns0:t>
        </ns0:is>
      </ns0:c>
      <ns0:c r="D1735" t="inlineStr">
        <ns0:is>
          <ns0:t>rustc-demangle</ns0:t>
        </ns0:is>
      </ns0:c>
      <ns0:c r="E1735" t="inlineStr">
        <ns0:is>
          <ns0:t>gemini-2.5-flash-nothinking</ns0:t>
        </ns0:is>
      </ns0:c>
      <ns0:c r="F1735" t="inlineStr">
        <ns0:is>
          <ns0:t>E0308,E0432,E0433,E0560,E0599</ns0:t>
        </ns0:is>
      </ns0:c>
      <ns0:c r="G1735" t="n">
        <ns0:v>0</ns0:v>
      </ns0:c>
      <ns0:c r="H1735" t="n">
        <ns0:v>4463</ns0:v>
      </ns0:c>
      <ns0:c r="I1735" t="n">
        <ns0:v>585</ns0:v>
      </ns0:c>
      <ns0:c r="J1735" t="n">
        <ns0:v>5048</ns0:v>
      </ns0:c>
      <ns0:c r="K1735" t="n">
        <ns0:v>3</ns0:v>
      </ns0:c>
      <ns0:c r="L1735" t="n">
        <ns0:v>0</ns0:v>
      </ns0:c>
      <ns0:c r="M1735" t="n">
        <ns0:v>198509</ns0:v>
      </ns0:c>
      <ns0:c r="N1735" t="n">
        <ns0:v>6047</ns0:v>
      </ns0:c>
      <ns0:c r="O1735" t="n">
        <ns0:v>204556</ns0:v>
      </ns0:c>
      <ns0:c r="P1735" t="n">
        <ns0:v>20</ns0:v>
      </ns0:c>
      <ns0:c r="Q1735">
        <ns0:f>IF(AND(L1735=1,O1735*Calculations!$B$2&lt;=Calculations!$B$10*Calculations!$B$4),1,0)</ns0:f>
        <ns0:v>0</ns0:v>
      </ns0:c>
      <ns0:c r="R1735">
        <ns0:f>IF(AND(L1735=1,O1735*Calculations!$B$2&lt;=Calculations!$B$11*Calculations!$B$4),1,0)</ns0:f>
        <ns0:v>0</ns0:v>
      </ns0:c>
    </ns0:row>
    <ns0:row r="1736">
      <ns0:c r="A1736" t="inlineStr">
        <ns0:is>
          <ns0:t>case_1735</ns0:t>
        </ns0:is>
      </ns0:c>
      <ns0:c r="B1736" t="inlineStr">
        <ns0:is>
          <ns0:t>function_0514</ns0:t>
        </ns0:is>
      </ns0:c>
      <ns0:c r="C1736" t="inlineStr">
        <ns0:is>
          <ns0:t>run_015</ns0:t>
        </ns0:is>
      </ns0:c>
      <ns0:c r="D1736" t="inlineStr">
        <ns0:is>
          <ns0:t>rustc-demangle</ns0:t>
        </ns0:is>
      </ns0:c>
      <ns0:c r="E1736" t="inlineStr">
        <ns0:is>
          <ns0:t>gemini-2.5-flash-nothinking</ns0:t>
        </ns0:is>
      </ns0:c>
      <ns0:c r="F1736" t="inlineStr">
        <ns0:is>
          <ns0:t>E0277,E0308,E0369,E0432,E0433,E0560,E0599</ns0:t>
        </ns0:is>
      </ns0:c>
      <ns0:c r="G1736" t="n">
        <ns0:v>1</ns0:v>
      </ns0:c>
      <ns0:c r="H1736" t="n">
        <ns0:v>0</ns0:v>
      </ns0:c>
      <ns0:c r="I1736" t="n">
        <ns0:v>0</ns0:v>
      </ns0:c>
      <ns0:c r="J1736" t="n">
        <ns0:v>0</ns0:v>
      </ns0:c>
      <ns0:c r="K1736" t="n">
        <ns0:v>0</ns0:v>
      </ns0:c>
      <ns0:c r="L1736" t="n">
        <ns0:v>0</ns0:v>
      </ns0:c>
      <ns0:c r="M1736" t="n">
        <ns0:v>246819</ns0:v>
      </ns0:c>
      <ns0:c r="N1736" t="n">
        <ns0:v>8051</ns0:v>
      </ns0:c>
      <ns0:c r="O1736" t="n">
        <ns0:v>254870</ns0:v>
      </ns0:c>
      <ns0:c r="P1736" t="n">
        <ns0:v>16</ns0:v>
      </ns0:c>
      <ns0:c r="Q1736">
        <ns0:f>IF(AND(L1736=1,O1736*Calculations!$B$2&lt;=Calculations!$B$10*Calculations!$B$4),1,0)</ns0:f>
        <ns0:v>0</ns0:v>
      </ns0:c>
      <ns0:c r="R1736">
        <ns0:f>IF(AND(L1736=1,O1736*Calculations!$B$2&lt;=Calculations!$B$11*Calculations!$B$4),1,0)</ns0:f>
        <ns0:v>0</ns0:v>
      </ns0:c>
    </ns0:row>
    <ns0:row r="1737">
      <ns0:c r="A1737" t="inlineStr">
        <ns0:is>
          <ns0:t>case_1736</ns0:t>
        </ns0:is>
      </ns0:c>
      <ns0:c r="B1737" t="inlineStr">
        <ns0:is>
          <ns0:t>function_0514</ns0:t>
        </ns0:is>
      </ns0:c>
      <ns0:c r="C1737" t="inlineStr">
        <ns0:is>
          <ns0:t>run_015</ns0:t>
        </ns0:is>
      </ns0:c>
      <ns0:c r="D1737" t="inlineStr">
        <ns0:is>
          <ns0:t>rustc-demangle</ns0:t>
        </ns0:is>
      </ns0:c>
      <ns0:c r="E1737" t="inlineStr">
        <ns0:is>
          <ns0:t>gemini-2.5-flash-nothinking</ns0:t>
        </ns0:is>
      </ns0:c>
      <ns0:c r="F1737" t="inlineStr">
        <ns0:is>
          <ns0:t>E0432,E0433,E0560</ns0:t>
        </ns0:is>
      </ns0:c>
      <ns0:c r="G1737" t="n">
        <ns0:v>1</ns0:v>
      </ns0:c>
      <ns0:c r="H1737" t="n">
        <ns0:v>0</ns0:v>
      </ns0:c>
      <ns0:c r="I1737" t="n">
        <ns0:v>0</ns0:v>
      </ns0:c>
      <ns0:c r="J1737" t="n">
        <ns0:v>0</ns0:v>
      </ns0:c>
      <ns0:c r="K1737" t="n">
        <ns0:v>0</ns0:v>
      </ns0:c>
      <ns0:c r="L1737" t="n">
        <ns0:v>0</ns0:v>
      </ns0:c>
      <ns0:c r="M1737" t="n">
        <ns0:v>186585</ns0:v>
      </ns0:c>
      <ns0:c r="N1737" t="n">
        <ns0:v>6659</ns0:v>
      </ns0:c>
      <ns0:c r="O1737" t="n">
        <ns0:v>193244</ns0:v>
      </ns0:c>
      <ns0:c r="P1737" t="n">
        <ns0:v>20</ns0:v>
      </ns0:c>
      <ns0:c r="Q1737">
        <ns0:f>IF(AND(L1737=1,O1737*Calculations!$B$2&lt;=Calculations!$B$10*Calculations!$B$4),1,0)</ns0:f>
        <ns0:v>0</ns0:v>
      </ns0:c>
      <ns0:c r="R1737">
        <ns0:f>IF(AND(L1737=1,O1737*Calculations!$B$2&lt;=Calculations!$B$11*Calculations!$B$4),1,0)</ns0:f>
        <ns0:v>0</ns0:v>
      </ns0:c>
    </ns0:row>
    <ns0:row r="1738">
      <ns0:c r="A1738" t="inlineStr">
        <ns0:is>
          <ns0:t>case_1737</ns0:t>
        </ns0:is>
      </ns0:c>
      <ns0:c r="B1738" t="inlineStr">
        <ns0:is>
          <ns0:t>function_0514</ns0:t>
        </ns0:is>
      </ns0:c>
      <ns0:c r="C1738" t="inlineStr">
        <ns0:is>
          <ns0:t>run_015</ns0:t>
        </ns0:is>
      </ns0:c>
      <ns0:c r="D1738" t="inlineStr">
        <ns0:is>
          <ns0:t>rustc-demangle</ns0:t>
        </ns0:is>
      </ns0:c>
      <ns0:c r="E1738" t="inlineStr">
        <ns0:is>
          <ns0:t>gemini-2.5-flash-nothinking</ns0:t>
        </ns0:is>
      </ns0:c>
      <ns0:c r="F1738" t="inlineStr">
        <ns0:is>
          <ns0:t>E0432,E0433,E0599</ns0:t>
        </ns0:is>
      </ns0:c>
      <ns0:c r="G1738" t="n">
        <ns0:v>0</ns0:v>
      </ns0:c>
      <ns0:c r="H1738" t="n">
        <ns0:v>7231</ns0:v>
      </ns0:c>
      <ns0:c r="I1738" t="n">
        <ns0:v>852</ns0:v>
      </ns0:c>
      <ns0:c r="J1738" t="n">
        <ns0:v>8083</ns0:v>
      </ns0:c>
      <ns0:c r="K1738" t="n">
        <ns0:v>3</ns0:v>
      </ns0:c>
      <ns0:c r="L1738" t="n">
        <ns0:v>0</ns0:v>
      </ns0:c>
      <ns0:c r="M1738" t="n">
        <ns0:v>238912</ns0:v>
      </ns0:c>
      <ns0:c r="N1738" t="n">
        <ns0:v>3717</ns0:v>
      </ns0:c>
      <ns0:c r="O1738" t="n">
        <ns0:v>242629</ns0:v>
      </ns0:c>
      <ns0:c r="P1738" t="n">
        <ns0:v>20</ns0:v>
      </ns0:c>
      <ns0:c r="Q1738">
        <ns0:f>IF(AND(L1738=1,O1738*Calculations!$B$2&lt;=Calculations!$B$10*Calculations!$B$4),1,0)</ns0:f>
        <ns0:v>0</ns0:v>
      </ns0:c>
      <ns0:c r="R1738">
        <ns0:f>IF(AND(L1738=1,O1738*Calculations!$B$2&lt;=Calculations!$B$11*Calculations!$B$4),1,0)</ns0:f>
        <ns0:v>0</ns0:v>
      </ns0:c>
    </ns0:row>
    <ns0:row r="1739">
      <ns0:c r="A1739" t="inlineStr">
        <ns0:is>
          <ns0:t>case_1738</ns0:t>
        </ns0:is>
      </ns0:c>
      <ns0:c r="B1739" t="inlineStr">
        <ns0:is>
          <ns0:t>function_0515</ns0:t>
        </ns0:is>
      </ns0:c>
      <ns0:c r="C1739" t="inlineStr">
        <ns0:is>
          <ns0:t>run_015</ns0:t>
        </ns0:is>
      </ns0:c>
      <ns0:c r="D1739" t="inlineStr">
        <ns0:is>
          <ns0:t>rustc-demangle</ns0:t>
        </ns0:is>
      </ns0:c>
      <ns0:c r="E1739" t="inlineStr">
        <ns0:is>
          <ns0:t>gemini-2.5-flash-nothinking</ns0:t>
        </ns0:is>
      </ns0:c>
      <ns0:c r="F1739" t="inlineStr">
        <ns0:is>
          <ns0:t>E0412,E0433</ns0:t>
        </ns0:is>
      </ns0:c>
      <ns0:c r="G1739" t="n">
        <ns0:v>0</ns0:v>
      </ns0:c>
      <ns0:c r="H1739" t="n">
        <ns0:v>6279</ns0:v>
      </ns0:c>
      <ns0:c r="I1739" t="n">
        <ns0:v>411</ns0:v>
      </ns0:c>
      <ns0:c r="J1739" t="n">
        <ns0:v>6690</ns0:v>
      </ns0:c>
      <ns0:c r="K1739" t="n">
        <ns0:v>3</ns0:v>
      </ns0:c>
      <ns0:c r="L1739" t="n">
        <ns0:v>0</ns0:v>
      </ns0:c>
      <ns0:c r="M1739" t="n">
        <ns0:v>234287</ns0:v>
      </ns0:c>
      <ns0:c r="N1739" t="n">
        <ns0:v>2432</ns0:v>
      </ns0:c>
      <ns0:c r="O1739" t="n">
        <ns0:v>236719</ns0:v>
      </ns0:c>
      <ns0:c r="P1739" t="n">
        <ns0:v>20</ns0:v>
      </ns0:c>
      <ns0:c r="Q1739">
        <ns0:f>IF(AND(L1739=1,O1739*Calculations!$B$2&lt;=Calculations!$B$10*Calculations!$B$4),1,0)</ns0:f>
        <ns0:v>0</ns0:v>
      </ns0:c>
      <ns0:c r="R1739">
        <ns0:f>IF(AND(L1739=1,O1739*Calculations!$B$2&lt;=Calculations!$B$11*Calculations!$B$4),1,0)</ns0:f>
        <ns0:v>0</ns0:v>
      </ns0:c>
    </ns0:row>
    <ns0:row r="1740">
      <ns0:c r="A1740" t="inlineStr">
        <ns0:is>
          <ns0:t>case_1739</ns0:t>
        </ns0:is>
      </ns0:c>
      <ns0:c r="B1740" t="inlineStr">
        <ns0:is>
          <ns0:t>function_0515</ns0:t>
        </ns0:is>
      </ns0:c>
      <ns0:c r="C1740" t="inlineStr">
        <ns0:is>
          <ns0:t>run_015</ns0:t>
        </ns0:is>
      </ns0:c>
      <ns0:c r="D1740" t="inlineStr">
        <ns0:is>
          <ns0:t>rustc-demangle</ns0:t>
        </ns0:is>
      </ns0:c>
      <ns0:c r="E1740" t="inlineStr">
        <ns0:is>
          <ns0:t>gemini-2.5-flash-nothinking</ns0:t>
        </ns0:is>
      </ns0:c>
      <ns0:c r="F1740" t="inlineStr">
        <ns0:is>
          <ns0:t>E0412,E0425,E0433</ns0:t>
        </ns0:is>
      </ns0:c>
      <ns0:c r="G1740" t="n">
        <ns0:v>0</ns0:v>
      </ns0:c>
      <ns0:c r="H1740" t="n">
        <ns0:v>0</ns0:v>
      </ns0:c>
      <ns0:c r="I1740" t="n">
        <ns0:v>0</ns0:v>
      </ns0:c>
      <ns0:c r="J1740" t="n">
        <ns0:v>0</ns0:v>
      </ns0:c>
      <ns0:c r="K1740" t="n">
        <ns0:v>0</ns0:v>
      </ns0:c>
      <ns0:c r="L1740" t="n">
        <ns0:v>0</ns0:v>
      </ns0:c>
      <ns0:c r="M1740" t="n">
        <ns0:v>312639</ns0:v>
      </ns0:c>
      <ns0:c r="N1740" t="n">
        <ns0:v>2682</ns0:v>
      </ns0:c>
      <ns0:c r="O1740" t="n">
        <ns0:v>315321</ns0:v>
      </ns0:c>
      <ns0:c r="P1740" t="n">
        <ns0:v>20</ns0:v>
      </ns0:c>
      <ns0:c r="Q1740">
        <ns0:f>IF(AND(L1740=1,O1740*Calculations!$B$2&lt;=Calculations!$B$10*Calculations!$B$4),1,0)</ns0:f>
        <ns0:v>0</ns0:v>
      </ns0:c>
      <ns0:c r="R1740">
        <ns0:f>IF(AND(L1740=1,O1740*Calculations!$B$2&lt;=Calculations!$B$11*Calculations!$B$4),1,0)</ns0:f>
        <ns0:v>0</ns0:v>
      </ns0:c>
    </ns0:row>
    <ns0:row r="1741">
      <ns0:c r="A1741" t="inlineStr">
        <ns0:is>
          <ns0:t>case_1740</ns0:t>
        </ns0:is>
      </ns0:c>
      <ns0:c r="B1741" t="inlineStr">
        <ns0:is>
          <ns0:t>function_0515</ns0:t>
        </ns0:is>
      </ns0:c>
      <ns0:c r="C1741" t="inlineStr">
        <ns0:is>
          <ns0:t>run_015</ns0:t>
        </ns0:is>
      </ns0:c>
      <ns0:c r="D1741" t="inlineStr">
        <ns0:is>
          <ns0:t>rustc-demangle</ns0:t>
        </ns0:is>
      </ns0:c>
      <ns0:c r="E1741" t="inlineStr">
        <ns0:is>
          <ns0:t>gemini-2.5-flash-nothinking</ns0:t>
        </ns0:is>
      </ns0:c>
      <ns0:c r="F1741" t="inlineStr">
        <ns0:is>
          <ns0:t>E0433</ns0:t>
        </ns0:is>
      </ns0:c>
      <ns0:c r="G1741" t="n">
        <ns0:v>0</ns0:v>
      </ns0:c>
      <ns0:c r="H1741" t="n">
        <ns0:v>88624</ns0:v>
      </ns0:c>
      <ns0:c r="I1741" t="n">
        <ns0:v>5802</ns0:v>
      </ns0:c>
      <ns0:c r="J1741" t="n">
        <ns0:v>94426</ns0:v>
      </ns0:c>
      <ns0:c r="K1741" t="n">
        <ns0:v>45</ns0:v>
      </ns0:c>
      <ns0:c r="L1741" t="n">
        <ns0:v>0</ns0:v>
      </ns0:c>
      <ns0:c r="M1741" t="n">
        <ns0:v>883407</ns0:v>
      </ns0:c>
      <ns0:c r="N1741" t="n">
        <ns0:v>12398</ns0:v>
      </ns0:c>
      <ns0:c r="O1741" t="n">
        <ns0:v>895805</ns0:v>
      </ns0:c>
      <ns0:c r="P1741" t="n">
        <ns0:v>20</ns0:v>
      </ns0:c>
      <ns0:c r="Q1741">
        <ns0:f>IF(AND(L1741=1,O1741*Calculations!$B$2&lt;=Calculations!$B$10*Calculations!$B$4),1,0)</ns0:f>
        <ns0:v>0</ns0:v>
      </ns0:c>
      <ns0:c r="R1741">
        <ns0:f>IF(AND(L1741=1,O1741*Calculations!$B$2&lt;=Calculations!$B$11*Calculations!$B$4),1,0)</ns0:f>
        <ns0:v>0</ns0:v>
      </ns0:c>
    </ns0:row>
    <ns0:row r="1742">
      <ns0:c r="A1742" t="inlineStr">
        <ns0:is>
          <ns0:t>case_1741</ns0:t>
        </ns0:is>
      </ns0:c>
      <ns0:c r="B1742" t="inlineStr">
        <ns0:is>
          <ns0:t>function_0515</ns0:t>
        </ns0:is>
      </ns0:c>
      <ns0:c r="C1742" t="inlineStr">
        <ns0:is>
          <ns0:t>run_015</ns0:t>
        </ns0:is>
      </ns0:c>
      <ns0:c r="D1742" t="inlineStr">
        <ns0:is>
          <ns0:t>rustc-demangle</ns0:t>
        </ns0:is>
      </ns0:c>
      <ns0:c r="E1742" t="inlineStr">
        <ns0:is>
          <ns0:t>gemini-2.5-flash-nothinking</ns0:t>
        </ns0:is>
      </ns0:c>
      <ns0:c r="F1742" t="inlineStr">
        <ns0:is>
          <ns0:t>E0433</ns0:t>
        </ns0:is>
      </ns0:c>
      <ns0:c r="G1742" t="n">
        <ns0:v>0</ns0:v>
      </ns0:c>
      <ns0:c r="H1742" t="n">
        <ns0:v>4343</ns0:v>
      </ns0:c>
      <ns0:c r="I1742" t="n">
        <ns0:v>348</ns0:v>
      </ns0:c>
      <ns0:c r="J1742" t="n">
        <ns0:v>4691</ns0:v>
      </ns0:c>
      <ns0:c r="K1742" t="n">
        <ns0:v>3</ns0:v>
      </ns0:c>
      <ns0:c r="L1742" t="n">
        <ns0:v>1</ns0:v>
      </ns0:c>
      <ns0:c r="M1742" t="n">
        <ns0:v>178031</ns0:v>
      </ns0:c>
      <ns0:c r="N1742" t="n">
        <ns0:v>1337</ns0:v>
      </ns0:c>
      <ns0:c r="O1742" t="n">
        <ns0:v>179368</ns0:v>
      </ns0:c>
      <ns0:c r="P1742" t="n">
        <ns0:v>6</ns0:v>
      </ns0:c>
      <ns0:c r="Q1742">
        <ns0:f>IF(AND(L1742=1,O1742*Calculations!$B$2&lt;=Calculations!$B$10*Calculations!$B$4),1,0)</ns0:f>
        <ns0:v>0</ns0:v>
      </ns0:c>
      <ns0:c r="R1742">
        <ns0:f>IF(AND(L1742=1,O1742*Calculations!$B$2&lt;=Calculations!$B$11*Calculations!$B$4),1,0)</ns0:f>
        <ns0:v>0</ns0:v>
      </ns0:c>
    </ns0:row>
    <ns0:row r="1743">
      <ns0:c r="A1743" t="inlineStr">
        <ns0:is>
          <ns0:t>case_1742</ns0:t>
        </ns0:is>
      </ns0:c>
      <ns0:c r="B1743" t="inlineStr">
        <ns0:is>
          <ns0:t>function_0516</ns0:t>
        </ns0:is>
      </ns0:c>
      <ns0:c r="C1743" t="inlineStr">
        <ns0:is>
          <ns0:t>run_015</ns0:t>
        </ns0:is>
      </ns0:c>
      <ns0:c r="D1743" t="inlineStr">
        <ns0:is>
          <ns0:t>rustc-demangle</ns0:t>
        </ns0:is>
      </ns0:c>
      <ns0:c r="E1743" t="inlineStr">
        <ns0:is>
          <ns0:t>gemini-2.5-flash-nothinking</ns0:t>
        </ns0:is>
      </ns0:c>
      <ns0:c r="F1743" t="inlineStr">
        <ns0:is>
          <ns0:t>E0277,E0369,E0433,E0658</ns0:t>
        </ns0:is>
      </ns0:c>
      <ns0:c r="G1743" t="n">
        <ns0:v>0</ns0:v>
      </ns0:c>
      <ns0:c r="H1743" t="n">
        <ns0:v>8732</ns0:v>
      </ns0:c>
      <ns0:c r="I1743" t="n">
        <ns0:v>1090</ns0:v>
      </ns0:c>
      <ns0:c r="J1743" t="n">
        <ns0:v>9822</ns0:v>
      </ns0:c>
      <ns0:c r="K1743" t="n">
        <ns0:v>3</ns0:v>
      </ns0:c>
      <ns0:c r="L1743" t="n">
        <ns0:v>0</ns0:v>
      </ns0:c>
      <ns0:c r="M1743" t="n">
        <ns0:v>287066</ns0:v>
      </ns0:c>
      <ns0:c r="N1743" t="n">
        <ns0:v>4370</ns0:v>
      </ns0:c>
      <ns0:c r="O1743" t="n">
        <ns0:v>291436</ns0:v>
      </ns0:c>
      <ns0:c r="P1743" t="n">
        <ns0:v>21</ns0:v>
      </ns0:c>
      <ns0:c r="Q1743">
        <ns0:f>IF(AND(L1743=1,O1743*Calculations!$B$2&lt;=Calculations!$B$10*Calculations!$B$4),1,0)</ns0:f>
        <ns0:v>0</ns0:v>
      </ns0:c>
      <ns0:c r="R1743">
        <ns0:f>IF(AND(L1743=1,O1743*Calculations!$B$2&lt;=Calculations!$B$11*Calculations!$B$4),1,0)</ns0:f>
        <ns0:v>0</ns0:v>
      </ns0:c>
    </ns0:row>
    <ns0:row r="1744">
      <ns0:c r="A1744" t="inlineStr">
        <ns0:is>
          <ns0:t>case_1743</ns0:t>
        </ns0:is>
      </ns0:c>
      <ns0:c r="B1744" t="inlineStr">
        <ns0:is>
          <ns0:t>function_0516</ns0:t>
        </ns0:is>
      </ns0:c>
      <ns0:c r="C1744" t="inlineStr">
        <ns0:is>
          <ns0:t>run_015</ns0:t>
        </ns0:is>
      </ns0:c>
      <ns0:c r="D1744" t="inlineStr">
        <ns0:is>
          <ns0:t>rustc-demangle</ns0:t>
        </ns0:is>
      </ns0:c>
      <ns0:c r="E1744" t="inlineStr">
        <ns0:is>
          <ns0:t>gemini-2.5-flash-nothinking</ns0:t>
        </ns0:is>
      </ns0:c>
      <ns0:c r="F1744" t="inlineStr">
        <ns0:is>
          <ns0:t>E0432,E0433,E0599</ns0:t>
        </ns0:is>
      </ns0:c>
      <ns0:c r="G1744" t="n">
        <ns0:v>0</ns0:v>
      </ns0:c>
      <ns0:c r="H1744" t="n">
        <ns0:v>3344</ns0:v>
      </ns0:c>
      <ns0:c r="I1744" t="n">
        <ns0:v>675</ns0:v>
      </ns0:c>
      <ns0:c r="J1744" t="n">
        <ns0:v>4019</ns0:v>
      </ns0:c>
      <ns0:c r="K1744" t="n">
        <ns0:v>3</ns0:v>
      </ns0:c>
      <ns0:c r="L1744" t="n">
        <ns0:v>1</ns0:v>
      </ns0:c>
      <ns0:c r="M1744" t="n">
        <ns0:v>66586</ns0:v>
      </ns0:c>
      <ns0:c r="N1744" t="n">
        <ns0:v>1709</ns0:v>
      </ns0:c>
      <ns0:c r="O1744" t="n">
        <ns0:v>68295</ns0:v>
      </ns0:c>
      <ns0:c r="P1744" t="n">
        <ns0:v>8</ns0:v>
      </ns0:c>
      <ns0:c r="Q1744">
        <ns0:f>IF(AND(L1744=1,O1744*Calculations!$B$2&lt;=Calculations!$B$10*Calculations!$B$4),1,0)</ns0:f>
        <ns0:v>0</ns0:v>
      </ns0:c>
      <ns0:c r="R1744">
        <ns0:f>IF(AND(L1744=1,O1744*Calculations!$B$2&lt;=Calculations!$B$11*Calculations!$B$4),1,0)</ns0:f>
        <ns0:v>0</ns0:v>
      </ns0:c>
    </ns0:row>
    <ns0:row r="1745">
      <ns0:c r="A1745" t="inlineStr">
        <ns0:is>
          <ns0:t>case_1744</ns0:t>
        </ns0:is>
      </ns0:c>
      <ns0:c r="B1745" t="inlineStr">
        <ns0:is>
          <ns0:t>function_0516</ns0:t>
        </ns0:is>
      </ns0:c>
      <ns0:c r="C1745" t="inlineStr">
        <ns0:is>
          <ns0:t>run_015</ns0:t>
        </ns0:is>
      </ns0:c>
      <ns0:c r="D1745" t="inlineStr">
        <ns0:is>
          <ns0:t>rustc-demangle</ns0:t>
        </ns0:is>
      </ns0:c>
      <ns0:c r="E1745" t="inlineStr">
        <ns0:is>
          <ns0:t>gemini-2.5-flash-nothinking</ns0:t>
        </ns0:is>
      </ns0:c>
      <ns0:c r="F1745" t="inlineStr">
        <ns0:is>
          <ns0:t>E0433</ns0:t>
        </ns0:is>
      </ns0:c>
      <ns0:c r="G1745" t="n">
        <ns0:v>0</ns0:v>
      </ns0:c>
      <ns0:c r="H1745" t="n">
        <ns0:v>28364</ns0:v>
      </ns0:c>
      <ns0:c r="I1745" t="n">
        <ns0:v>1749</ns0:v>
      </ns0:c>
      <ns0:c r="J1745" t="n">
        <ns0:v>30113</ns0:v>
      </ns0:c>
      <ns0:c r="K1745" t="n">
        <ns0:v>15</ns0:v>
      </ns0:c>
      <ns0:c r="L1745" t="n">
        <ns0:v>0</ns0:v>
      </ns0:c>
      <ns0:c r="M1745" t="n">
        <ns0:v>311402</ns0:v>
      </ns0:c>
      <ns0:c r="N1745" t="n">
        <ns0:v>2949</ns0:v>
      </ns0:c>
      <ns0:c r="O1745" t="n">
        <ns0:v>314351</ns0:v>
      </ns0:c>
      <ns0:c r="P1745" t="n">
        <ns0:v>20</ns0:v>
      </ns0:c>
      <ns0:c r="Q1745">
        <ns0:f>IF(AND(L1745=1,O1745*Calculations!$B$2&lt;=Calculations!$B$10*Calculations!$B$4),1,0)</ns0:f>
        <ns0:v>0</ns0:v>
      </ns0:c>
      <ns0:c r="R1745">
        <ns0:f>IF(AND(L1745=1,O1745*Calculations!$B$2&lt;=Calculations!$B$11*Calculations!$B$4),1,0)</ns0:f>
        <ns0:v>0</ns0:v>
      </ns0:c>
    </ns0:row>
    <ns0:row r="1746">
      <ns0:c r="A1746" t="inlineStr">
        <ns0:is>
          <ns0:t>case_1745</ns0:t>
        </ns0:is>
      </ns0:c>
      <ns0:c r="B1746" t="inlineStr">
        <ns0:is>
          <ns0:t>function_0516</ns0:t>
        </ns0:is>
      </ns0:c>
      <ns0:c r="C1746" t="inlineStr">
        <ns0:is>
          <ns0:t>run_015</ns0:t>
        </ns0:is>
      </ns0:c>
      <ns0:c r="D1746" t="inlineStr">
        <ns0:is>
          <ns0:t>rustc-demangle</ns0:t>
        </ns0:is>
      </ns0:c>
      <ns0:c r="E1746" t="inlineStr">
        <ns0:is>
          <ns0:t>gemini-2.5-flash-nothinking</ns0:t>
        </ns0:is>
      </ns0:c>
      <ns0:c r="F1746" t="inlineStr">
        <ns0:is>
          <ns0:t>E0432,E0599</ns0:t>
        </ns0:is>
      </ns0:c>
      <ns0:c r="G1746" t="n">
        <ns0:v>0</ns0:v>
      </ns0:c>
      <ns0:c r="H1746" t="n">
        <ns0:v>17109</ns0:v>
      </ns0:c>
      <ns0:c r="I1746" t="n">
        <ns0:v>1413</ns0:v>
      </ns0:c>
      <ns0:c r="J1746" t="n">
        <ns0:v>18522</ns0:v>
      </ns0:c>
      <ns0:c r="K1746" t="n">
        <ns0:v>12</ns0:v>
      </ns0:c>
      <ns0:c r="L1746" t="n">
        <ns0:v>0</ns0:v>
      </ns0:c>
      <ns0:c r="M1746" t="n">
        <ns0:v>733593</ns0:v>
      </ns0:c>
      <ns0:c r="N1746" t="n">
        <ns0:v>6470</ns0:v>
      </ns0:c>
      <ns0:c r="O1746" t="n">
        <ns0:v>740063</ns0:v>
      </ns0:c>
      <ns0:c r="P1746" t="n">
        <ns0:v>20</ns0:v>
      </ns0:c>
      <ns0:c r="Q1746">
        <ns0:f>IF(AND(L1746=1,O1746*Calculations!$B$2&lt;=Calculations!$B$10*Calculations!$B$4),1,0)</ns0:f>
        <ns0:v>0</ns0:v>
      </ns0:c>
      <ns0:c r="R1746">
        <ns0:f>IF(AND(L1746=1,O1746*Calculations!$B$2&lt;=Calculations!$B$11*Calculations!$B$4),1,0)</ns0:f>
        <ns0:v>0</ns0:v>
      </ns0:c>
    </ns0:row>
    <ns0:row r="1747">
      <ns0:c r="A1747" t="inlineStr">
        <ns0:is>
          <ns0:t>case_1746</ns0:t>
        </ns0:is>
      </ns0:c>
      <ns0:c r="B1747" t="inlineStr">
        <ns0:is>
          <ns0:t>function_0517</ns0:t>
        </ns0:is>
      </ns0:c>
      <ns0:c r="C1747" t="inlineStr">
        <ns0:is>
          <ns0:t>run_015</ns0:t>
        </ns0:is>
      </ns0:c>
      <ns0:c r="D1747" t="inlineStr">
        <ns0:is>
          <ns0:t>rustc-demangle</ns0:t>
        </ns0:is>
      </ns0:c>
      <ns0:c r="E1747" t="inlineStr">
        <ns0:is>
          <ns0:t>gemini-2.5-flash-nothinking</ns0:t>
        </ns0:is>
      </ns0:c>
      <ns0:c r="F1747" t="inlineStr">
        <ns0:is>
          <ns0:t>E0277,E0369,E0433,E0599,E0658</ns0:t>
        </ns0:is>
      </ns0:c>
      <ns0:c r="G1747" t="n">
        <ns0:v>0</ns0:v>
      </ns0:c>
      <ns0:c r="H1747" t="n">
        <ns0:v>6634</ns0:v>
      </ns0:c>
      <ns0:c r="I1747" t="n">
        <ns0:v>2556</ns0:v>
      </ns0:c>
      <ns0:c r="J1747" t="n">
        <ns0:v>9190</ns0:v>
      </ns0:c>
      <ns0:c r="K1747" t="n">
        <ns0:v>3</ns0:v>
      </ns0:c>
      <ns0:c r="L1747" t="n">
        <ns0:v>0</ns0:v>
      </ns0:c>
      <ns0:c r="M1747" t="n">
        <ns0:v>367844</ns0:v>
      </ns0:c>
      <ns0:c r="N1747" t="n">
        <ns0:v>1907</ns0:v>
      </ns0:c>
      <ns0:c r="O1747" t="n">
        <ns0:v>369751</ns0:v>
      </ns0:c>
      <ns0:c r="P1747" t="n">
        <ns0:v>20</ns0:v>
      </ns0:c>
      <ns0:c r="Q1747">
        <ns0:f>IF(AND(L1747=1,O1747*Calculations!$B$2&lt;=Calculations!$B$10*Calculations!$B$4),1,0)</ns0:f>
        <ns0:v>0</ns0:v>
      </ns0:c>
      <ns0:c r="R1747">
        <ns0:f>IF(AND(L1747=1,O1747*Calculations!$B$2&lt;=Calculations!$B$11*Calculations!$B$4),1,0)</ns0:f>
        <ns0:v>0</ns0:v>
      </ns0:c>
    </ns0:row>
    <ns0:row r="1748">
      <ns0:c r="A1748" t="inlineStr">
        <ns0:is>
          <ns0:t>case_1747</ns0:t>
        </ns0:is>
      </ns0:c>
      <ns0:c r="B1748" t="inlineStr">
        <ns0:is>
          <ns0:t>function_0517</ns0:t>
        </ns0:is>
      </ns0:c>
      <ns0:c r="C1748" t="inlineStr">
        <ns0:is>
          <ns0:t>run_015</ns0:t>
        </ns0:is>
      </ns0:c>
      <ns0:c r="D1748" t="inlineStr">
        <ns0:is>
          <ns0:t>rustc-demangle</ns0:t>
        </ns0:is>
      </ns0:c>
      <ns0:c r="E1748" t="inlineStr">
        <ns0:is>
          <ns0:t>gemini-2.5-flash-nothinking</ns0:t>
        </ns0:is>
      </ns0:c>
      <ns0:c r="F1748" t="inlineStr">
        <ns0:is>
          <ns0:t>E0433,E0560,E0599,E0658</ns0:t>
        </ns0:is>
      </ns0:c>
      <ns0:c r="G1748" t="n">
        <ns0:v>0</ns0:v>
      </ns0:c>
      <ns0:c r="H1748" t="n">
        <ns0:v>4565</ns0:v>
      </ns0:c>
      <ns0:c r="I1748" t="n">
        <ns0:v>427</ns0:v>
      </ns0:c>
      <ns0:c r="J1748" t="n">
        <ns0:v>4992</ns0:v>
      </ns0:c>
      <ns0:c r="K1748" t="n">
        <ns0:v>3</ns0:v>
      </ns0:c>
      <ns0:c r="L1748" t="n">
        <ns0:v>0</ns0:v>
      </ns0:c>
      <ns0:c r="M1748" t="n">
        <ns0:v>218549</ns0:v>
      </ns0:c>
      <ns0:c r="N1748" t="n">
        <ns0:v>3632</ns0:v>
      </ns0:c>
      <ns0:c r="O1748" t="n">
        <ns0:v>222181</ns0:v>
      </ns0:c>
      <ns0:c r="P1748" t="n">
        <ns0:v>20</ns0:v>
      </ns0:c>
      <ns0:c r="Q1748">
        <ns0:f>IF(AND(L1748=1,O1748*Calculations!$B$2&lt;=Calculations!$B$10*Calculations!$B$4),1,0)</ns0:f>
        <ns0:v>0</ns0:v>
      </ns0:c>
      <ns0:c r="R1748">
        <ns0:f>IF(AND(L1748=1,O1748*Calculations!$B$2&lt;=Calculations!$B$11*Calculations!$B$4),1,0)</ns0:f>
        <ns0:v>0</ns0:v>
      </ns0:c>
    </ns0:row>
    <ns0:row r="1749">
      <ns0:c r="A1749" t="inlineStr">
        <ns0:is>
          <ns0:t>case_1748</ns0:t>
        </ns0:is>
      </ns0:c>
      <ns0:c r="B1749" t="inlineStr">
        <ns0:is>
          <ns0:t>function_0517</ns0:t>
        </ns0:is>
      </ns0:c>
      <ns0:c r="C1749" t="inlineStr">
        <ns0:is>
          <ns0:t>run_015</ns0:t>
        </ns0:is>
      </ns0:c>
      <ns0:c r="D1749" t="inlineStr">
        <ns0:is>
          <ns0:t>rustc-demangle</ns0:t>
        </ns0:is>
      </ns0:c>
      <ns0:c r="E1749" t="inlineStr">
        <ns0:is>
          <ns0:t>gemini-2.5-flash-nothinking</ns0:t>
        </ns0:is>
      </ns0:c>
      <ns0:c r="F1749" t="inlineStr">
        <ns0:is>
          <ns0:t>E0277,E0369,E0433,E0658</ns0:t>
        </ns0:is>
      </ns0:c>
      <ns0:c r="G1749" t="n">
        <ns0:v>0</ns0:v>
      </ns0:c>
      <ns0:c r="H1749" t="n">
        <ns0:v>7842</ns0:v>
      </ns0:c>
      <ns0:c r="I1749" t="n">
        <ns0:v>887</ns0:v>
      </ns0:c>
      <ns0:c r="J1749" t="n">
        <ns0:v>8729</ns0:v>
      </ns0:c>
      <ns0:c r="K1749" t="n">
        <ns0:v>3</ns0:v>
      </ns0:c>
      <ns0:c r="L1749" t="n">
        <ns0:v>0</ns0:v>
      </ns0:c>
      <ns0:c r="M1749" t="n">
        <ns0:v>339120</ns0:v>
      </ns0:c>
      <ns0:c r="N1749" t="n">
        <ns0:v>7078</ns0:v>
      </ns0:c>
      <ns0:c r="O1749" t="n">
        <ns0:v>346198</ns0:v>
      </ns0:c>
      <ns0:c r="P1749" t="n">
        <ns0:v>22</ns0:v>
      </ns0:c>
      <ns0:c r="Q1749">
        <ns0:f>IF(AND(L1749=1,O1749*Calculations!$B$2&lt;=Calculations!$B$10*Calculations!$B$4),1,0)</ns0:f>
        <ns0:v>0</ns0:v>
      </ns0:c>
      <ns0:c r="R1749">
        <ns0:f>IF(AND(L1749=1,O1749*Calculations!$B$2&lt;=Calculations!$B$11*Calculations!$B$4),1,0)</ns0:f>
        <ns0:v>0</ns0:v>
      </ns0:c>
    </ns0:row>
    <ns0:row r="1750">
      <ns0:c r="A1750" t="inlineStr">
        <ns0:is>
          <ns0:t>case_1749</ns0:t>
        </ns0:is>
      </ns0:c>
      <ns0:c r="B1750" t="inlineStr">
        <ns0:is>
          <ns0:t>function_0517</ns0:t>
        </ns0:is>
      </ns0:c>
      <ns0:c r="C1750" t="inlineStr">
        <ns0:is>
          <ns0:t>run_015</ns0:t>
        </ns0:is>
      </ns0:c>
      <ns0:c r="D1750" t="inlineStr">
        <ns0:is>
          <ns0:t>rustc-demangle</ns0:t>
        </ns0:is>
      </ns0:c>
      <ns0:c r="E1750" t="inlineStr">
        <ns0:is>
          <ns0:t>gemini-2.5-flash-nothinking</ns0:t>
        </ns0:is>
      </ns0:c>
      <ns0:c r="F1750" t="inlineStr">
        <ns0:is>
          <ns0:t>E0432,E0433,E0599</ns0:t>
        </ns0:is>
      </ns0:c>
      <ns0:c r="G1750" t="n">
        <ns0:v>0</ns0:v>
      </ns0:c>
      <ns0:c r="H1750" t="n">
        <ns0:v>3166</ns0:v>
      </ns0:c>
      <ns0:c r="I1750" t="n">
        <ns0:v>327</ns0:v>
      </ns0:c>
      <ns0:c r="J1750" t="n">
        <ns0:v>3493</ns0:v>
      </ns0:c>
      <ns0:c r="K1750" t="n">
        <ns0:v>3</ns0:v>
      </ns0:c>
      <ns0:c r="L1750" t="n">
        <ns0:v>1</ns0:v>
      </ns0:c>
      <ns0:c r="M1750" t="n">
        <ns0:v>121396</ns0:v>
      </ns0:c>
      <ns0:c r="N1750" t="n">
        <ns0:v>4302</ns0:v>
      </ns0:c>
      <ns0:c r="O1750" t="n">
        <ns0:v>125698</ns0:v>
      </ns0:c>
      <ns0:c r="P1750" t="n">
        <ns0:v>12</ns0:v>
      </ns0:c>
      <ns0:c r="Q1750">
        <ns0:f>IF(AND(L1750=1,O1750*Calculations!$B$2&lt;=Calculations!$B$10*Calculations!$B$4),1,0)</ns0:f>
        <ns0:v>0</ns0:v>
      </ns0:c>
      <ns0:c r="R1750">
        <ns0:f>IF(AND(L1750=1,O1750*Calculations!$B$2&lt;=Calculations!$B$11*Calculations!$B$4),1,0)</ns0:f>
        <ns0:v>0</ns0:v>
      </ns0:c>
    </ns0:row>
    <ns0:row r="1751">
      <ns0:c r="A1751" t="inlineStr">
        <ns0:is>
          <ns0:t>case_1750</ns0:t>
        </ns0:is>
      </ns0:c>
      <ns0:c r="B1751" t="inlineStr">
        <ns0:is>
          <ns0:t>function_0518</ns0:t>
        </ns0:is>
      </ns0:c>
      <ns0:c r="C1751" t="inlineStr">
        <ns0:is>
          <ns0:t>run_015</ns0:t>
        </ns0:is>
      </ns0:c>
      <ns0:c r="D1751" t="inlineStr">
        <ns0:is>
          <ns0:t>rustc-demangle</ns0:t>
        </ns0:is>
      </ns0:c>
      <ns0:c r="E1751" t="inlineStr">
        <ns0:is>
          <ns0:t>gemini-2.5-flash-nothinking</ns0:t>
        </ns0:is>
      </ns0:c>
      <ns0:c r="F1751" t="inlineStr">
        <ns0:is>
          <ns0:t>E0433</ns0:t>
        </ns0:is>
      </ns0:c>
      <ns0:c r="G1751" t="n">
        <ns0:v>0</ns0:v>
      </ns0:c>
      <ns0:c r="H1751" t="n">
        <ns0:v>14316</ns0:v>
      </ns0:c>
      <ns0:c r="I1751" t="n">
        <ns0:v>899</ns0:v>
      </ns0:c>
      <ns0:c r="J1751" t="n">
        <ns0:v>15215</ns0:v>
      </ns0:c>
      <ns0:c r="K1751" t="n">
        <ns0:v>9</ns0:v>
      </ns0:c>
      <ns0:c r="L1751" t="n">
        <ns0:v>0</ns0:v>
      </ns0:c>
      <ns0:c r="M1751" t="n">
        <ns0:v>245380</ns0:v>
      </ns0:c>
      <ns0:c r="N1751" t="n">
        <ns0:v>2913</ns0:v>
      </ns0:c>
      <ns0:c r="O1751" t="n">
        <ns0:v>248293</ns0:v>
      </ns0:c>
      <ns0:c r="P1751" t="n">
        <ns0:v>20</ns0:v>
      </ns0:c>
      <ns0:c r="Q1751">
        <ns0:f>IF(AND(L1751=1,O1751*Calculations!$B$2&lt;=Calculations!$B$10*Calculations!$B$4),1,0)</ns0:f>
        <ns0:v>0</ns0:v>
      </ns0:c>
      <ns0:c r="R1751">
        <ns0:f>IF(AND(L1751=1,O1751*Calculations!$B$2&lt;=Calculations!$B$11*Calculations!$B$4),1,0)</ns0:f>
        <ns0:v>0</ns0:v>
      </ns0:c>
    </ns0:row>
    <ns0:row r="1752">
      <ns0:c r="A1752" t="inlineStr">
        <ns0:is>
          <ns0:t>case_1751</ns0:t>
        </ns0:is>
      </ns0:c>
      <ns0:c r="B1752" t="inlineStr">
        <ns0:is>
          <ns0:t>function_0518</ns0:t>
        </ns0:is>
      </ns0:c>
      <ns0:c r="C1752" t="inlineStr">
        <ns0:is>
          <ns0:t>run_015</ns0:t>
        </ns0:is>
      </ns0:c>
      <ns0:c r="D1752" t="inlineStr">
        <ns0:is>
          <ns0:t>rustc-demangle</ns0:t>
        </ns0:is>
      </ns0:c>
      <ns0:c r="E1752" t="inlineStr">
        <ns0:is>
          <ns0:t>gemini-2.5-flash-nothinking</ns0:t>
        </ns0:is>
      </ns0:c>
      <ns0:c r="F1752" t="inlineStr">
        <ns0:is>
          <ns0:t>E0433,E0560</ns0:t>
        </ns0:is>
      </ns0:c>
      <ns0:c r="G1752" t="n">
        <ns0:v>0</ns0:v>
      </ns0:c>
      <ns0:c r="H1752" t="n">
        <ns0:v>3810</ns0:v>
      </ns0:c>
      <ns0:c r="I1752" t="n">
        <ns0:v>461</ns0:v>
      </ns0:c>
      <ns0:c r="J1752" t="n">
        <ns0:v>4271</ns0:v>
      </ns0:c>
      <ns0:c r="K1752" t="n">
        <ns0:v>3</ns0:v>
      </ns0:c>
      <ns0:c r="L1752" t="n">
        <ns0:v>1</ns0:v>
      </ns0:c>
      <ns0:c r="M1752" t="n">
        <ns0:v>85435</ns0:v>
      </ns0:c>
      <ns0:c r="N1752" t="n">
        <ns0:v>1034</ns0:v>
      </ns0:c>
      <ns0:c r="O1752" t="n">
        <ns0:v>86469</ns0:v>
      </ns0:c>
      <ns0:c r="P1752" t="n">
        <ns0:v>10</ns0:v>
      </ns0:c>
      <ns0:c r="Q1752">
        <ns0:f>IF(AND(L1752=1,O1752*Calculations!$B$2&lt;=Calculations!$B$10*Calculations!$B$4),1,0)</ns0:f>
        <ns0:v>0</ns0:v>
      </ns0:c>
      <ns0:c r="R1752">
        <ns0:f>IF(AND(L1752=1,O1752*Calculations!$B$2&lt;=Calculations!$B$11*Calculations!$B$4),1,0)</ns0:f>
        <ns0:v>0</ns0:v>
      </ns0:c>
    </ns0:row>
    <ns0:row r="1753">
      <ns0:c r="A1753" t="inlineStr">
        <ns0:is>
          <ns0:t>case_1752</ns0:t>
        </ns0:is>
      </ns0:c>
      <ns0:c r="B1753" t="inlineStr">
        <ns0:is>
          <ns0:t>function_0518</ns0:t>
        </ns0:is>
      </ns0:c>
      <ns0:c r="C1753" t="inlineStr">
        <ns0:is>
          <ns0:t>run_015</ns0:t>
        </ns0:is>
      </ns0:c>
      <ns0:c r="D1753" t="inlineStr">
        <ns0:is>
          <ns0:t>rustc-demangle</ns0:t>
        </ns0:is>
      </ns0:c>
      <ns0:c r="E1753" t="inlineStr">
        <ns0:is>
          <ns0:t>gemini-2.5-flash-nothinking</ns0:t>
        </ns0:is>
      </ns0:c>
      <ns0:c r="F1753" t="inlineStr">
        <ns0:is>
          <ns0:t>E0433</ns0:t>
        </ns0:is>
      </ns0:c>
      <ns0:c r="G1753" t="n">
        <ns0:v>0</ns0:v>
      </ns0:c>
      <ns0:c r="H1753" t="n">
        <ns0:v>23576</ns0:v>
      </ns0:c>
      <ns0:c r="I1753" t="n">
        <ns0:v>1593</ns0:v>
      </ns0:c>
      <ns0:c r="J1753" t="n">
        <ns0:v>25169</ns0:v>
      </ns0:c>
      <ns0:c r="K1753" t="n">
        <ns0:v>12</ns0:v>
      </ns0:c>
      <ns0:c r="L1753" t="n">
        <ns0:v>0</ns0:v>
      </ns0:c>
      <ns0:c r="M1753" t="n">
        <ns0:v>281896</ns0:v>
      </ns0:c>
      <ns0:c r="N1753" t="n">
        <ns0:v>2989</ns0:v>
      </ns0:c>
      <ns0:c r="O1753" t="n">
        <ns0:v>284885</ns0:v>
      </ns0:c>
      <ns0:c r="P1753" t="n">
        <ns0:v>20</ns0:v>
      </ns0:c>
      <ns0:c r="Q1753">
        <ns0:f>IF(AND(L1753=1,O1753*Calculations!$B$2&lt;=Calculations!$B$10*Calculations!$B$4),1,0)</ns0:f>
        <ns0:v>0</ns0:v>
      </ns0:c>
      <ns0:c r="R1753">
        <ns0:f>IF(AND(L1753=1,O1753*Calculations!$B$2&lt;=Calculations!$B$11*Calculations!$B$4),1,0)</ns0:f>
        <ns0:v>0</ns0:v>
      </ns0:c>
    </ns0:row>
    <ns0:row r="1754">
      <ns0:c r="A1754" t="inlineStr">
        <ns0:is>
          <ns0:t>case_1753</ns0:t>
        </ns0:is>
      </ns0:c>
      <ns0:c r="B1754" t="inlineStr">
        <ns0:is>
          <ns0:t>function_0518</ns0:t>
        </ns0:is>
      </ns0:c>
      <ns0:c r="C1754" t="inlineStr">
        <ns0:is>
          <ns0:t>run_015</ns0:t>
        </ns0:is>
      </ns0:c>
      <ns0:c r="D1754" t="inlineStr">
        <ns0:is>
          <ns0:t>rustc-demangle</ns0:t>
        </ns0:is>
      </ns0:c>
      <ns0:c r="E1754" t="inlineStr">
        <ns0:is>
          <ns0:t>gemini-2.5-flash-nothinking</ns0:t>
        </ns0:is>
      </ns0:c>
      <ns0:c r="F1754" t="inlineStr">
        <ns0:is>
          <ns0:t>E0560,E0599</ns0:t>
        </ns0:is>
      </ns0:c>
      <ns0:c r="G1754" t="n">
        <ns0:v>0</ns0:v>
      </ns0:c>
      <ns0:c r="H1754" t="n">
        <ns0:v>6195</ns0:v>
      </ns0:c>
      <ns0:c r="I1754" t="n">
        <ns0:v>868</ns0:v>
      </ns0:c>
      <ns0:c r="J1754" t="n">
        <ns0:v>7063</ns0:v>
      </ns0:c>
      <ns0:c r="K1754" t="n">
        <ns0:v>3</ns0:v>
      </ns0:c>
      <ns0:c r="L1754" t="n">
        <ns0:v>0</ns0:v>
      </ns0:c>
      <ns0:c r="M1754" t="n">
        <ns0:v>405742</ns0:v>
      </ns0:c>
      <ns0:c r="N1754" t="n">
        <ns0:v>2878</ns0:v>
      </ns0:c>
      <ns0:c r="O1754" t="n">
        <ns0:v>408620</ns0:v>
      </ns0:c>
      <ns0:c r="P1754" t="n">
        <ns0:v>20</ns0:v>
      </ns0:c>
      <ns0:c r="Q1754">
        <ns0:f>IF(AND(L1754=1,O1754*Calculations!$B$2&lt;=Calculations!$B$10*Calculations!$B$4),1,0)</ns0:f>
        <ns0:v>0</ns0:v>
      </ns0:c>
      <ns0:c r="R1754">
        <ns0:f>IF(AND(L1754=1,O1754*Calculations!$B$2&lt;=Calculations!$B$11*Calculations!$B$4),1,0)</ns0:f>
        <ns0:v>0</ns0:v>
      </ns0:c>
    </ns0:row>
    <ns0:row r="1755">
      <ns0:c r="A1755" t="inlineStr">
        <ns0:is>
          <ns0:t>case_1754</ns0:t>
        </ns0:is>
      </ns0:c>
      <ns0:c r="B1755" t="inlineStr">
        <ns0:is>
          <ns0:t>function_0519</ns0:t>
        </ns0:is>
      </ns0:c>
      <ns0:c r="C1755" t="inlineStr">
        <ns0:is>
          <ns0:t>run_015</ns0:t>
        </ns0:is>
      </ns0:c>
      <ns0:c r="D1755" t="inlineStr">
        <ns0:is>
          <ns0:t>rustc-demangle</ns0:t>
        </ns0:is>
      </ns0:c>
      <ns0:c r="E1755" t="inlineStr">
        <ns0:is>
          <ns0:t>gemini-2.5-flash-nothinking</ns0:t>
        </ns0:is>
      </ns0:c>
      <ns0:c r="F1755" t="inlineStr">
        <ns0:is>
          <ns0:t>E0308,E0433,E0599,E0658</ns0:t>
        </ns0:is>
      </ns0:c>
      <ns0:c r="G1755" t="n">
        <ns0:v>0</ns0:v>
      </ns0:c>
      <ns0:c r="H1755" t="n">
        <ns0:v>9806</ns0:v>
      </ns0:c>
      <ns0:c r="I1755" t="n">
        <ns0:v>1395</ns0:v>
      </ns0:c>
      <ns0:c r="J1755" t="n">
        <ns0:v>11201</ns0:v>
      </ns0:c>
      <ns0:c r="K1755" t="n">
        <ns0:v>3</ns0:v>
      </ns0:c>
      <ns0:c r="L1755" t="n">
        <ns0:v>0</ns0:v>
      </ns0:c>
      <ns0:c r="M1755" t="n">
        <ns0:v>243219</ns0:v>
      </ns0:c>
      <ns0:c r="N1755" t="n">
        <ns0:v>3537</ns0:v>
      </ns0:c>
      <ns0:c r="O1755" t="n">
        <ns0:v>246756</ns0:v>
      </ns0:c>
      <ns0:c r="P1755" t="n">
        <ns0:v>20</ns0:v>
      </ns0:c>
      <ns0:c r="Q1755">
        <ns0:f>IF(AND(L1755=1,O1755*Calculations!$B$2&lt;=Calculations!$B$10*Calculations!$B$4),1,0)</ns0:f>
        <ns0:v>0</ns0:v>
      </ns0:c>
      <ns0:c r="R1755">
        <ns0:f>IF(AND(L1755=1,O1755*Calculations!$B$2&lt;=Calculations!$B$11*Calculations!$B$4),1,0)</ns0:f>
        <ns0:v>0</ns0:v>
      </ns0:c>
    </ns0:row>
    <ns0:row r="1756">
      <ns0:c r="A1756" t="inlineStr">
        <ns0:is>
          <ns0:t>case_1755</ns0:t>
        </ns0:is>
      </ns0:c>
      <ns0:c r="B1756" t="inlineStr">
        <ns0:is>
          <ns0:t>function_0519</ns0:t>
        </ns0:is>
      </ns0:c>
      <ns0:c r="C1756" t="inlineStr">
        <ns0:is>
          <ns0:t>run_015</ns0:t>
        </ns0:is>
      </ns0:c>
      <ns0:c r="D1756" t="inlineStr">
        <ns0:is>
          <ns0:t>rustc-demangle</ns0:t>
        </ns0:is>
      </ns0:c>
      <ns0:c r="E1756" t="inlineStr">
        <ns0:is>
          <ns0:t>gemini-2.5-flash-nothinking</ns0:t>
        </ns0:is>
      </ns0:c>
      <ns0:c r="F1756" t="inlineStr">
        <ns0:is>
          <ns0:t>E0107,E0308,E0433,E0560,E0658</ns0:t>
        </ns0:is>
      </ns0:c>
      <ns0:c r="G1756" t="n">
        <ns0:v>0</ns0:v>
      </ns0:c>
      <ns0:c r="H1756" t="n">
        <ns0:v>6085</ns0:v>
      </ns0:c>
      <ns0:c r="I1756" t="n">
        <ns0:v>1866</ns0:v>
      </ns0:c>
      <ns0:c r="J1756" t="n">
        <ns0:v>7951</ns0:v>
      </ns0:c>
      <ns0:c r="K1756" t="n">
        <ns0:v>3</ns0:v>
      </ns0:c>
      <ns0:c r="L1756" t="n">
        <ns0:v>0</ns0:v>
      </ns0:c>
      <ns0:c r="M1756" t="n">
        <ns0:v>269819</ns0:v>
      </ns0:c>
      <ns0:c r="N1756" t="n">
        <ns0:v>6126</ns0:v>
      </ns0:c>
      <ns0:c r="O1756" t="n">
        <ns0:v>275945</ns0:v>
      </ns0:c>
      <ns0:c r="P1756" t="n">
        <ns0:v>20</ns0:v>
      </ns0:c>
      <ns0:c r="Q1756">
        <ns0:f>IF(AND(L1756=1,O1756*Calculations!$B$2&lt;=Calculations!$B$10*Calculations!$B$4),1,0)</ns0:f>
        <ns0:v>0</ns0:v>
      </ns0:c>
      <ns0:c r="R1756">
        <ns0:f>IF(AND(L1756=1,O1756*Calculations!$B$2&lt;=Calculations!$B$11*Calculations!$B$4),1,0)</ns0:f>
        <ns0:v>0</ns0:v>
      </ns0:c>
    </ns0:row>
    <ns0:row r="1757">
      <ns0:c r="A1757" t="inlineStr">
        <ns0:is>
          <ns0:t>case_1756</ns0:t>
        </ns0:is>
      </ns0:c>
      <ns0:c r="B1757" t="inlineStr">
        <ns0:is>
          <ns0:t>function_0519</ns0:t>
        </ns0:is>
      </ns0:c>
      <ns0:c r="C1757" t="inlineStr">
        <ns0:is>
          <ns0:t>run_015</ns0:t>
        </ns0:is>
      </ns0:c>
      <ns0:c r="D1757" t="inlineStr">
        <ns0:is>
          <ns0:t>rustc-demangle</ns0:t>
        </ns0:is>
      </ns0:c>
      <ns0:c r="E1757" t="inlineStr">
        <ns0:is>
          <ns0:t>gemini-2.5-flash-nothinking</ns0:t>
        </ns0:is>
      </ns0:c>
      <ns0:c r="F1757" t="inlineStr">
        <ns0:is>
          <ns0:t>E0433</ns0:t>
        </ns0:is>
      </ns0:c>
      <ns0:c r="G1757" t="n">
        <ns0:v>0</ns0:v>
      </ns0:c>
      <ns0:c r="H1757" t="n">
        <ns0:v>16530</ns0:v>
      </ns0:c>
      <ns0:c r="I1757" t="n">
        <ns0:v>2046</ns0:v>
      </ns0:c>
      <ns0:c r="J1757" t="n">
        <ns0:v>18576</ns0:v>
      </ns0:c>
      <ns0:c r="K1757" t="n">
        <ns0:v>6</ns0:v>
      </ns0:c>
      <ns0:c r="L1757" t="n">
        <ns0:v>0</ns0:v>
      </ns0:c>
      <ns0:c r="M1757" t="n">
        <ns0:v>256723</ns0:v>
      </ns0:c>
      <ns0:c r="N1757" t="n">
        <ns0:v>3176</ns0:v>
      </ns0:c>
      <ns0:c r="O1757" t="n">
        <ns0:v>259899</ns0:v>
      </ns0:c>
      <ns0:c r="P1757" t="n">
        <ns0:v>20</ns0:v>
      </ns0:c>
      <ns0:c r="Q1757">
        <ns0:f>IF(AND(L1757=1,O1757*Calculations!$B$2&lt;=Calculations!$B$10*Calculations!$B$4),1,0)</ns0:f>
        <ns0:v>0</ns0:v>
      </ns0:c>
      <ns0:c r="R1757">
        <ns0:f>IF(AND(L1757=1,O1757*Calculations!$B$2&lt;=Calculations!$B$11*Calculations!$B$4),1,0)</ns0:f>
        <ns0:v>0</ns0:v>
      </ns0:c>
    </ns0:row>
    <ns0:row r="1758">
      <ns0:c r="A1758" t="inlineStr">
        <ns0:is>
          <ns0:t>case_1757</ns0:t>
        </ns0:is>
      </ns0:c>
      <ns0:c r="B1758" t="inlineStr">
        <ns0:is>
          <ns0:t>function_0519</ns0:t>
        </ns0:is>
      </ns0:c>
      <ns0:c r="C1758" t="inlineStr">
        <ns0:is>
          <ns0:t>run_015</ns0:t>
        </ns0:is>
      </ns0:c>
      <ns0:c r="D1758" t="inlineStr">
        <ns0:is>
          <ns0:t>rustc-demangle</ns0:t>
        </ns0:is>
      </ns0:c>
      <ns0:c r="E1758" t="inlineStr">
        <ns0:is>
          <ns0:t>gemini-2.5-flash-nothinking</ns0:t>
        </ns0:is>
      </ns0:c>
      <ns0:c r="F1758" t="inlineStr">
        <ns0:is>
          <ns0:t>E0433,E0560,E0609</ns0:t>
        </ns0:is>
      </ns0:c>
      <ns0:c r="G1758" t="n">
        <ns0:v>0</ns0:v>
      </ns0:c>
      <ns0:c r="H1758" t="n">
        <ns0:v>6232</ns0:v>
      </ns0:c>
      <ns0:c r="I1758" t="n">
        <ns0:v>1747</ns0:v>
      </ns0:c>
      <ns0:c r="J1758" t="n">
        <ns0:v>7979</ns0:v>
      </ns0:c>
      <ns0:c r="K1758" t="n">
        <ns0:v>3</ns0:v>
      </ns0:c>
      <ns0:c r="L1758" t="n">
        <ns0:v>0</ns0:v>
      </ns0:c>
      <ns0:c r="M1758" t="n">
        <ns0:v>258165</ns0:v>
      </ns0:c>
      <ns0:c r="N1758" t="n">
        <ns0:v>3539</ns0:v>
      </ns0:c>
      <ns0:c r="O1758" t="n">
        <ns0:v>261704</ns0:v>
      </ns0:c>
      <ns0:c r="P1758" t="n">
        <ns0:v>21</ns0:v>
      </ns0:c>
      <ns0:c r="Q1758">
        <ns0:f>IF(AND(L1758=1,O1758*Calculations!$B$2&lt;=Calculations!$B$10*Calculations!$B$4),1,0)</ns0:f>
        <ns0:v>0</ns0:v>
      </ns0:c>
      <ns0:c r="R1758">
        <ns0:f>IF(AND(L1758=1,O1758*Calculations!$B$2&lt;=Calculations!$B$11*Calculations!$B$4),1,0)</ns0:f>
        <ns0:v>0</ns0:v>
      </ns0:c>
    </ns0:row>
    <ns0:row r="1759">
      <ns0:c r="A1759" t="inlineStr">
        <ns0:is>
          <ns0:t>case_1758</ns0:t>
        </ns0:is>
      </ns0:c>
      <ns0:c r="B1759" t="inlineStr">
        <ns0:is>
          <ns0:t>function_0520</ns0:t>
        </ns0:is>
      </ns0:c>
      <ns0:c r="C1759" t="inlineStr">
        <ns0:is>
          <ns0:t>run_015</ns0:t>
        </ns0:is>
      </ns0:c>
      <ns0:c r="D1759" t="inlineStr">
        <ns0:is>
          <ns0:t>rustc-demangle</ns0:t>
        </ns0:is>
      </ns0:c>
      <ns0:c r="E1759" t="inlineStr">
        <ns0:is>
          <ns0:t>gemini-2.5-flash-nothinking</ns0:t>
        </ns0:is>
      </ns0:c>
      <ns0:c r="F1759" t="inlineStr">
        <ns0:is>
          <ns0:t>E0277,E0369,E0433,E0560</ns0:t>
        </ns0:is>
      </ns0:c>
      <ns0:c r="G1759" t="n">
        <ns0:v>1</ns0:v>
      </ns0:c>
      <ns0:c r="H1759" t="n">
        <ns0:v>0</ns0:v>
      </ns0:c>
      <ns0:c r="I1759" t="n">
        <ns0:v>0</ns0:v>
      </ns0:c>
      <ns0:c r="J1759" t="n">
        <ns0:v>0</ns0:v>
      </ns0:c>
      <ns0:c r="K1759" t="n">
        <ns0:v>0</ns0:v>
      </ns0:c>
      <ns0:c r="L1759" t="n">
        <ns0:v>0</ns0:v>
      </ns0:c>
      <ns0:c r="M1759" t="n">
        <ns0:v>345825</ns0:v>
      </ns0:c>
      <ns0:c r="N1759" t="n">
        <ns0:v>5134</ns0:v>
      </ns0:c>
      <ns0:c r="O1759" t="n">
        <ns0:v>350959</ns0:v>
      </ns0:c>
      <ns0:c r="P1759" t="n">
        <ns0:v>20</ns0:v>
      </ns0:c>
      <ns0:c r="Q1759">
        <ns0:f>IF(AND(L1759=1,O1759*Calculations!$B$2&lt;=Calculations!$B$10*Calculations!$B$4),1,0)</ns0:f>
        <ns0:v>0</ns0:v>
      </ns0:c>
      <ns0:c r="R1759">
        <ns0:f>IF(AND(L1759=1,O1759*Calculations!$B$2&lt;=Calculations!$B$11*Calculations!$B$4),1,0)</ns0:f>
        <ns0:v>0</ns0:v>
      </ns0:c>
    </ns0:row>
    <ns0:row r="1760">
      <ns0:c r="A1760" t="inlineStr">
        <ns0:is>
          <ns0:t>case_1759</ns0:t>
        </ns0:is>
      </ns0:c>
      <ns0:c r="B1760" t="inlineStr">
        <ns0:is>
          <ns0:t>function_0520</ns0:t>
        </ns0:is>
      </ns0:c>
      <ns0:c r="C1760" t="inlineStr">
        <ns0:is>
          <ns0:t>run_015</ns0:t>
        </ns0:is>
      </ns0:c>
      <ns0:c r="D1760" t="inlineStr">
        <ns0:is>
          <ns0:t>rustc-demangle</ns0:t>
        </ns0:is>
      </ns0:c>
      <ns0:c r="E1760" t="inlineStr">
        <ns0:is>
          <ns0:t>gemini-2.5-flash-nothinking</ns0:t>
        </ns0:is>
      </ns0:c>
      <ns0:c r="F1760" t="inlineStr">
        <ns0:is>
          <ns0:t>E0277,E0369,E0433,E0560,E0658</ns0:t>
        </ns0:is>
      </ns0:c>
      <ns0:c r="G1760" t="n">
        <ns0:v>0</ns0:v>
      </ns0:c>
      <ns0:c r="H1760" t="n">
        <ns0:v>21324</ns0:v>
      </ns0:c>
      <ns0:c r="I1760" t="n">
        <ns0:v>2284</ns0:v>
      </ns0:c>
      <ns0:c r="J1760" t="n">
        <ns0:v>23608</ns0:v>
      </ns0:c>
      <ns0:c r="K1760" t="n">
        <ns0:v>15</ns0:v>
      </ns0:c>
      <ns0:c r="L1760" t="n">
        <ns0:v>0</ns0:v>
      </ns0:c>
      <ns0:c r="M1760" t="n">
        <ns0:v>704430</ns0:v>
      </ns0:c>
      <ns0:c r="N1760" t="n">
        <ns0:v>4715</ns0:v>
      </ns0:c>
      <ns0:c r="O1760" t="n">
        <ns0:v>709145</ns0:v>
      </ns0:c>
      <ns0:c r="P1760" t="n">
        <ns0:v>20</ns0:v>
      </ns0:c>
      <ns0:c r="Q1760">
        <ns0:f>IF(AND(L1760=1,O1760*Calculations!$B$2&lt;=Calculations!$B$10*Calculations!$B$4),1,0)</ns0:f>
        <ns0:v>0</ns0:v>
      </ns0:c>
      <ns0:c r="R1760">
        <ns0:f>IF(AND(L1760=1,O1760*Calculations!$B$2&lt;=Calculations!$B$11*Calculations!$B$4),1,0)</ns0:f>
        <ns0:v>0</ns0:v>
      </ns0:c>
    </ns0:row>
    <ns0:row r="1761">
      <ns0:c r="A1761" t="inlineStr">
        <ns0:is>
          <ns0:t>case_1760</ns0:t>
        </ns0:is>
      </ns0:c>
      <ns0:c r="B1761" t="inlineStr">
        <ns0:is>
          <ns0:t>function_0520</ns0:t>
        </ns0:is>
      </ns0:c>
      <ns0:c r="C1761" t="inlineStr">
        <ns0:is>
          <ns0:t>run_015</ns0:t>
        </ns0:is>
      </ns0:c>
      <ns0:c r="D1761" t="inlineStr">
        <ns0:is>
          <ns0:t>rustc-demangle</ns0:t>
        </ns0:is>
      </ns0:c>
      <ns0:c r="E1761" t="inlineStr">
        <ns0:is>
          <ns0:t>gemini-2.5-flash-nothinking</ns0:t>
        </ns0:is>
      </ns0:c>
      <ns0:c r="F1761" t="inlineStr">
        <ns0:is>
          <ns0:t>E0277,E0369,E0433,E0599,E0658</ns0:t>
        </ns0:is>
      </ns0:c>
      <ns0:c r="G1761" t="n">
        <ns0:v>0</ns0:v>
      </ns0:c>
      <ns0:c r="H1761" t="n">
        <ns0:v>9337</ns0:v>
      </ns0:c>
      <ns0:c r="I1761" t="n">
        <ns0:v>2176</ns0:v>
      </ns0:c>
      <ns0:c r="J1761" t="n">
        <ns0:v>11513</ns0:v>
      </ns0:c>
      <ns0:c r="K1761" t="n">
        <ns0:v>6</ns0:v>
      </ns0:c>
      <ns0:c r="L1761" t="n">
        <ns0:v>0</ns0:v>
      </ns0:c>
      <ns0:c r="M1761" t="n">
        <ns0:v>234725</ns0:v>
      </ns0:c>
      <ns0:c r="N1761" t="n">
        <ns0:v>2508</ns0:v>
      </ns0:c>
      <ns0:c r="O1761" t="n">
        <ns0:v>237233</ns0:v>
      </ns0:c>
      <ns0:c r="P1761" t="n">
        <ns0:v>20</ns0:v>
      </ns0:c>
      <ns0:c r="Q1761">
        <ns0:f>IF(AND(L1761=1,O1761*Calculations!$B$2&lt;=Calculations!$B$10*Calculations!$B$4),1,0)</ns0:f>
        <ns0:v>0</ns0:v>
      </ns0:c>
      <ns0:c r="R1761">
        <ns0:f>IF(AND(L1761=1,O1761*Calculations!$B$2&lt;=Calculations!$B$11*Calculations!$B$4),1,0)</ns0:f>
        <ns0:v>0</ns0:v>
      </ns0:c>
    </ns0:row>
    <ns0:row r="1762">
      <ns0:c r="A1762" t="inlineStr">
        <ns0:is>
          <ns0:t>case_1761</ns0:t>
        </ns0:is>
      </ns0:c>
      <ns0:c r="B1762" t="inlineStr">
        <ns0:is>
          <ns0:t>function_0520</ns0:t>
        </ns0:is>
      </ns0:c>
      <ns0:c r="C1762" t="inlineStr">
        <ns0:is>
          <ns0:t>run_015</ns0:t>
        </ns0:is>
      </ns0:c>
      <ns0:c r="D1762" t="inlineStr">
        <ns0:is>
          <ns0:t>rustc-demangle</ns0:t>
        </ns0:is>
      </ns0:c>
      <ns0:c r="E1762" t="inlineStr">
        <ns0:is>
          <ns0:t>gemini-2.5-flash-nothinking</ns0:t>
        </ns0:is>
      </ns0:c>
      <ns0:c r="F1762" t="inlineStr">
        <ns0:is>
          <ns0:t>E0277,E0308,E0369,E0433,E0560,E0599,E0658</ns0:t>
        </ns0:is>
      </ns0:c>
      <ns0:c r="G1762" t="n">
        <ns0:v>1</ns0:v>
      </ns0:c>
      <ns0:c r="H1762" t="n">
        <ns0:v>0</ns0:v>
      </ns0:c>
      <ns0:c r="I1762" t="n">
        <ns0:v>0</ns0:v>
      </ns0:c>
      <ns0:c r="J1762" t="n">
        <ns0:v>0</ns0:v>
      </ns0:c>
      <ns0:c r="K1762" t="n">
        <ns0:v>0</ns0:v>
      </ns0:c>
      <ns0:c r="L1762" t="n">
        <ns0:v>0</ns0:v>
      </ns0:c>
      <ns0:c r="M1762" t="n">
        <ns0:v>230305</ns0:v>
      </ns0:c>
      <ns0:c r="N1762" t="n">
        <ns0:v>2240</ns0:v>
      </ns0:c>
      <ns0:c r="O1762" t="n">
        <ns0:v>232545</ns0:v>
      </ns0:c>
      <ns0:c r="P1762" t="n">
        <ns0:v>20</ns0:v>
      </ns0:c>
      <ns0:c r="Q1762">
        <ns0:f>IF(AND(L1762=1,O1762*Calculations!$B$2&lt;=Calculations!$B$10*Calculations!$B$4),1,0)</ns0:f>
        <ns0:v>0</ns0:v>
      </ns0:c>
      <ns0:c r="R1762">
        <ns0:f>IF(AND(L1762=1,O1762*Calculations!$B$2&lt;=Calculations!$B$11*Calculations!$B$4),1,0)</ns0:f>
        <ns0:v>0</ns0:v>
      </ns0:c>
    </ns0:row>
    <ns0:row r="1763">
      <ns0:c r="A1763" t="inlineStr">
        <ns0:is>
          <ns0:t>case_1762</ns0:t>
        </ns0:is>
      </ns0:c>
      <ns0:c r="B1763" t="inlineStr">
        <ns0:is>
          <ns0:t>function_0521</ns0:t>
        </ns0:is>
      </ns0:c>
      <ns0:c r="C1763" t="inlineStr">
        <ns0:is>
          <ns0:t>run_015</ns0:t>
        </ns0:is>
      </ns0:c>
      <ns0:c r="D1763" t="inlineStr">
        <ns0:is>
          <ns0:t>rustc-demangle</ns0:t>
        </ns0:is>
      </ns0:c>
      <ns0:c r="E1763" t="inlineStr">
        <ns0:is>
          <ns0:t>gemini-2.5-flash-nothinking</ns0:t>
        </ns0:is>
      </ns0:c>
      <ns0:c r="F1763" t="inlineStr">
        <ns0:is>
          <ns0:t>E0432,E0599</ns0:t>
        </ns0:is>
      </ns0:c>
      <ns0:c r="G1763" t="n">
        <ns0:v>0</ns0:v>
      </ns0:c>
      <ns0:c r="H1763" t="n">
        <ns0:v>22623</ns0:v>
      </ns0:c>
      <ns0:c r="I1763" t="n">
        <ns0:v>2151</ns0:v>
      </ns0:c>
      <ns0:c r="J1763" t="n">
        <ns0:v>24774</ns0:v>
      </ns0:c>
      <ns0:c r="K1763" t="n">
        <ns0:v>15</ns0:v>
      </ns0:c>
      <ns0:c r="L1763" t="n">
        <ns0:v>0</ns0:v>
      </ns0:c>
      <ns0:c r="M1763" t="n">
        <ns0:v>672657</ns0:v>
      </ns0:c>
      <ns0:c r="N1763" t="n">
        <ns0:v>3047</ns0:v>
      </ns0:c>
      <ns0:c r="O1763" t="n">
        <ns0:v>675704</ns0:v>
      </ns0:c>
      <ns0:c r="P1763" t="n">
        <ns0:v>22</ns0:v>
      </ns0:c>
      <ns0:c r="Q1763">
        <ns0:f>IF(AND(L1763=1,O1763*Calculations!$B$2&lt;=Calculations!$B$10*Calculations!$B$4),1,0)</ns0:f>
        <ns0:v>0</ns0:v>
      </ns0:c>
      <ns0:c r="R1763">
        <ns0:f>IF(AND(L1763=1,O1763*Calculations!$B$2&lt;=Calculations!$B$11*Calculations!$B$4),1,0)</ns0:f>
        <ns0:v>0</ns0:v>
      </ns0:c>
    </ns0:row>
    <ns0:row r="1764">
      <ns0:c r="A1764" t="inlineStr">
        <ns0:is>
          <ns0:t>case_1763</ns0:t>
        </ns0:is>
      </ns0:c>
      <ns0:c r="B1764" t="inlineStr">
        <ns0:is>
          <ns0:t>function_0521</ns0:t>
        </ns0:is>
      </ns0:c>
      <ns0:c r="C1764" t="inlineStr">
        <ns0:is>
          <ns0:t>run_015</ns0:t>
        </ns0:is>
      </ns0:c>
      <ns0:c r="D1764" t="inlineStr">
        <ns0:is>
          <ns0:t>rustc-demangle</ns0:t>
        </ns0:is>
      </ns0:c>
      <ns0:c r="E1764" t="inlineStr">
        <ns0:is>
          <ns0:t>gemini-2.5-flash-nothinking</ns0:t>
        </ns0:is>
      </ns0:c>
      <ns0:c r="F1764" t="inlineStr">
        <ns0:is>
          <ns0:t>E0432,E0433,E0599</ns0:t>
        </ns0:is>
      </ns0:c>
      <ns0:c r="G1764" t="n">
        <ns0:v>0</ns0:v>
      </ns0:c>
      <ns0:c r="H1764" t="n">
        <ns0:v>4251</ns0:v>
      </ns0:c>
      <ns0:c r="I1764" t="n">
        <ns0:v>408</ns0:v>
      </ns0:c>
      <ns0:c r="J1764" t="n">
        <ns0:v>4659</ns0:v>
      </ns0:c>
      <ns0:c r="K1764" t="n">
        <ns0:v>3</ns0:v>
      </ns0:c>
      <ns0:c r="L1764" t="n">
        <ns0:v>1</ns0:v>
      </ns0:c>
      <ns0:c r="M1764" t="n">
        <ns0:v>223913</ns0:v>
      </ns0:c>
      <ns0:c r="N1764" t="n">
        <ns0:v>5298</ns0:v>
      </ns0:c>
      <ns0:c r="O1764" t="n">
        <ns0:v>229211</ns0:v>
      </ns0:c>
      <ns0:c r="P1764" t="n">
        <ns0:v>18</ns0:v>
      </ns0:c>
      <ns0:c r="Q1764">
        <ns0:f>IF(AND(L1764=1,O1764*Calculations!$B$2&lt;=Calculations!$B$10*Calculations!$B$4),1,0)</ns0:f>
        <ns0:v>0</ns0:v>
      </ns0:c>
      <ns0:c r="R1764">
        <ns0:f>IF(AND(L1764=1,O1764*Calculations!$B$2&lt;=Calculations!$B$11*Calculations!$B$4),1,0)</ns0:f>
        <ns0:v>0</ns0:v>
      </ns0:c>
    </ns0:row>
    <ns0:row r="1765">
      <ns0:c r="A1765" t="inlineStr">
        <ns0:is>
          <ns0:t>case_1764</ns0:t>
        </ns0:is>
      </ns0:c>
      <ns0:c r="B1765" t="inlineStr">
        <ns0:is>
          <ns0:t>function_0521</ns0:t>
        </ns0:is>
      </ns0:c>
      <ns0:c r="C1765" t="inlineStr">
        <ns0:is>
          <ns0:t>run_015</ns0:t>
        </ns0:is>
      </ns0:c>
      <ns0:c r="D1765" t="inlineStr">
        <ns0:is>
          <ns0:t>rustc-demangle</ns0:t>
        </ns0:is>
      </ns0:c>
      <ns0:c r="E1765" t="inlineStr">
        <ns0:is>
          <ns0:t>gemini-2.5-flash-nothinking</ns0:t>
        </ns0:is>
      </ns0:c>
      <ns0:c r="F1765" t="inlineStr">
        <ns0:is>
          <ns0:t>E0308,E0432,E0433,E0560,E0599,E0658</ns0:t>
        </ns0:is>
      </ns0:c>
      <ns0:c r="G1765" t="n">
        <ns0:v>0</ns0:v>
      </ns0:c>
      <ns0:c r="H1765" t="n">
        <ns0:v>4866</ns0:v>
      </ns0:c>
      <ns0:c r="I1765" t="n">
        <ns0:v>403</ns0:v>
      </ns0:c>
      <ns0:c r="J1765" t="n">
        <ns0:v>5269</ns0:v>
      </ns0:c>
      <ns0:c r="K1765" t="n">
        <ns0:v>3</ns0:v>
      </ns0:c>
      <ns0:c r="L1765" t="n">
        <ns0:v>0</ns0:v>
      </ns0:c>
      <ns0:c r="M1765" t="n">
        <ns0:v>274740</ns0:v>
      </ns0:c>
      <ns0:c r="N1765" t="n">
        <ns0:v>3450</ns0:v>
      </ns0:c>
      <ns0:c r="O1765" t="n">
        <ns0:v>278190</ns0:v>
      </ns0:c>
      <ns0:c r="P1765" t="n">
        <ns0:v>20</ns0:v>
      </ns0:c>
      <ns0:c r="Q1765">
        <ns0:f>IF(AND(L1765=1,O1765*Calculations!$B$2&lt;=Calculations!$B$10*Calculations!$B$4),1,0)</ns0:f>
        <ns0:v>0</ns0:v>
      </ns0:c>
      <ns0:c r="R1765">
        <ns0:f>IF(AND(L1765=1,O1765*Calculations!$B$2&lt;=Calculations!$B$11*Calculations!$B$4),1,0)</ns0:f>
        <ns0:v>0</ns0:v>
      </ns0:c>
    </ns0:row>
    <ns0:row r="1766">
      <ns0:c r="A1766" t="inlineStr">
        <ns0:is>
          <ns0:t>case_1765</ns0:t>
        </ns0:is>
      </ns0:c>
      <ns0:c r="B1766" t="inlineStr">
        <ns0:is>
          <ns0:t>function_0521</ns0:t>
        </ns0:is>
      </ns0:c>
      <ns0:c r="C1766" t="inlineStr">
        <ns0:is>
          <ns0:t>run_015</ns0:t>
        </ns0:is>
      </ns0:c>
      <ns0:c r="D1766" t="inlineStr">
        <ns0:is>
          <ns0:t>rustc-demangle</ns0:t>
        </ns0:is>
      </ns0:c>
      <ns0:c r="E1766" t="inlineStr">
        <ns0:is>
          <ns0:t>gemini-2.5-flash-nothinking</ns0:t>
        </ns0:is>
      </ns0:c>
      <ns0:c r="F1766" t="inlineStr">
        <ns0:is>
          <ns0:t>E0432,E0433,E0599</ns0:t>
        </ns0:is>
      </ns0:c>
      <ns0:c r="G1766" t="n">
        <ns0:v>0</ns0:v>
      </ns0:c>
      <ns0:c r="H1766" t="n">
        <ns0:v>4149</ns0:v>
      </ns0:c>
      <ns0:c r="I1766" t="n">
        <ns0:v>358</ns0:v>
      </ns0:c>
      <ns0:c r="J1766" t="n">
        <ns0:v>4507</ns0:v>
      </ns0:c>
      <ns0:c r="K1766" t="n">
        <ns0:v>3</ns0:v>
      </ns0:c>
      <ns0:c r="L1766" t="n">
        <ns0:v>1</ns0:v>
      </ns0:c>
      <ns0:c r="M1766" t="n">
        <ns0:v>143392</ns0:v>
      </ns0:c>
      <ns0:c r="N1766" t="n">
        <ns0:v>2319</ns0:v>
      </ns0:c>
      <ns0:c r="O1766" t="n">
        <ns0:v>145711</ns0:v>
      </ns0:c>
      <ns0:c r="P1766" t="n">
        <ns0:v>14</ns0:v>
      </ns0:c>
      <ns0:c r="Q1766">
        <ns0:f>IF(AND(L1766=1,O1766*Calculations!$B$2&lt;=Calculations!$B$10*Calculations!$B$4),1,0)</ns0:f>
        <ns0:v>0</ns0:v>
      </ns0:c>
      <ns0:c r="R1766">
        <ns0:f>IF(AND(L1766=1,O1766*Calculations!$B$2&lt;=Calculations!$B$11*Calculations!$B$4),1,0)</ns0:f>
        <ns0:v>0</ns0:v>
      </ns0:c>
    </ns0:row>
    <ns0:row r="1767">
      <ns0:c r="A1767" t="inlineStr">
        <ns0:is>
          <ns0:t>case_1766</ns0:t>
        </ns0:is>
      </ns0:c>
      <ns0:c r="B1767" t="inlineStr">
        <ns0:is>
          <ns0:t>function_0522</ns0:t>
        </ns0:is>
      </ns0:c>
      <ns0:c r="C1767" t="inlineStr">
        <ns0:is>
          <ns0:t>run_015</ns0:t>
        </ns0:is>
      </ns0:c>
      <ns0:c r="D1767" t="inlineStr">
        <ns0:is>
          <ns0:t>rustc-demangle</ns0:t>
        </ns0:is>
      </ns0:c>
      <ns0:c r="E1767" t="inlineStr">
        <ns0:is>
          <ns0:t>gemini-2.5-flash-nothinking</ns0:t>
        </ns0:is>
      </ns0:c>
      <ns0:c r="F1767" t="inlineStr">
        <ns0:is>
          <ns0:t>E0308,E0433,E0560,E0599,E0658</ns0:t>
        </ns0:is>
      </ns0:c>
      <ns0:c r="G1767" t="n">
        <ns0:v>1</ns0:v>
      </ns0:c>
      <ns0:c r="H1767" t="n">
        <ns0:v>0</ns0:v>
      </ns0:c>
      <ns0:c r="I1767" t="n">
        <ns0:v>0</ns0:v>
      </ns0:c>
      <ns0:c r="J1767" t="n">
        <ns0:v>0</ns0:v>
      </ns0:c>
      <ns0:c r="K1767" t="n">
        <ns0:v>0</ns0:v>
      </ns0:c>
      <ns0:c r="L1767" t="n">
        <ns0:v>0</ns0:v>
      </ns0:c>
      <ns0:c r="M1767" t="n">
        <ns0:v>255961</ns0:v>
      </ns0:c>
      <ns0:c r="N1767" t="n">
        <ns0:v>2778</ns0:v>
      </ns0:c>
      <ns0:c r="O1767" t="n">
        <ns0:v>258739</ns0:v>
      </ns0:c>
      <ns0:c r="P1767" t="n">
        <ns0:v>20</ns0:v>
      </ns0:c>
      <ns0:c r="Q1767">
        <ns0:f>IF(AND(L1767=1,O1767*Calculations!$B$2&lt;=Calculations!$B$10*Calculations!$B$4),1,0)</ns0:f>
        <ns0:v>0</ns0:v>
      </ns0:c>
      <ns0:c r="R1767">
        <ns0:f>IF(AND(L1767=1,O1767*Calculations!$B$2&lt;=Calculations!$B$11*Calculations!$B$4),1,0)</ns0:f>
        <ns0:v>0</ns0:v>
      </ns0:c>
    </ns0:row>
    <ns0:row r="1768">
      <ns0:c r="A1768" t="inlineStr">
        <ns0:is>
          <ns0:t>case_1767</ns0:t>
        </ns0:is>
      </ns0:c>
      <ns0:c r="B1768" t="inlineStr">
        <ns0:is>
          <ns0:t>function_0522</ns0:t>
        </ns0:is>
      </ns0:c>
      <ns0:c r="C1768" t="inlineStr">
        <ns0:is>
          <ns0:t>run_015</ns0:t>
        </ns0:is>
      </ns0:c>
      <ns0:c r="D1768" t="inlineStr">
        <ns0:is>
          <ns0:t>rustc-demangle</ns0:t>
        </ns0:is>
      </ns0:c>
      <ns0:c r="E1768" t="inlineStr">
        <ns0:is>
          <ns0:t>gemini-2.5-flash-nothinking</ns0:t>
        </ns0:is>
      </ns0:c>
      <ns0:c r="F1768" t="inlineStr">
        <ns0:is>
          <ns0:t>E0432,E0433,E0599</ns0:t>
        </ns0:is>
      </ns0:c>
      <ns0:c r="G1768" t="n">
        <ns0:v>0</ns0:v>
      </ns0:c>
      <ns0:c r="H1768" t="n">
        <ns0:v>4004</ns0:v>
      </ns0:c>
      <ns0:c r="I1768" t="n">
        <ns0:v>408</ns0:v>
      </ns0:c>
      <ns0:c r="J1768" t="n">
        <ns0:v>4412</ns0:v>
      </ns0:c>
      <ns0:c r="K1768" t="n">
        <ns0:v>3</ns0:v>
      </ns0:c>
      <ns0:c r="L1768" t="n">
        <ns0:v>0</ns0:v>
      </ns0:c>
      <ns0:c r="M1768" t="n">
        <ns0:v>236396</ns0:v>
      </ns0:c>
      <ns0:c r="N1768" t="n">
        <ns0:v>2730</ns0:v>
      </ns0:c>
      <ns0:c r="O1768" t="n">
        <ns0:v>239126</ns0:v>
      </ns0:c>
      <ns0:c r="P1768" t="n">
        <ns0:v>18</ns0:v>
      </ns0:c>
      <ns0:c r="Q1768">
        <ns0:f>IF(AND(L1768=1,O1768*Calculations!$B$2&lt;=Calculations!$B$10*Calculations!$B$4),1,0)</ns0:f>
        <ns0:v>0</ns0:v>
      </ns0:c>
      <ns0:c r="R1768">
        <ns0:f>IF(AND(L1768=1,O1768*Calculations!$B$2&lt;=Calculations!$B$11*Calculations!$B$4),1,0)</ns0:f>
        <ns0:v>0</ns0:v>
      </ns0:c>
    </ns0:row>
    <ns0:row r="1769">
      <ns0:c r="A1769" t="inlineStr">
        <ns0:is>
          <ns0:t>case_1768</ns0:t>
        </ns0:is>
      </ns0:c>
      <ns0:c r="B1769" t="inlineStr">
        <ns0:is>
          <ns0:t>function_0522</ns0:t>
        </ns0:is>
      </ns0:c>
      <ns0:c r="C1769" t="inlineStr">
        <ns0:is>
          <ns0:t>run_015</ns0:t>
        </ns0:is>
      </ns0:c>
      <ns0:c r="D1769" t="inlineStr">
        <ns0:is>
          <ns0:t>rustc-demangle</ns0:t>
        </ns0:is>
      </ns0:c>
      <ns0:c r="E1769" t="inlineStr">
        <ns0:is>
          <ns0:t>gemini-2.5-flash-nothinking</ns0:t>
        </ns0:is>
      </ns0:c>
      <ns0:c r="F1769" t="inlineStr">
        <ns0:is>
          <ns0:t>E0308,E0560,E0599</ns0:t>
        </ns0:is>
      </ns0:c>
      <ns0:c r="G1769" t="n">
        <ns0:v>1</ns0:v>
      </ns0:c>
      <ns0:c r="H1769" t="n">
        <ns0:v>0</ns0:v>
      </ns0:c>
      <ns0:c r="I1769" t="n">
        <ns0:v>0</ns0:v>
      </ns0:c>
      <ns0:c r="J1769" t="n">
        <ns0:v>0</ns0:v>
      </ns0:c>
      <ns0:c r="K1769" t="n">
        <ns0:v>0</ns0:v>
      </ns0:c>
      <ns0:c r="L1769" t="n">
        <ns0:v>1</ns0:v>
      </ns0:c>
      <ns0:c r="M1769" t="n">
        <ns0:v>103808</ns0:v>
      </ns0:c>
      <ns0:c r="N1769" t="n">
        <ns0:v>995</ns0:v>
      </ns0:c>
      <ns0:c r="O1769" t="n">
        <ns0:v>104803</ns0:v>
      </ns0:c>
      <ns0:c r="P1769" t="n">
        <ns0:v>4</ns0:v>
      </ns0:c>
      <ns0:c r="Q1769">
        <ns0:f>IF(AND(L1769=1,O1769*Calculations!$B$2&lt;=Calculations!$B$10*Calculations!$B$4),1,0)</ns0:f>
        <ns0:v>0</ns0:v>
      </ns0:c>
      <ns0:c r="R1769">
        <ns0:f>IF(AND(L1769=1,O1769*Calculations!$B$2&lt;=Calculations!$B$11*Calculations!$B$4),1,0)</ns0:f>
        <ns0:v>0</ns0:v>
      </ns0:c>
    </ns0:row>
    <ns0:row r="1770">
      <ns0:c r="A1770" t="inlineStr">
        <ns0:is>
          <ns0:t>case_1769</ns0:t>
        </ns0:is>
      </ns0:c>
      <ns0:c r="B1770" t="inlineStr">
        <ns0:is>
          <ns0:t>function_0522</ns0:t>
        </ns0:is>
      </ns0:c>
      <ns0:c r="C1770" t="inlineStr">
        <ns0:is>
          <ns0:t>run_015</ns0:t>
        </ns0:is>
      </ns0:c>
      <ns0:c r="D1770" t="inlineStr">
        <ns0:is>
          <ns0:t>rustc-demangle</ns0:t>
        </ns0:is>
      </ns0:c>
      <ns0:c r="E1770" t="inlineStr">
        <ns0:is>
          <ns0:t>gemini-2.5-flash-nothinking</ns0:t>
        </ns0:is>
      </ns0:c>
      <ns0:c r="F1770" t="inlineStr">
        <ns0:is>
          <ns0:t>E0432,E0433,E0599,E0658</ns0:t>
        </ns0:is>
      </ns0:c>
      <ns0:c r="G1770" t="n">
        <ns0:v>0</ns0:v>
      </ns0:c>
      <ns0:c r="H1770" t="n">
        <ns0:v>3878</ns0:v>
      </ns0:c>
      <ns0:c r="I1770" t="n">
        <ns0:v>400</ns0:v>
      </ns0:c>
      <ns0:c r="J1770" t="n">
        <ns0:v>4278</ns0:v>
      </ns0:c>
      <ns0:c r="K1770" t="n">
        <ns0:v>3</ns0:v>
      </ns0:c>
      <ns0:c r="L1770" t="n">
        <ns0:v>0</ns0:v>
      </ns0:c>
      <ns0:c r="M1770" t="n">
        <ns0:v>247801</ns0:v>
      </ns0:c>
      <ns0:c r="N1770" t="n">
        <ns0:v>5481</ns0:v>
      </ns0:c>
      <ns0:c r="O1770" t="n">
        <ns0:v>253282</ns0:v>
      </ns0:c>
      <ns0:c r="P1770" t="n">
        <ns0:v>22</ns0:v>
      </ns0:c>
      <ns0:c r="Q1770">
        <ns0:f>IF(AND(L1770=1,O1770*Calculations!$B$2&lt;=Calculations!$B$10*Calculations!$B$4),1,0)</ns0:f>
        <ns0:v>0</ns0:v>
      </ns0:c>
      <ns0:c r="R1770">
        <ns0:f>IF(AND(L1770=1,O1770*Calculations!$B$2&lt;=Calculations!$B$11*Calculations!$B$4),1,0)</ns0:f>
        <ns0:v>0</ns0:v>
      </ns0:c>
    </ns0:row>
    <ns0:row r="1771">
      <ns0:c r="A1771" t="inlineStr">
        <ns0:is>
          <ns0:t>case_1770</ns0:t>
        </ns0:is>
      </ns0:c>
      <ns0:c r="B1771" t="inlineStr">
        <ns0:is>
          <ns0:t>function_0523</ns0:t>
        </ns0:is>
      </ns0:c>
      <ns0:c r="C1771" t="inlineStr">
        <ns0:is>
          <ns0:t>run_015</ns0:t>
        </ns0:is>
      </ns0:c>
      <ns0:c r="D1771" t="inlineStr">
        <ns0:is>
          <ns0:t>rustc-demangle</ns0:t>
        </ns0:is>
      </ns0:c>
      <ns0:c r="E1771" t="inlineStr">
        <ns0:is>
          <ns0:t>gemini-2.5-flash-nothinking</ns0:t>
        </ns0:is>
      </ns0:c>
      <ns0:c r="F1771" t="inlineStr">
        <ns0:is>
          <ns0:t>E0433</ns0:t>
        </ns0:is>
      </ns0:c>
      <ns0:c r="G1771" t="n">
        <ns0:v>0</ns0:v>
      </ns0:c>
      <ns0:c r="H1771" t="n">
        <ns0:v>5914</ns0:v>
      </ns0:c>
      <ns0:c r="I1771" t="n">
        <ns0:v>420</ns0:v>
      </ns0:c>
      <ns0:c r="J1771" t="n">
        <ns0:v>6334</ns0:v>
      </ns0:c>
      <ns0:c r="K1771" t="n">
        <ns0:v>3</ns0:v>
      </ns0:c>
      <ns0:c r="L1771" t="n">
        <ns0:v>0</ns0:v>
      </ns0:c>
      <ns0:c r="M1771" t="n">
        <ns0:v>229188</ns0:v>
      </ns0:c>
      <ns0:c r="N1771" t="n">
        <ns0:v>1967</ns0:v>
      </ns0:c>
      <ns0:c r="O1771" t="n">
        <ns0:v>231155</ns0:v>
      </ns0:c>
      <ns0:c r="P1771" t="n">
        <ns0:v>20</ns0:v>
      </ns0:c>
      <ns0:c r="Q1771">
        <ns0:f>IF(AND(L1771=1,O1771*Calculations!$B$2&lt;=Calculations!$B$10*Calculations!$B$4),1,0)</ns0:f>
        <ns0:v>0</ns0:v>
      </ns0:c>
      <ns0:c r="R1771">
        <ns0:f>IF(AND(L1771=1,O1771*Calculations!$B$2&lt;=Calculations!$B$11*Calculations!$B$4),1,0)</ns0:f>
        <ns0:v>0</ns0:v>
      </ns0:c>
    </ns0:row>
    <ns0:row r="1772">
      <ns0:c r="A1772" t="inlineStr">
        <ns0:is>
          <ns0:t>case_1771</ns0:t>
        </ns0:is>
      </ns0:c>
      <ns0:c r="B1772" t="inlineStr">
        <ns0:is>
          <ns0:t>function_0523</ns0:t>
        </ns0:is>
      </ns0:c>
      <ns0:c r="C1772" t="inlineStr">
        <ns0:is>
          <ns0:t>run_015</ns0:t>
        </ns0:is>
      </ns0:c>
      <ns0:c r="D1772" t="inlineStr">
        <ns0:is>
          <ns0:t>rustc-demangle</ns0:t>
        </ns0:is>
      </ns0:c>
      <ns0:c r="E1772" t="inlineStr">
        <ns0:is>
          <ns0:t>gemini-2.5-flash-nothinking</ns0:t>
        </ns0:is>
      </ns0:c>
      <ns0:c r="F1772" t="inlineStr">
        <ns0:is>
          <ns0:t>E0433,E0599</ns0:t>
        </ns0:is>
      </ns0:c>
      <ns0:c r="G1772" t="n">
        <ns0:v>0</ns0:v>
      </ns0:c>
      <ns0:c r="H1772" t="n">
        <ns0:v>5556</ns0:v>
      </ns0:c>
      <ns0:c r="I1772" t="n">
        <ns0:v>1569</ns0:v>
      </ns0:c>
      <ns0:c r="J1772" t="n">
        <ns0:v>7125</ns0:v>
      </ns0:c>
      <ns0:c r="K1772" t="n">
        <ns0:v>3</ns0:v>
      </ns0:c>
      <ns0:c r="L1772" t="n">
        <ns0:v>0</ns0:v>
      </ns0:c>
      <ns0:c r="M1772" t="n">
        <ns0:v>783637</ns0:v>
      </ns0:c>
      <ns0:c r="N1772" t="n">
        <ns0:v>9725</ns0:v>
      </ns0:c>
      <ns0:c r="O1772" t="n">
        <ns0:v>793362</ns0:v>
      </ns0:c>
      <ns0:c r="P1772" t="n">
        <ns0:v>20</ns0:v>
      </ns0:c>
      <ns0:c r="Q1772">
        <ns0:f>IF(AND(L1772=1,O1772*Calculations!$B$2&lt;=Calculations!$B$10*Calculations!$B$4),1,0)</ns0:f>
        <ns0:v>0</ns0:v>
      </ns0:c>
      <ns0:c r="R1772">
        <ns0:f>IF(AND(L1772=1,O1772*Calculations!$B$2&lt;=Calculations!$B$11*Calculations!$B$4),1,0)</ns0:f>
        <ns0:v>0</ns0:v>
      </ns0:c>
    </ns0:row>
    <ns0:row r="1773">
      <ns0:c r="A1773" t="inlineStr">
        <ns0:is>
          <ns0:t>case_1772</ns0:t>
        </ns0:is>
      </ns0:c>
      <ns0:c r="B1773" t="inlineStr">
        <ns0:is>
          <ns0:t>function_0523</ns0:t>
        </ns0:is>
      </ns0:c>
      <ns0:c r="C1773" t="inlineStr">
        <ns0:is>
          <ns0:t>run_015</ns0:t>
        </ns0:is>
      </ns0:c>
      <ns0:c r="D1773" t="inlineStr">
        <ns0:is>
          <ns0:t>rustc-demangle</ns0:t>
        </ns0:is>
      </ns0:c>
      <ns0:c r="E1773" t="inlineStr">
        <ns0:is>
          <ns0:t>gemini-2.5-flash-nothinking</ns0:t>
        </ns0:is>
      </ns0:c>
      <ns0:c r="F1773" t="inlineStr">
        <ns0:is>
          <ns0:t>E0433,E0599</ns0:t>
        </ns0:is>
      </ns0:c>
      <ns0:c r="G1773" t="n">
        <ns0:v>0</ns0:v>
      </ns0:c>
      <ns0:c r="H1773" t="n">
        <ns0:v>9256</ns0:v>
      </ns0:c>
      <ns0:c r="I1773" t="n">
        <ns0:v>1363</ns0:v>
      </ns0:c>
      <ns0:c r="J1773" t="n">
        <ns0:v>10619</ns0:v>
      </ns0:c>
      <ns0:c r="K1773" t="n">
        <ns0:v>9</ns0:v>
      </ns0:c>
      <ns0:c r="L1773" t="n">
        <ns0:v>1</ns0:v>
      </ns0:c>
      <ns0:c r="M1773" t="n">
        <ns0:v>223686</ns0:v>
      </ns0:c>
      <ns0:c r="N1773" t="n">
        <ns0:v>2097</ns0:v>
      </ns0:c>
      <ns0:c r="O1773" t="n">
        <ns0:v>225783</ns0:v>
      </ns0:c>
      <ns0:c r="P1773" t="n">
        <ns0:v>16</ns0:v>
      </ns0:c>
      <ns0:c r="Q1773">
        <ns0:f>IF(AND(L1773=1,O1773*Calculations!$B$2&lt;=Calculations!$B$10*Calculations!$B$4),1,0)</ns0:f>
        <ns0:v>0</ns0:v>
      </ns0:c>
      <ns0:c r="R1773">
        <ns0:f>IF(AND(L1773=1,O1773*Calculations!$B$2&lt;=Calculations!$B$11*Calculations!$B$4),1,0)</ns0:f>
        <ns0:v>0</ns0:v>
      </ns0:c>
    </ns0:row>
    <ns0:row r="1774">
      <ns0:c r="A1774" t="inlineStr">
        <ns0:is>
          <ns0:t>case_1773</ns0:t>
        </ns0:is>
      </ns0:c>
      <ns0:c r="B1774" t="inlineStr">
        <ns0:is>
          <ns0:t>function_0523</ns0:t>
        </ns0:is>
      </ns0:c>
      <ns0:c r="C1774" t="inlineStr">
        <ns0:is>
          <ns0:t>run_015</ns0:t>
        </ns0:is>
      </ns0:c>
      <ns0:c r="D1774" t="inlineStr">
        <ns0:is>
          <ns0:t>rustc-demangle</ns0:t>
        </ns0:is>
      </ns0:c>
      <ns0:c r="E1774" t="inlineStr">
        <ns0:is>
          <ns0:t>gemini-2.5-flash-nothinking</ns0:t>
        </ns0:is>
      </ns0:c>
      <ns0:c r="F1774" t="inlineStr">
        <ns0:is>
          <ns0:t>E0433,E0599</ns0:t>
        </ns0:is>
      </ns0:c>
      <ns0:c r="G1774" t="n">
        <ns0:v>0</ns0:v>
      </ns0:c>
      <ns0:c r="H1774" t="n">
        <ns0:v>5359</ns0:v>
      </ns0:c>
      <ns0:c r="I1774" t="n">
        <ns0:v>978</ns0:v>
      </ns0:c>
      <ns0:c r="J1774" t="n">
        <ns0:v>6337</ns0:v>
      </ns0:c>
      <ns0:c r="K1774" t="n">
        <ns0:v>3</ns0:v>
      </ns0:c>
      <ns0:c r="L1774" t="n">
        <ns0:v>0</ns0:v>
      </ns0:c>
      <ns0:c r="M1774" t="n">
        <ns0:v>291608</ns0:v>
      </ns0:c>
      <ns0:c r="N1774" t="n">
        <ns0:v>6306</ns0:v>
      </ns0:c>
      <ns0:c r="O1774" t="n">
        <ns0:v>297914</ns0:v>
      </ns0:c>
      <ns0:c r="P1774" t="n">
        <ns0:v>20</ns0:v>
      </ns0:c>
      <ns0:c r="Q1774">
        <ns0:f>IF(AND(L1774=1,O1774*Calculations!$B$2&lt;=Calculations!$B$10*Calculations!$B$4),1,0)</ns0:f>
        <ns0:v>0</ns0:v>
      </ns0:c>
      <ns0:c r="R1774">
        <ns0:f>IF(AND(L1774=1,O1774*Calculations!$B$2&lt;=Calculations!$B$11*Calculations!$B$4),1,0)</ns0:f>
        <ns0:v>0</ns0:v>
      </ns0:c>
    </ns0:row>
    <ns0:row r="1775">
      <ns0:c r="A1775" t="inlineStr">
        <ns0:is>
          <ns0:t>case_1774</ns0:t>
        </ns0:is>
      </ns0:c>
      <ns0:c r="B1775" t="inlineStr">
        <ns0:is>
          <ns0:t>function_0524</ns0:t>
        </ns0:is>
      </ns0:c>
      <ns0:c r="C1775" t="inlineStr">
        <ns0:is>
          <ns0:t>run_015</ns0:t>
        </ns0:is>
      </ns0:c>
      <ns0:c r="D1775" t="inlineStr">
        <ns0:is>
          <ns0:t>rustc-demangle</ns0:t>
        </ns0:is>
      </ns0:c>
      <ns0:c r="E1775" t="inlineStr">
        <ns0:is>
          <ns0:t>gemini-2.5-flash-nothinking</ns0:t>
        </ns0:is>
      </ns0:c>
      <ns0:c r="F1775" t="inlineStr">
        <ns0:is>
          <ns0:t>E0433</ns0:t>
        </ns0:is>
      </ns0:c>
      <ns0:c r="G1775" t="n">
        <ns0:v>1</ns0:v>
      </ns0:c>
      <ns0:c r="H1775" t="n">
        <ns0:v>0</ns0:v>
      </ns0:c>
      <ns0:c r="I1775" t="n">
        <ns0:v>0</ns0:v>
      </ns0:c>
      <ns0:c r="J1775" t="n">
        <ns0:v>0</ns0:v>
      </ns0:c>
      <ns0:c r="K1775" t="n">
        <ns0:v>0</ns0:v>
      </ns0:c>
      <ns0:c r="L1775" t="n">
        <ns0:v>0</ns0:v>
      </ns0:c>
      <ns0:c r="M1775" t="n">
        <ns0:v>301936</ns0:v>
      </ns0:c>
      <ns0:c r="N1775" t="n">
        <ns0:v>4180</ns0:v>
      </ns0:c>
      <ns0:c r="O1775" t="n">
        <ns0:v>306116</ns0:v>
      </ns0:c>
      <ns0:c r="P1775" t="n">
        <ns0:v>20</ns0:v>
      </ns0:c>
      <ns0:c r="Q1775">
        <ns0:f>IF(AND(L1775=1,O1775*Calculations!$B$2&lt;=Calculations!$B$10*Calculations!$B$4),1,0)</ns0:f>
        <ns0:v>0</ns0:v>
      </ns0:c>
      <ns0:c r="R1775">
        <ns0:f>IF(AND(L1775=1,O1775*Calculations!$B$2&lt;=Calculations!$B$11*Calculations!$B$4),1,0)</ns0:f>
        <ns0:v>0</ns0:v>
      </ns0:c>
    </ns0:row>
    <ns0:row r="1776">
      <ns0:c r="A1776" t="inlineStr">
        <ns0:is>
          <ns0:t>case_1775</ns0:t>
        </ns0:is>
      </ns0:c>
      <ns0:c r="B1776" t="inlineStr">
        <ns0:is>
          <ns0:t>function_0524</ns0:t>
        </ns0:is>
      </ns0:c>
      <ns0:c r="C1776" t="inlineStr">
        <ns0:is>
          <ns0:t>run_015</ns0:t>
        </ns0:is>
      </ns0:c>
      <ns0:c r="D1776" t="inlineStr">
        <ns0:is>
          <ns0:t>rustc-demangle</ns0:t>
        </ns0:is>
      </ns0:c>
      <ns0:c r="E1776" t="inlineStr">
        <ns0:is>
          <ns0:t>gemini-2.5-flash-nothinking</ns0:t>
        </ns0:is>
      </ns0:c>
      <ns0:c r="F1776" t="inlineStr">
        <ns0:is>
          <ns0:t>E0308,E0412,E0433,E0560,E0609</ns0:t>
        </ns0:is>
      </ns0:c>
      <ns0:c r="G1776" t="n">
        <ns0:v>1</ns0:v>
      </ns0:c>
      <ns0:c r="H1776" t="n">
        <ns0:v>0</ns0:v>
      </ns0:c>
      <ns0:c r="I1776" t="n">
        <ns0:v>0</ns0:v>
      </ns0:c>
      <ns0:c r="J1776" t="n">
        <ns0:v>0</ns0:v>
      </ns0:c>
      <ns0:c r="K1776" t="n">
        <ns0:v>0</ns0:v>
      </ns0:c>
      <ns0:c r="L1776" t="n">
        <ns0:v>0</ns0:v>
      </ns0:c>
      <ns0:c r="M1776" t="n">
        <ns0:v>930232</ns0:v>
      </ns0:c>
      <ns0:c r="N1776" t="n">
        <ns0:v>15323</ns0:v>
      </ns0:c>
      <ns0:c r="O1776" t="n">
        <ns0:v>945555</ns0:v>
      </ns0:c>
      <ns0:c r="P1776" t="n">
        <ns0:v>20</ns0:v>
      </ns0:c>
      <ns0:c r="Q1776">
        <ns0:f>IF(AND(L1776=1,O1776*Calculations!$B$2&lt;=Calculations!$B$10*Calculations!$B$4),1,0)</ns0:f>
        <ns0:v>0</ns0:v>
      </ns0:c>
      <ns0:c r="R1776">
        <ns0:f>IF(AND(L1776=1,O1776*Calculations!$B$2&lt;=Calculations!$B$11*Calculations!$B$4),1,0)</ns0:f>
        <ns0:v>0</ns0:v>
      </ns0:c>
    </ns0:row>
    <ns0:row r="1777">
      <ns0:c r="A1777" t="inlineStr">
        <ns0:is>
          <ns0:t>case_1776</ns0:t>
        </ns0:is>
      </ns0:c>
      <ns0:c r="B1777" t="inlineStr">
        <ns0:is>
          <ns0:t>function_0524</ns0:t>
        </ns0:is>
      </ns0:c>
      <ns0:c r="C1777" t="inlineStr">
        <ns0:is>
          <ns0:t>run_015</ns0:t>
        </ns0:is>
      </ns0:c>
      <ns0:c r="D1777" t="inlineStr">
        <ns0:is>
          <ns0:t>rustc-demangle</ns0:t>
        </ns0:is>
      </ns0:c>
      <ns0:c r="E1777" t="inlineStr">
        <ns0:is>
          <ns0:t>gemini-2.5-flash-nothinking</ns0:t>
        </ns0:is>
      </ns0:c>
      <ns0:c r="F1777" t="inlineStr">
        <ns0:is>
          <ns0:t>E0412,E0433</ns0:t>
        </ns0:is>
      </ns0:c>
      <ns0:c r="G1777" t="n">
        <ns0:v>1</ns0:v>
      </ns0:c>
      <ns0:c r="H1777" t="n">
        <ns0:v>0</ns0:v>
      </ns0:c>
      <ns0:c r="I1777" t="n">
        <ns0:v>0</ns0:v>
      </ns0:c>
      <ns0:c r="J1777" t="n">
        <ns0:v>0</ns0:v>
      </ns0:c>
      <ns0:c r="K1777" t="n">
        <ns0:v>0</ns0:v>
      </ns0:c>
      <ns0:c r="L1777" t="n">
        <ns0:v>0</ns0:v>
      </ns0:c>
      <ns0:c r="M1777" t="n">
        <ns0:v>1047795</ns0:v>
      </ns0:c>
      <ns0:c r="N1777" t="n">
        <ns0:v>49892</ns0:v>
      </ns0:c>
      <ns0:c r="O1777" t="n">
        <ns0:v>1097687</ns0:v>
      </ns0:c>
      <ns0:c r="P1777" t="n">
        <ns0:v>21</ns0:v>
      </ns0:c>
      <ns0:c r="Q1777">
        <ns0:f>IF(AND(L1777=1,O1777*Calculations!$B$2&lt;=Calculations!$B$10*Calculations!$B$4),1,0)</ns0:f>
        <ns0:v>0</ns0:v>
      </ns0:c>
      <ns0:c r="R1777">
        <ns0:f>IF(AND(L1777=1,O1777*Calculations!$B$2&lt;=Calculations!$B$11*Calculations!$B$4),1,0)</ns0:f>
        <ns0:v>0</ns0:v>
      </ns0:c>
    </ns0:row>
    <ns0:row r="1778">
      <ns0:c r="A1778" t="inlineStr">
        <ns0:is>
          <ns0:t>case_1777</ns0:t>
        </ns0:is>
      </ns0:c>
      <ns0:c r="B1778" t="inlineStr">
        <ns0:is>
          <ns0:t>function_0524</ns0:t>
        </ns0:is>
      </ns0:c>
      <ns0:c r="C1778" t="inlineStr">
        <ns0:is>
          <ns0:t>run_015</ns0:t>
        </ns0:is>
      </ns0:c>
      <ns0:c r="D1778" t="inlineStr">
        <ns0:is>
          <ns0:t>rustc-demangle</ns0:t>
        </ns0:is>
      </ns0:c>
      <ns0:c r="E1778" t="inlineStr">
        <ns0:is>
          <ns0:t>gemini-2.5-flash-nothinking</ns0:t>
        </ns0:is>
      </ns0:c>
      <ns0:c r="F1778" t="inlineStr">
        <ns0:is>
          <ns0:t>E0433</ns0:t>
        </ns0:is>
      </ns0:c>
      <ns0:c r="G1778" t="n">
        <ns0:v>0</ns0:v>
      </ns0:c>
      <ns0:c r="H1778" t="n">
        <ns0:v>48022</ns0:v>
      </ns0:c>
      <ns0:c r="I1778" t="n">
        <ns0:v>2856</ns0:v>
      </ns0:c>
      <ns0:c r="J1778" t="n">
        <ns0:v>50878</ns0:v>
      </ns0:c>
      <ns0:c r="K1778" t="n">
        <ns0:v>18</ns0:v>
      </ns0:c>
      <ns0:c r="L1778" t="n">
        <ns0:v>0</ns0:v>
      </ns0:c>
      <ns0:c r="M1778" t="n">
        <ns0:v>346495</ns0:v>
      </ns0:c>
      <ns0:c r="N1778" t="n">
        <ns0:v>1890</ns0:v>
      </ns0:c>
      <ns0:c r="O1778" t="n">
        <ns0:v>348385</ns0:v>
      </ns0:c>
      <ns0:c r="P1778" t="n">
        <ns0:v>20</ns0:v>
      </ns0:c>
      <ns0:c r="Q1778">
        <ns0:f>IF(AND(L1778=1,O1778*Calculations!$B$2&lt;=Calculations!$B$10*Calculations!$B$4),1,0)</ns0:f>
        <ns0:v>0</ns0:v>
      </ns0:c>
      <ns0:c r="R1778">
        <ns0:f>IF(AND(L1778=1,O1778*Calculations!$B$2&lt;=Calculations!$B$11*Calculations!$B$4),1,0)</ns0:f>
        <ns0:v>0</ns0:v>
      </ns0:c>
    </ns0:row>
    <ns0:row r="1779">
      <ns0:c r="A1779" t="inlineStr">
        <ns0:is>
          <ns0:t>case_1778</ns0:t>
        </ns0:is>
      </ns0:c>
      <ns0:c r="B1779" t="inlineStr">
        <ns0:is>
          <ns0:t>function_0525</ns0:t>
        </ns0:is>
      </ns0:c>
      <ns0:c r="C1779" t="inlineStr">
        <ns0:is>
          <ns0:t>run_015</ns0:t>
        </ns0:is>
      </ns0:c>
      <ns0:c r="D1779" t="inlineStr">
        <ns0:is>
          <ns0:t>rustc-demangle</ns0:t>
        </ns0:is>
      </ns0:c>
      <ns0:c r="E1779" t="inlineStr">
        <ns0:is>
          <ns0:t>gemini-2.5-flash-nothinking</ns0:t>
        </ns0:is>
      </ns0:c>
      <ns0:c r="F1779" t="inlineStr">
        <ns0:is>
          <ns0:t>E0432,E0433,E0560,E0599,E0609</ns0:t>
        </ns0:is>
      </ns0:c>
      <ns0:c r="G1779" t="n">
        <ns0:v>0</ns0:v>
      </ns0:c>
      <ns0:c r="H1779" t="n">
        <ns0:v>27612</ns0:v>
      </ns0:c>
      <ns0:c r="I1779" t="n">
        <ns0:v>2848</ns0:v>
      </ns0:c>
      <ns0:c r="J1779" t="n">
        <ns0:v>30460</ns0:v>
      </ns0:c>
      <ns0:c r="K1779" t="n">
        <ns0:v>12</ns0:v>
      </ns0:c>
      <ns0:c r="L1779" t="n">
        <ns0:v>0</ns0:v>
      </ns0:c>
      <ns0:c r="M1779" t="n">
        <ns0:v>304093</ns0:v>
      </ns0:c>
      <ns0:c r="N1779" t="n">
        <ns0:v>3564</ns0:v>
      </ns0:c>
      <ns0:c r="O1779" t="n">
        <ns0:v>307657</ns0:v>
      </ns0:c>
      <ns0:c r="P1779" t="n">
        <ns0:v>21</ns0:v>
      </ns0:c>
      <ns0:c r="Q1779">
        <ns0:f>IF(AND(L1779=1,O1779*Calculations!$B$2&lt;=Calculations!$B$10*Calculations!$B$4),1,0)</ns0:f>
        <ns0:v>0</ns0:v>
      </ns0:c>
      <ns0:c r="R1779">
        <ns0:f>IF(AND(L1779=1,O1779*Calculations!$B$2&lt;=Calculations!$B$11*Calculations!$B$4),1,0)</ns0:f>
        <ns0:v>0</ns0:v>
      </ns0:c>
    </ns0:row>
    <ns0:row r="1780">
      <ns0:c r="A1780" t="inlineStr">
        <ns0:is>
          <ns0:t>case_1779</ns0:t>
        </ns0:is>
      </ns0:c>
      <ns0:c r="B1780" t="inlineStr">
        <ns0:is>
          <ns0:t>function_0525</ns0:t>
        </ns0:is>
      </ns0:c>
      <ns0:c r="C1780" t="inlineStr">
        <ns0:is>
          <ns0:t>run_015</ns0:t>
        </ns0:is>
      </ns0:c>
      <ns0:c r="D1780" t="inlineStr">
        <ns0:is>
          <ns0:t>rustc-demangle</ns0:t>
        </ns0:is>
      </ns0:c>
      <ns0:c r="E1780" t="inlineStr">
        <ns0:is>
          <ns0:t>gemini-2.5-flash-nothinking</ns0:t>
        </ns0:is>
      </ns0:c>
      <ns0:c r="F1780" t="inlineStr">
        <ns0:is>
          <ns0:t>E0308,E0433,E0560,E0599</ns0:t>
        </ns0:is>
      </ns0:c>
      <ns0:c r="G1780" t="n">
        <ns0:v>0</ns0:v>
      </ns0:c>
      <ns0:c r="H1780" t="n">
        <ns0:v>4368</ns0:v>
      </ns0:c>
      <ns0:c r="I1780" t="n">
        <ns0:v>569</ns0:v>
      </ns0:c>
      <ns0:c r="J1780" t="n">
        <ns0:v>4937</ns0:v>
      </ns0:c>
      <ns0:c r="K1780" t="n">
        <ns0:v>3</ns0:v>
      </ns0:c>
      <ns0:c r="L1780" t="n">
        <ns0:v>1</ns0:v>
      </ns0:c>
      <ns0:c r="M1780" t="n">
        <ns0:v>146446</ns0:v>
      </ns0:c>
      <ns0:c r="N1780" t="n">
        <ns0:v>2803</ns0:v>
      </ns0:c>
      <ns0:c r="O1780" t="n">
        <ns0:v>149249</ns0:v>
      </ns0:c>
      <ns0:c r="P1780" t="n">
        <ns0:v>16</ns0:v>
      </ns0:c>
      <ns0:c r="Q1780">
        <ns0:f>IF(AND(L1780=1,O1780*Calculations!$B$2&lt;=Calculations!$B$10*Calculations!$B$4),1,0)</ns0:f>
        <ns0:v>0</ns0:v>
      </ns0:c>
      <ns0:c r="R1780">
        <ns0:f>IF(AND(L1780=1,O1780*Calculations!$B$2&lt;=Calculations!$B$11*Calculations!$B$4),1,0)</ns0:f>
        <ns0:v>0</ns0:v>
      </ns0:c>
    </ns0:row>
    <ns0:row r="1781">
      <ns0:c r="A1781" t="inlineStr">
        <ns0:is>
          <ns0:t>case_1780</ns0:t>
        </ns0:is>
      </ns0:c>
      <ns0:c r="B1781" t="inlineStr">
        <ns0:is>
          <ns0:t>function_0525</ns0:t>
        </ns0:is>
      </ns0:c>
      <ns0:c r="C1781" t="inlineStr">
        <ns0:is>
          <ns0:t>run_015</ns0:t>
        </ns0:is>
      </ns0:c>
      <ns0:c r="D1781" t="inlineStr">
        <ns0:is>
          <ns0:t>rustc-demangle</ns0:t>
        </ns0:is>
      </ns0:c>
      <ns0:c r="E1781" t="inlineStr">
        <ns0:is>
          <ns0:t>gemini-2.5-flash-nothinking</ns0:t>
        </ns0:is>
      </ns0:c>
      <ns0:c r="F1781" t="inlineStr">
        <ns0:is>
          <ns0:t>E0308,E0412,E0432,E0433,E0560,E0599,E0609</ns0:t>
        </ns0:is>
      </ns0:c>
      <ns0:c r="G1781" t="n">
        <ns0:v>0</ns0:v>
      </ns0:c>
      <ns0:c r="H1781" t="n">
        <ns0:v>7797</ns0:v>
      </ns0:c>
      <ns0:c r="I1781" t="n">
        <ns0:v>3110</ns0:v>
      </ns0:c>
      <ns0:c r="J1781" t="n">
        <ns0:v>10907</ns0:v>
      </ns0:c>
      <ns0:c r="K1781" t="n">
        <ns0:v>3</ns0:v>
      </ns0:c>
      <ns0:c r="L1781" t="n">
        <ns0:v>0</ns0:v>
      </ns0:c>
      <ns0:c r="M1781" t="n">
        <ns0:v>419129</ns0:v>
      </ns0:c>
      <ns0:c r="N1781" t="n">
        <ns0:v>10000</ns0:v>
      </ns0:c>
      <ns0:c r="O1781" t="n">
        <ns0:v>429129</ns0:v>
      </ns0:c>
      <ns0:c r="P1781" t="n">
        <ns0:v>20</ns0:v>
      </ns0:c>
      <ns0:c r="Q1781">
        <ns0:f>IF(AND(L1781=1,O1781*Calculations!$B$2&lt;=Calculations!$B$10*Calculations!$B$4),1,0)</ns0:f>
        <ns0:v>0</ns0:v>
      </ns0:c>
      <ns0:c r="R1781">
        <ns0:f>IF(AND(L1781=1,O1781*Calculations!$B$2&lt;=Calculations!$B$11*Calculations!$B$4),1,0)</ns0:f>
        <ns0:v>0</ns0:v>
      </ns0:c>
    </ns0:row>
    <ns0:row r="1782">
      <ns0:c r="A1782" t="inlineStr">
        <ns0:is>
          <ns0:t>case_1781</ns0:t>
        </ns0:is>
      </ns0:c>
      <ns0:c r="B1782" t="inlineStr">
        <ns0:is>
          <ns0:t>function_0525</ns0:t>
        </ns0:is>
      </ns0:c>
      <ns0:c r="C1782" t="inlineStr">
        <ns0:is>
          <ns0:t>run_015</ns0:t>
        </ns0:is>
      </ns0:c>
      <ns0:c r="D1782" t="inlineStr">
        <ns0:is>
          <ns0:t>rustc-demangle</ns0:t>
        </ns0:is>
      </ns0:c>
      <ns0:c r="E1782" t="inlineStr">
        <ns0:is>
          <ns0:t>gemini-2.5-flash-nothinking</ns0:t>
        </ns0:is>
      </ns0:c>
      <ns0:c r="F1782" t="inlineStr">
        <ns0:is>
          <ns0:t>E0432,E0599</ns0:t>
        </ns0:is>
      </ns0:c>
      <ns0:c r="G1782" t="n">
        <ns0:v>0</ns0:v>
      </ns0:c>
      <ns0:c r="H1782" t="n">
        <ns0:v>4321</ns0:v>
      </ns0:c>
      <ns0:c r="I1782" t="n">
        <ns0:v>456</ns0:v>
      </ns0:c>
      <ns0:c r="J1782" t="n">
        <ns0:v>4777</ns0:v>
      </ns0:c>
      <ns0:c r="K1782" t="n">
        <ns0:v>3</ns0:v>
      </ns0:c>
      <ns0:c r="L1782" t="n">
        <ns0:v>0</ns0:v>
      </ns0:c>
      <ns0:c r="M1782" t="n">
        <ns0:v>186987</ns0:v>
      </ns0:c>
      <ns0:c r="N1782" t="n">
        <ns0:v>1635</ns0:v>
      </ns0:c>
      <ns0:c r="O1782" t="n">
        <ns0:v>188622</ns0:v>
      </ns0:c>
      <ns0:c r="P1782" t="n">
        <ns0:v>15</ns0:v>
      </ns0:c>
      <ns0:c r="Q1782">
        <ns0:f>IF(AND(L1782=1,O1782*Calculations!$B$2&lt;=Calculations!$B$10*Calculations!$B$4),1,0)</ns0:f>
        <ns0:v>0</ns0:v>
      </ns0:c>
      <ns0:c r="R1782">
        <ns0:f>IF(AND(L1782=1,O1782*Calculations!$B$2&lt;=Calculations!$B$11*Calculations!$B$4),1,0)</ns0:f>
        <ns0:v>0</ns0:v>
      </ns0:c>
    </ns0:row>
    <ns0:row r="1783">
      <ns0:c r="A1783" t="inlineStr">
        <ns0:is>
          <ns0:t>case_1782</ns0:t>
        </ns0:is>
      </ns0:c>
      <ns0:c r="B1783" t="inlineStr">
        <ns0:is>
          <ns0:t>function_0526</ns0:t>
        </ns0:is>
      </ns0:c>
      <ns0:c r="C1783" t="inlineStr">
        <ns0:is>
          <ns0:t>run_015</ns0:t>
        </ns0:is>
      </ns0:c>
      <ns0:c r="D1783" t="inlineStr">
        <ns0:is>
          <ns0:t>rustc-demangle</ns0:t>
        </ns0:is>
      </ns0:c>
      <ns0:c r="E1783" t="inlineStr">
        <ns0:is>
          <ns0:t>gemini-2.5-flash-nothinking</ns0:t>
        </ns0:is>
      </ns0:c>
      <ns0:c r="F1783" t="inlineStr">
        <ns0:is>
          <ns0:t>E0432,E0599</ns0:t>
        </ns0:is>
      </ns0:c>
      <ns0:c r="G1783" t="n">
        <ns0:v>0</ns0:v>
      </ns0:c>
      <ns0:c r="H1783" t="n">
        <ns0:v>0</ns0:v>
      </ns0:c>
      <ns0:c r="I1783" t="n">
        <ns0:v>0</ns0:v>
      </ns0:c>
      <ns0:c r="J1783" t="n">
        <ns0:v>0</ns0:v>
      </ns0:c>
      <ns0:c r="K1783" t="n">
        <ns0:v>0</ns0:v>
      </ns0:c>
      <ns0:c r="L1783" t="n">
        <ns0:v>0</ns0:v>
      </ns0:c>
      <ns0:c r="M1783" t="n">
        <ns0:v>687805</ns0:v>
      </ns0:c>
      <ns0:c r="N1783" t="n">
        <ns0:v>3227</ns0:v>
      </ns0:c>
      <ns0:c r="O1783" t="n">
        <ns0:v>691032</ns0:v>
      </ns0:c>
      <ns0:c r="P1783" t="n">
        <ns0:v>20</ns0:v>
      </ns0:c>
      <ns0:c r="Q1783">
        <ns0:f>IF(AND(L1783=1,O1783*Calculations!$B$2&lt;=Calculations!$B$10*Calculations!$B$4),1,0)</ns0:f>
        <ns0:v>0</ns0:v>
      </ns0:c>
      <ns0:c r="R1783">
        <ns0:f>IF(AND(L1783=1,O1783*Calculations!$B$2&lt;=Calculations!$B$11*Calculations!$B$4),1,0)</ns0:f>
        <ns0:v>0</ns0:v>
      </ns0:c>
    </ns0:row>
    <ns0:row r="1784">
      <ns0:c r="A1784" t="inlineStr">
        <ns0:is>
          <ns0:t>case_1783</ns0:t>
        </ns0:is>
      </ns0:c>
      <ns0:c r="B1784" t="inlineStr">
        <ns0:is>
          <ns0:t>function_0526</ns0:t>
        </ns0:is>
      </ns0:c>
      <ns0:c r="C1784" t="inlineStr">
        <ns0:is>
          <ns0:t>run_015</ns0:t>
        </ns0:is>
      </ns0:c>
      <ns0:c r="D1784" t="inlineStr">
        <ns0:is>
          <ns0:t>rustc-demangle</ns0:t>
        </ns0:is>
      </ns0:c>
      <ns0:c r="E1784" t="inlineStr">
        <ns0:is>
          <ns0:t>gemini-2.5-flash-nothinking</ns0:t>
        </ns0:is>
      </ns0:c>
      <ns0:c r="F1784" t="inlineStr">
        <ns0:is>
          <ns0:t>E0308,E0432,E0433,E0560</ns0:t>
        </ns0:is>
      </ns0:c>
      <ns0:c r="G1784" t="n">
        <ns0:v>0</ns0:v>
      </ns0:c>
      <ns0:c r="H1784" t="n">
        <ns0:v>0</ns0:v>
      </ns0:c>
      <ns0:c r="I1784" t="n">
        <ns0:v>0</ns0:v>
      </ns0:c>
      <ns0:c r="J1784" t="n">
        <ns0:v>0</ns0:v>
      </ns0:c>
      <ns0:c r="K1784" t="n">
        <ns0:v>0</ns0:v>
      </ns0:c>
      <ns0:c r="L1784" t="n">
        <ns0:v>0</ns0:v>
      </ns0:c>
      <ns0:c r="M1784" t="n">
        <ns0:v>455425</ns0:v>
      </ns0:c>
      <ns0:c r="N1784" t="n">
        <ns0:v>5182</ns0:v>
      </ns0:c>
      <ns0:c r="O1784" t="n">
        <ns0:v>460607</ns0:v>
      </ns0:c>
      <ns0:c r="P1784" t="n">
        <ns0:v>21</ns0:v>
      </ns0:c>
      <ns0:c r="Q1784">
        <ns0:f>IF(AND(L1784=1,O1784*Calculations!$B$2&lt;=Calculations!$B$10*Calculations!$B$4),1,0)</ns0:f>
        <ns0:v>0</ns0:v>
      </ns0:c>
      <ns0:c r="R1784">
        <ns0:f>IF(AND(L1784=1,O1784*Calculations!$B$2&lt;=Calculations!$B$11*Calculations!$B$4),1,0)</ns0:f>
        <ns0:v>0</ns0:v>
      </ns0:c>
    </ns0:row>
    <ns0:row r="1785">
      <ns0:c r="A1785" t="inlineStr">
        <ns0:is>
          <ns0:t>case_1784</ns0:t>
        </ns0:is>
      </ns0:c>
      <ns0:c r="B1785" t="inlineStr">
        <ns0:is>
          <ns0:t>function_0526</ns0:t>
        </ns0:is>
      </ns0:c>
      <ns0:c r="C1785" t="inlineStr">
        <ns0:is>
          <ns0:t>run_015</ns0:t>
        </ns0:is>
      </ns0:c>
      <ns0:c r="D1785" t="inlineStr">
        <ns0:is>
          <ns0:t>rustc-demangle</ns0:t>
        </ns0:is>
      </ns0:c>
      <ns0:c r="E1785" t="inlineStr">
        <ns0:is>
          <ns0:t>gemini-2.5-flash-nothinking</ns0:t>
        </ns0:is>
      </ns0:c>
      <ns0:c r="F1785" t="inlineStr">
        <ns0:is>
          <ns0:t>E0308,E0432,E0433,E0560</ns0:t>
        </ns0:is>
      </ns0:c>
      <ns0:c r="G1785" t="n">
        <ns0:v>0</ns0:v>
      </ns0:c>
      <ns0:c r="H1785" t="n">
        <ns0:v>4219</ns0:v>
      </ns0:c>
      <ns0:c r="I1785" t="n">
        <ns0:v>372</ns0:v>
      </ns0:c>
      <ns0:c r="J1785" t="n">
        <ns0:v>4591</ns0:v>
      </ns0:c>
      <ns0:c r="K1785" t="n">
        <ns0:v>3</ns0:v>
      </ns0:c>
      <ns0:c r="L1785" t="n">
        <ns0:v>0</ns0:v>
      </ns0:c>
      <ns0:c r="M1785" t="n">
        <ns0:v>199104</ns0:v>
      </ns0:c>
      <ns0:c r="N1785" t="n">
        <ns0:v>2263</ns0:v>
      </ns0:c>
      <ns0:c r="O1785" t="n">
        <ns0:v>201367</ns0:v>
      </ns0:c>
      <ns0:c r="P1785" t="n">
        <ns0:v>20</ns0:v>
      </ns0:c>
      <ns0:c r="Q1785">
        <ns0:f>IF(AND(L1785=1,O1785*Calculations!$B$2&lt;=Calculations!$B$10*Calculations!$B$4),1,0)</ns0:f>
        <ns0:v>0</ns0:v>
      </ns0:c>
      <ns0:c r="R1785">
        <ns0:f>IF(AND(L1785=1,O1785*Calculations!$B$2&lt;=Calculations!$B$11*Calculations!$B$4),1,0)</ns0:f>
        <ns0:v>0</ns0:v>
      </ns0:c>
    </ns0:row>
    <ns0:row r="1786">
      <ns0:c r="A1786" t="inlineStr">
        <ns0:is>
          <ns0:t>case_1785</ns0:t>
        </ns0:is>
      </ns0:c>
      <ns0:c r="B1786" t="inlineStr">
        <ns0:is>
          <ns0:t>function_0526</ns0:t>
        </ns0:is>
      </ns0:c>
      <ns0:c r="C1786" t="inlineStr">
        <ns0:is>
          <ns0:t>run_015</ns0:t>
        </ns0:is>
      </ns0:c>
      <ns0:c r="D1786" t="inlineStr">
        <ns0:is>
          <ns0:t>rustc-demangle</ns0:t>
        </ns0:is>
      </ns0:c>
      <ns0:c r="E1786" t="inlineStr">
        <ns0:is>
          <ns0:t>gemini-2.5-flash-nothinking</ns0:t>
        </ns0:is>
      </ns0:c>
      <ns0:c r="F1786" t="inlineStr">
        <ns0:is>
          <ns0:t>E0432,E0433,E0599</ns0:t>
        </ns0:is>
      </ns0:c>
      <ns0:c r="G1786" t="n">
        <ns0:v>0</ns0:v>
      </ns0:c>
      <ns0:c r="H1786" t="n">
        <ns0:v>11062</ns0:v>
      </ns0:c>
      <ns0:c r="I1786" t="n">
        <ns0:v>6009</ns0:v>
      </ns0:c>
      <ns0:c r="J1786" t="n">
        <ns0:v>17071</ns0:v>
      </ns0:c>
      <ns0:c r="K1786" t="n">
        <ns0:v>3</ns0:v>
      </ns0:c>
      <ns0:c r="L1786" t="n">
        <ns0:v>0</ns0:v>
      </ns0:c>
      <ns0:c r="M1786" t="n">
        <ns0:v>1086609</ns0:v>
      </ns0:c>
      <ns0:c r="N1786" t="n">
        <ns0:v>19456</ns0:v>
      </ns0:c>
      <ns0:c r="O1786" t="n">
        <ns0:v>1106065</ns0:v>
      </ns0:c>
      <ns0:c r="P1786" t="n">
        <ns0:v>25</ns0:v>
      </ns0:c>
      <ns0:c r="Q1786">
        <ns0:f>IF(AND(L1786=1,O1786*Calculations!$B$2&lt;=Calculations!$B$10*Calculations!$B$4),1,0)</ns0:f>
        <ns0:v>0</ns0:v>
      </ns0:c>
      <ns0:c r="R1786">
        <ns0:f>IF(AND(L1786=1,O1786*Calculations!$B$2&lt;=Calculations!$B$11*Calculations!$B$4),1,0)</ns0:f>
        <ns0:v>0</ns0:v>
      </ns0:c>
    </ns0:row>
    <ns0:row r="1787">
      <ns0:c r="A1787" t="inlineStr">
        <ns0:is>
          <ns0:t>case_1786</ns0:t>
        </ns0:is>
      </ns0:c>
      <ns0:c r="B1787" t="inlineStr">
        <ns0:is>
          <ns0:t>function_0527</ns0:t>
        </ns0:is>
      </ns0:c>
      <ns0:c r="C1787" t="inlineStr">
        <ns0:is>
          <ns0:t>run_015</ns0:t>
        </ns0:is>
      </ns0:c>
      <ns0:c r="D1787" t="inlineStr">
        <ns0:is>
          <ns0:t>rustc-demangle</ns0:t>
        </ns0:is>
      </ns0:c>
      <ns0:c r="E1787" t="inlineStr">
        <ns0:is>
          <ns0:t>gemini-2.5-flash-nothinking</ns0:t>
        </ns0:is>
      </ns0:c>
      <ns0:c r="F1787" t="inlineStr">
        <ns0:is>
          <ns0:t>E0433,E0658</ns0:t>
        </ns0:is>
      </ns0:c>
      <ns0:c r="G1787" t="n">
        <ns0:v>0</ns0:v>
      </ns0:c>
      <ns0:c r="H1787" t="n">
        <ns0:v>8844</ns0:v>
      </ns0:c>
      <ns0:c r="I1787" t="n">
        <ns0:v>498</ns0:v>
      </ns0:c>
      <ns0:c r="J1787" t="n">
        <ns0:v>9342</ns0:v>
      </ns0:c>
      <ns0:c r="K1787" t="n">
        <ns0:v>3</ns0:v>
      </ns0:c>
      <ns0:c r="L1787" t="n">
        <ns0:v>1</ns0:v>
      </ns0:c>
      <ns0:c r="M1787" t="n">
        <ns0:v>388012</ns0:v>
      </ns0:c>
      <ns0:c r="N1787" t="n">
        <ns0:v>18487</ns0:v>
      </ns0:c>
      <ns0:c r="O1787" t="n">
        <ns0:v>406499</ns0:v>
      </ns0:c>
      <ns0:c r="P1787" t="n">
        <ns0:v>19</ns0:v>
      </ns0:c>
      <ns0:c r="Q1787">
        <ns0:f>IF(AND(L1787=1,O1787*Calculations!$B$2&lt;=Calculations!$B$10*Calculations!$B$4),1,0)</ns0:f>
        <ns0:v>0</ns0:v>
      </ns0:c>
      <ns0:c r="R1787">
        <ns0:f>IF(AND(L1787=1,O1787*Calculations!$B$2&lt;=Calculations!$B$11*Calculations!$B$4),1,0)</ns0:f>
        <ns0:v>0</ns0:v>
      </ns0:c>
    </ns0:row>
    <ns0:row r="1788">
      <ns0:c r="A1788" t="inlineStr">
        <ns0:is>
          <ns0:t>case_1787</ns0:t>
        </ns0:is>
      </ns0:c>
      <ns0:c r="B1788" t="inlineStr">
        <ns0:is>
          <ns0:t>function_0527</ns0:t>
        </ns0:is>
      </ns0:c>
      <ns0:c r="C1788" t="inlineStr">
        <ns0:is>
          <ns0:t>run_015</ns0:t>
        </ns0:is>
      </ns0:c>
      <ns0:c r="D1788" t="inlineStr">
        <ns0:is>
          <ns0:t>rustc-demangle</ns0:t>
        </ns0:is>
      </ns0:c>
      <ns0:c r="E1788" t="inlineStr">
        <ns0:is>
          <ns0:t>gemini-2.5-flash-nothinking</ns0:t>
        </ns0:is>
      </ns0:c>
      <ns0:c r="F1788" t="inlineStr">
        <ns0:is>
          <ns0:t>E0308,E0433,E0560,E0658</ns0:t>
        </ns0:is>
      </ns0:c>
      <ns0:c r="G1788" t="n">
        <ns0:v>0</ns0:v>
      </ns0:c>
      <ns0:c r="H1788" t="n">
        <ns0:v>6855</ns0:v>
      </ns0:c>
      <ns0:c r="I1788" t="n">
        <ns0:v>2949</ns0:v>
      </ns0:c>
      <ns0:c r="J1788" t="n">
        <ns0:v>9804</ns0:v>
      </ns0:c>
      <ns0:c r="K1788" t="n">
        <ns0:v>3</ns0:v>
      </ns0:c>
      <ns0:c r="L1788" t="n">
        <ns0:v>1</ns0:v>
      </ns0:c>
      <ns0:c r="M1788" t="n">
        <ns0:v>427043</ns0:v>
      </ns0:c>
      <ns0:c r="N1788" t="n">
        <ns0:v>3056</ns0:v>
      </ns0:c>
      <ns0:c r="O1788" t="n">
        <ns0:v>430099</ns0:v>
      </ns0:c>
      <ns0:c r="P1788" t="n">
        <ns0:v>13</ns0:v>
      </ns0:c>
      <ns0:c r="Q1788">
        <ns0:f>IF(AND(L1788=1,O1788*Calculations!$B$2&lt;=Calculations!$B$10*Calculations!$B$4),1,0)</ns0:f>
        <ns0:v>0</ns0:v>
      </ns0:c>
      <ns0:c r="R1788">
        <ns0:f>IF(AND(L1788=1,O1788*Calculations!$B$2&lt;=Calculations!$B$11*Calculations!$B$4),1,0)</ns0:f>
        <ns0:v>0</ns0:v>
      </ns0:c>
    </ns0:row>
    <ns0:row r="1789">
      <ns0:c r="A1789" t="inlineStr">
        <ns0:is>
          <ns0:t>case_1788</ns0:t>
        </ns0:is>
      </ns0:c>
      <ns0:c r="B1789" t="inlineStr">
        <ns0:is>
          <ns0:t>function_0527</ns0:t>
        </ns0:is>
      </ns0:c>
      <ns0:c r="C1789" t="inlineStr">
        <ns0:is>
          <ns0:t>run_015</ns0:t>
        </ns0:is>
      </ns0:c>
      <ns0:c r="D1789" t="inlineStr">
        <ns0:is>
          <ns0:t>rustc-demangle</ns0:t>
        </ns0:is>
      </ns0:c>
      <ns0:c r="E1789" t="inlineStr">
        <ns0:is>
          <ns0:t>gemini-2.5-flash-nothinking</ns0:t>
        </ns0:is>
      </ns0:c>
      <ns0:c r="F1789" t="inlineStr">
        <ns0:is>
          <ns0:t>E0433,E0562</ns0:t>
        </ns0:is>
      </ns0:c>
      <ns0:c r="G1789" t="n">
        <ns0:v>1</ns0:v>
      </ns0:c>
      <ns0:c r="H1789" t="n">
        <ns0:v>0</ns0:v>
      </ns0:c>
      <ns0:c r="I1789" t="n">
        <ns0:v>0</ns0:v>
      </ns0:c>
      <ns0:c r="J1789" t="n">
        <ns0:v>0</ns0:v>
      </ns0:c>
      <ns0:c r="K1789" t="n">
        <ns0:v>0</ns0:v>
      </ns0:c>
      <ns0:c r="L1789" t="n">
        <ns0:v>0</ns0:v>
      </ns0:c>
      <ns0:c r="M1789" t="n">
        <ns0:v>226959</ns0:v>
      </ns0:c>
      <ns0:c r="N1789" t="n">
        <ns0:v>4725</ns0:v>
      </ns0:c>
      <ns0:c r="O1789" t="n">
        <ns0:v>231684</ns0:v>
      </ns0:c>
      <ns0:c r="P1789" t="n">
        <ns0:v>20</ns0:v>
      </ns0:c>
      <ns0:c r="Q1789">
        <ns0:f>IF(AND(L1789=1,O1789*Calculations!$B$2&lt;=Calculations!$B$10*Calculations!$B$4),1,0)</ns0:f>
        <ns0:v>0</ns0:v>
      </ns0:c>
      <ns0:c r="R1789">
        <ns0:f>IF(AND(L1789=1,O1789*Calculations!$B$2&lt;=Calculations!$B$11*Calculations!$B$4),1,0)</ns0:f>
        <ns0:v>0</ns0:v>
      </ns0:c>
    </ns0:row>
    <ns0:row r="1790">
      <ns0:c r="A1790" t="inlineStr">
        <ns0:is>
          <ns0:t>case_1789</ns0:t>
        </ns0:is>
      </ns0:c>
      <ns0:c r="B1790" t="inlineStr">
        <ns0:is>
          <ns0:t>function_0527</ns0:t>
        </ns0:is>
      </ns0:c>
      <ns0:c r="C1790" t="inlineStr">
        <ns0:is>
          <ns0:t>run_015</ns0:t>
        </ns0:is>
      </ns0:c>
      <ns0:c r="D1790" t="inlineStr">
        <ns0:is>
          <ns0:t>rustc-demangle</ns0:t>
        </ns0:is>
      </ns0:c>
      <ns0:c r="E1790" t="inlineStr">
        <ns0:is>
          <ns0:t>gemini-2.5-flash-nothinking</ns0:t>
        </ns0:is>
      </ns0:c>
      <ns0:c r="F1790" t="inlineStr">
        <ns0:is>
          <ns0:t>E0277,E0369,E0433,E0658</ns0:t>
        </ns0:is>
      </ns0:c>
      <ns0:c r="G1790" t="n">
        <ns0:v>0</ns0:v>
      </ns0:c>
      <ns0:c r="H1790" t="n">
        <ns0:v>8932</ns0:v>
      </ns0:c>
      <ns0:c r="I1790" t="n">
        <ns0:v>715</ns0:v>
      </ns0:c>
      <ns0:c r="J1790" t="n">
        <ns0:v>9647</ns0:v>
      </ns0:c>
      <ns0:c r="K1790" t="n">
        <ns0:v>3</ns0:v>
      </ns0:c>
      <ns0:c r="L1790" t="n">
        <ns0:v>0</ns0:v>
      </ns0:c>
      <ns0:c r="M1790" t="n">
        <ns0:v>263850</ns0:v>
      </ns0:c>
      <ns0:c r="N1790" t="n">
        <ns0:v>5124</ns0:v>
      </ns0:c>
      <ns0:c r="O1790" t="n">
        <ns0:v>268974</ns0:v>
      </ns0:c>
      <ns0:c r="P1790" t="n">
        <ns0:v>20</ns0:v>
      </ns0:c>
      <ns0:c r="Q1790">
        <ns0:f>IF(AND(L1790=1,O1790*Calculations!$B$2&lt;=Calculations!$B$10*Calculations!$B$4),1,0)</ns0:f>
        <ns0:v>0</ns0:v>
      </ns0:c>
      <ns0:c r="R1790">
        <ns0:f>IF(AND(L1790=1,O1790*Calculations!$B$2&lt;=Calculations!$B$11*Calculations!$B$4),1,0)</ns0:f>
        <ns0:v>0</ns0:v>
      </ns0:c>
    </ns0:row>
    <ns0:row r="1791">
      <ns0:c r="A1791" t="inlineStr">
        <ns0:is>
          <ns0:t>case_1790</ns0:t>
        </ns0:is>
      </ns0:c>
      <ns0:c r="B1791" t="inlineStr">
        <ns0:is>
          <ns0:t>function_0528</ns0:t>
        </ns0:is>
      </ns0:c>
      <ns0:c r="C1791" t="inlineStr">
        <ns0:is>
          <ns0:t>run_016</ns0:t>
        </ns0:is>
      </ns0:c>
      <ns0:c r="D1791" t="inlineStr">
        <ns0:is>
          <ns0:t>ryu</ns0:t>
        </ns0:is>
      </ns0:c>
      <ns0:c r="E1791" t="inlineStr">
        <ns0:is>
          <ns0:t>gemini-2.5-flash-nothinking</ns0:t>
        </ns0:is>
      </ns0:c>
      <ns0:c r="F1791" t="inlineStr">
        <ns0:is>
          <ns0:t>E0433</ns0:t>
        </ns0:is>
      </ns0:c>
      <ns0:c r="G1791" t="n">
        <ns0:v>1</ns0:v>
      </ns0:c>
      <ns0:c r="H1791" t="n">
        <ns0:v>0</ns0:v>
      </ns0:c>
      <ns0:c r="I1791" t="n">
        <ns0:v>0</ns0:v>
      </ns0:c>
      <ns0:c r="J1791" t="n">
        <ns0:v>0</ns0:v>
      </ns0:c>
      <ns0:c r="K1791" t="n">
        <ns0:v>0</ns0:v>
      </ns0:c>
      <ns0:c r="L1791" t="n">
        <ns0:v>1</ns0:v>
      </ns0:c>
      <ns0:c r="M1791" t="n">
        <ns0:v>136064</ns0:v>
      </ns0:c>
      <ns0:c r="N1791" t="n">
        <ns0:v>2261</ns0:v>
      </ns0:c>
      <ns0:c r="O1791" t="n">
        <ns0:v>138325</ns0:v>
      </ns0:c>
      <ns0:c r="P1791" t="n">
        <ns0:v>17</ns0:v>
      </ns0:c>
      <ns0:c r="Q1791">
        <ns0:f>IF(AND(L1791=1,O1791*Calculations!$B$2&lt;=Calculations!$B$10*Calculations!$B$4),1,0)</ns0:f>
        <ns0:v>0</ns0:v>
      </ns0:c>
      <ns0:c r="R1791">
        <ns0:f>IF(AND(L1791=1,O1791*Calculations!$B$2&lt;=Calculations!$B$11*Calculations!$B$4),1,0)</ns0:f>
        <ns0:v>0</ns0:v>
      </ns0:c>
    </ns0:row>
    <ns0:row r="1792">
      <ns0:c r="A1792" t="inlineStr">
        <ns0:is>
          <ns0:t>case_1791</ns0:t>
        </ns0:is>
      </ns0:c>
      <ns0:c r="B1792" t="inlineStr">
        <ns0:is>
          <ns0:t>function_0528</ns0:t>
        </ns0:is>
      </ns0:c>
      <ns0:c r="C1792" t="inlineStr">
        <ns0:is>
          <ns0:t>run_016</ns0:t>
        </ns0:is>
      </ns0:c>
      <ns0:c r="D1792" t="inlineStr">
        <ns0:is>
          <ns0:t>ryu</ns0:t>
        </ns0:is>
      </ns0:c>
      <ns0:c r="E1792" t="inlineStr">
        <ns0:is>
          <ns0:t>gemini-2.5-flash-nothinking</ns0:t>
        </ns0:is>
      </ns0:c>
      <ns0:c r="F1792" t="inlineStr">
        <ns0:is>
          <ns0:t>E0433</ns0:t>
        </ns0:is>
      </ns0:c>
      <ns0:c r="G1792" t="n">
        <ns0:v>1</ns0:v>
      </ns0:c>
      <ns0:c r="H1792" t="n">
        <ns0:v>0</ns0:v>
      </ns0:c>
      <ns0:c r="I1792" t="n">
        <ns0:v>0</ns0:v>
      </ns0:c>
      <ns0:c r="J1792" t="n">
        <ns0:v>0</ns0:v>
      </ns0:c>
      <ns0:c r="K1792" t="n">
        <ns0:v>0</ns0:v>
      </ns0:c>
      <ns0:c r="L1792" t="n">
        <ns0:v>1</ns0:v>
      </ns0:c>
      <ns0:c r="M1792" t="n">
        <ns0:v>36448</ns0:v>
      </ns0:c>
      <ns0:c r="N1792" t="n">
        <ns0:v>787</ns0:v>
      </ns0:c>
      <ns0:c r="O1792" t="n">
        <ns0:v>37235</ns0:v>
      </ns0:c>
      <ns0:c r="P1792" t="n">
        <ns0:v>5</ns0:v>
      </ns0:c>
      <ns0:c r="Q1792">
        <ns0:f>IF(AND(L1792=1,O1792*Calculations!$B$2&lt;=Calculations!$B$10*Calculations!$B$4),1,0)</ns0:f>
        <ns0:v>0</ns0:v>
      </ns0:c>
      <ns0:c r="R1792">
        <ns0:f>IF(AND(L1792=1,O1792*Calculations!$B$2&lt;=Calculations!$B$11*Calculations!$B$4),1,0)</ns0:f>
        <ns0:v>1</ns0:v>
      </ns0:c>
    </ns0:row>
    <ns0:row r="1793">
      <ns0:c r="A1793" t="inlineStr">
        <ns0:is>
          <ns0:t>case_1792</ns0:t>
        </ns0:is>
      </ns0:c>
      <ns0:c r="B1793" t="inlineStr">
        <ns0:is>
          <ns0:t>function_0529</ns0:t>
        </ns0:is>
      </ns0:c>
      <ns0:c r="C1793" t="inlineStr">
        <ns0:is>
          <ns0:t>run_016</ns0:t>
        </ns0:is>
      </ns0:c>
      <ns0:c r="D1793" t="inlineStr">
        <ns0:is>
          <ns0:t>ryu</ns0:t>
        </ns0:is>
      </ns0:c>
      <ns0:c r="E1793" t="inlineStr">
        <ns0:is>
          <ns0:t>gemini-2.5-flash-nothinking</ns0:t>
        </ns0:is>
      </ns0:c>
      <ns0:c r="F1793" t="inlineStr">
        <ns0:is>
          <ns0:t>E0599</ns0:t>
        </ns0:is>
      </ns0:c>
      <ns0:c r="G1793" t="n">
        <ns0:v>1</ns0:v>
      </ns0:c>
      <ns0:c r="H1793" t="n">
        <ns0:v>1622</ns0:v>
      </ns0:c>
      <ns0:c r="I1793" t="n">
        <ns0:v>88</ns0:v>
      </ns0:c>
      <ns0:c r="J1793" t="n">
        <ns0:v>1710</ns0:v>
      </ns0:c>
      <ns0:c r="K1793" t="n">
        <ns0:v>1</ns0:v>
      </ns0:c>
      <ns0:c r="L1793" t="n">
        <ns0:v>1</ns0:v>
      </ns0:c>
      <ns0:c r="M1793" t="n">
        <ns0:v>21212</ns0:v>
      </ns0:c>
      <ns0:c r="N1793" t="n">
        <ns0:v>276</ns0:v>
      </ns0:c>
      <ns0:c r="O1793" t="n">
        <ns0:v>21488</ns0:v>
      </ns0:c>
      <ns0:c r="P1793" t="n">
        <ns0:v>3</ns0:v>
      </ns0:c>
      <ns0:c r="Q1793">
        <ns0:f>IF(AND(L1793=1,O1793*Calculations!$B$2&lt;=Calculations!$B$10*Calculations!$B$4),1,0)</ns0:f>
        <ns0:v>1</ns0:v>
      </ns0:c>
      <ns0:c r="R1793">
        <ns0:f>IF(AND(L1793=1,O1793*Calculations!$B$2&lt;=Calculations!$B$11*Calculations!$B$4),1,0)</ns0:f>
        <ns0:v>1</ns0:v>
      </ns0:c>
    </ns0:row>
    <ns0:row r="1794">
      <ns0:c r="A1794" t="inlineStr">
        <ns0:is>
          <ns0:t>case_1793</ns0:t>
        </ns0:is>
      </ns0:c>
      <ns0:c r="B1794" t="inlineStr">
        <ns0:is>
          <ns0:t>function_0530</ns0:t>
        </ns0:is>
      </ns0:c>
      <ns0:c r="C1794" t="inlineStr">
        <ns0:is>
          <ns0:t>run_016</ns0:t>
        </ns0:is>
      </ns0:c>
      <ns0:c r="D1794" t="inlineStr">
        <ns0:is>
          <ns0:t>ryu</ns0:t>
        </ns0:is>
      </ns0:c>
      <ns0:c r="E1794" t="inlineStr">
        <ns0:is>
          <ns0:t>gemini-2.5-flash-nothinking</ns0:t>
        </ns0:is>
      </ns0:c>
      <ns0:c r="F1794" t="inlineStr">
        <ns0:is>
          <ns0:t>E0433</ns0:t>
        </ns0:is>
      </ns0:c>
      <ns0:c r="G1794" t="n">
        <ns0:v>1</ns0:v>
      </ns0:c>
      <ns0:c r="H1794" t="n">
        <ns0:v>8613</ns0:v>
      </ns0:c>
      <ns0:c r="I1794" t="n">
        <ns0:v>1191</ns0:v>
      </ns0:c>
      <ns0:c r="J1794" t="n">
        <ns0:v>9804</ns0:v>
      </ns0:c>
      <ns0:c r="K1794" t="n">
        <ns0:v>8</ns0:v>
      </ns0:c>
      <ns0:c r="L1794" t="n">
        <ns0:v>1</ns0:v>
      </ns0:c>
      <ns0:c r="M1794" t="n">
        <ns0:v>39854</ns0:v>
      </ns0:c>
      <ns0:c r="N1794" t="n">
        <ns0:v>347</ns0:v>
      </ns0:c>
      <ns0:c r="O1794" t="n">
        <ns0:v>40201</ns0:v>
      </ns0:c>
      <ns0:c r="P1794" t="n">
        <ns0:v>5</ns0:v>
      </ns0:c>
      <ns0:c r="Q1794">
        <ns0:f>IF(AND(L1794=1,O1794*Calculations!$B$2&lt;=Calculations!$B$10*Calculations!$B$4),1,0)</ns0:f>
        <ns0:v>0</ns0:v>
      </ns0:c>
      <ns0:c r="R1794">
        <ns0:f>IF(AND(L1794=1,O1794*Calculations!$B$2&lt;=Calculations!$B$11*Calculations!$B$4),1,0)</ns0:f>
        <ns0:v>1</ns0:v>
      </ns0:c>
    </ns0:row>
    <ns0:row r="1795">
      <ns0:c r="A1795" t="inlineStr">
        <ns0:is>
          <ns0:t>case_1794</ns0:t>
        </ns0:is>
      </ns0:c>
      <ns0:c r="B1795" t="inlineStr">
        <ns0:is>
          <ns0:t>function_0531</ns0:t>
        </ns0:is>
      </ns0:c>
      <ns0:c r="C1795" t="inlineStr">
        <ns0:is>
          <ns0:t>run_016</ns0:t>
        </ns0:is>
      </ns0:c>
      <ns0:c r="D1795" t="inlineStr">
        <ns0:is>
          <ns0:t>ryu</ns0:t>
        </ns0:is>
      </ns0:c>
      <ns0:c r="E1795" t="inlineStr">
        <ns0:is>
          <ns0:t>gemini-2.5-flash-nothinking</ns0:t>
        </ns0:is>
      </ns0:c>
      <ns0:c r="F1795" t="inlineStr">
        <ns0:is>
          <ns0:t>E0433</ns0:t>
        </ns0:is>
      </ns0:c>
      <ns0:c r="G1795" t="n">
        <ns0:v>1</ns0:v>
      </ns0:c>
      <ns0:c r="H1795" t="n">
        <ns0:v>0</ns0:v>
      </ns0:c>
      <ns0:c r="I1795" t="n">
        <ns0:v>0</ns0:v>
      </ns0:c>
      <ns0:c r="J1795" t="n">
        <ns0:v>0</ns0:v>
      </ns0:c>
      <ns0:c r="K1795" t="n">
        <ns0:v>0</ns0:v>
      </ns0:c>
      <ns0:c r="L1795" t="n">
        <ns0:v>1</ns0:v>
      </ns0:c>
      <ns0:c r="M1795" t="n">
        <ns0:v>20321</ns0:v>
      </ns0:c>
      <ns0:c r="N1795" t="n">
        <ns0:v>395</ns0:v>
      </ns0:c>
      <ns0:c r="O1795" t="n">
        <ns0:v>20716</ns0:v>
      </ns0:c>
      <ns0:c r="P1795" t="n">
        <ns0:v>3</ns0:v>
      </ns0:c>
      <ns0:c r="Q1795">
        <ns0:f>IF(AND(L1795=1,O1795*Calculations!$B$2&lt;=Calculations!$B$10*Calculations!$B$4),1,0)</ns0:f>
        <ns0:v>1</ns0:v>
      </ns0:c>
      <ns0:c r="R1795">
        <ns0:f>IF(AND(L1795=1,O1795*Calculations!$B$2&lt;=Calculations!$B$11*Calculations!$B$4),1,0)</ns0:f>
        <ns0:v>1</ns0:v>
      </ns0:c>
    </ns0:row>
    <ns0:row r="1796">
      <ns0:c r="A1796" t="inlineStr">
        <ns0:is>
          <ns0:t>case_1795</ns0:t>
        </ns0:is>
      </ns0:c>
      <ns0:c r="B1796" t="inlineStr">
        <ns0:is>
          <ns0:t>function_0532</ns0:t>
        </ns0:is>
      </ns0:c>
      <ns0:c r="C1796" t="inlineStr">
        <ns0:is>
          <ns0:t>run_016</ns0:t>
        </ns0:is>
      </ns0:c>
      <ns0:c r="D1796" t="inlineStr">
        <ns0:is>
          <ns0:t>ryu</ns0:t>
        </ns0:is>
      </ns0:c>
      <ns0:c r="E1796" t="inlineStr">
        <ns0:is>
          <ns0:t>gemini-2.5-flash-nothinking</ns0:t>
        </ns0:is>
      </ns0:c>
      <ns0:c r="F1796" t="inlineStr">
        <ns0:is>
          <ns0:t>E0433</ns0:t>
        </ns0:is>
      </ns0:c>
      <ns0:c r="G1796" t="n">
        <ns0:v>1</ns0:v>
      </ns0:c>
      <ns0:c r="H1796" t="n">
        <ns0:v>0</ns0:v>
      </ns0:c>
      <ns0:c r="I1796" t="n">
        <ns0:v>0</ns0:v>
      </ns0:c>
      <ns0:c r="J1796" t="n">
        <ns0:v>0</ns0:v>
      </ns0:c>
      <ns0:c r="K1796" t="n">
        <ns0:v>0</ns0:v>
      </ns0:c>
      <ns0:c r="L1796" t="n">
        <ns0:v>1</ns0:v>
      </ns0:c>
      <ns0:c r="M1796" t="n">
        <ns0:v>34891</ns0:v>
      </ns0:c>
      <ns0:c r="N1796" t="n">
        <ns0:v>540</ns0:v>
      </ns0:c>
      <ns0:c r="O1796" t="n">
        <ns0:v>35431</ns0:v>
      </ns0:c>
      <ns0:c r="P1796" t="n">
        <ns0:v>4</ns0:v>
      </ns0:c>
      <ns0:c r="Q1796">
        <ns0:f>IF(AND(L1796=1,O1796*Calculations!$B$2&lt;=Calculations!$B$10*Calculations!$B$4),1,0)</ns0:f>
        <ns0:v>0</ns0:v>
      </ns0:c>
      <ns0:c r="R1796">
        <ns0:f>IF(AND(L1796=1,O1796*Calculations!$B$2&lt;=Calculations!$B$11*Calculations!$B$4),1,0)</ns0:f>
        <ns0:v>1</ns0:v>
      </ns0:c>
    </ns0:row>
    <ns0:row r="1797">
      <ns0:c r="A1797" t="inlineStr">
        <ns0:is>
          <ns0:t>case_1796</ns0:t>
        </ns0:is>
      </ns0:c>
      <ns0:c r="B1797" t="inlineStr">
        <ns0:is>
          <ns0:t>function_0533</ns0:t>
        </ns0:is>
      </ns0:c>
      <ns0:c r="C1797" t="inlineStr">
        <ns0:is>
          <ns0:t>run_016</ns0:t>
        </ns0:is>
      </ns0:c>
      <ns0:c r="D1797" t="inlineStr">
        <ns0:is>
          <ns0:t>ryu</ns0:t>
        </ns0:is>
      </ns0:c>
      <ns0:c r="E1797" t="inlineStr">
        <ns0:is>
          <ns0:t>gemini-2.5-flash-nothinking</ns0:t>
        </ns0:is>
      </ns0:c>
      <ns0:c r="F1797" t="inlineStr">
        <ns0:is>
          <ns0:t>E0432</ns0:t>
        </ns0:is>
      </ns0:c>
      <ns0:c r="G1797" t="n">
        <ns0:v>1</ns0:v>
      </ns0:c>
      <ns0:c r="H1797" t="n">
        <ns0:v>0</ns0:v>
      </ns0:c>
      <ns0:c r="I1797" t="n">
        <ns0:v>0</ns0:v>
      </ns0:c>
      <ns0:c r="J1797" t="n">
        <ns0:v>0</ns0:v>
      </ns0:c>
      <ns0:c r="K1797" t="n">
        <ns0:v>0</ns0:v>
      </ns0:c>
      <ns0:c r="L1797" t="n">
        <ns0:v>1</ns0:v>
      </ns0:c>
      <ns0:c r="M1797" t="n">
        <ns0:v>22745</ns0:v>
      </ns0:c>
      <ns0:c r="N1797" t="n">
        <ns0:v>326</ns0:v>
      </ns0:c>
      <ns0:c r="O1797" t="n">
        <ns0:v>23071</ns0:v>
      </ns0:c>
      <ns0:c r="P1797" t="n">
        <ns0:v>3</ns0:v>
      </ns0:c>
      <ns0:c r="Q1797">
        <ns0:f>IF(AND(L1797=1,O1797*Calculations!$B$2&lt;=Calculations!$B$10*Calculations!$B$4),1,0)</ns0:f>
        <ns0:v>1</ns0:v>
      </ns0:c>
      <ns0:c r="R1797">
        <ns0:f>IF(AND(L1797=1,O1797*Calculations!$B$2&lt;=Calculations!$B$11*Calculations!$B$4),1,0)</ns0:f>
        <ns0:v>1</ns0:v>
      </ns0:c>
    </ns0:row>
    <ns0:row r="1798">
      <ns0:c r="A1798" t="inlineStr">
        <ns0:is>
          <ns0:t>case_1797</ns0:t>
        </ns0:is>
      </ns0:c>
      <ns0:c r="B1798" t="inlineStr">
        <ns0:is>
          <ns0:t>function_0533</ns0:t>
        </ns0:is>
      </ns0:c>
      <ns0:c r="C1798" t="inlineStr">
        <ns0:is>
          <ns0:t>run_016</ns0:t>
        </ns0:is>
      </ns0:c>
      <ns0:c r="D1798" t="inlineStr">
        <ns0:is>
          <ns0:t>ryu</ns0:t>
        </ns0:is>
      </ns0:c>
      <ns0:c r="E1798" t="inlineStr">
        <ns0:is>
          <ns0:t>gemini-2.5-flash-nothinking</ns0:t>
        </ns0:is>
      </ns0:c>
      <ns0:c r="F1798" t="inlineStr">
        <ns0:is>
          <ns0:t>E0433</ns0:t>
        </ns0:is>
      </ns0:c>
      <ns0:c r="G1798" t="n">
        <ns0:v>0</ns0:v>
      </ns0:c>
      <ns0:c r="H1798" t="n">
        <ns0:v>0</ns0:v>
      </ns0:c>
      <ns0:c r="I1798" t="n">
        <ns0:v>0</ns0:v>
      </ns0:c>
      <ns0:c r="J1798" t="n">
        <ns0:v>0</ns0:v>
      </ns0:c>
      <ns0:c r="K1798" t="n">
        <ns0:v>0</ns0:v>
      </ns0:c>
      <ns0:c r="L1798" t="n">
        <ns0:v>0</ns0:v>
      </ns0:c>
      <ns0:c r="M1798" t="n">
        <ns0:v>228359</ns0:v>
      </ns0:c>
      <ns0:c r="N1798" t="n">
        <ns0:v>3576</ns0:v>
      </ns0:c>
      <ns0:c r="O1798" t="n">
        <ns0:v>231935</ns0:v>
      </ns0:c>
      <ns0:c r="P1798" t="n">
        <ns0:v>20</ns0:v>
      </ns0:c>
      <ns0:c r="Q1798">
        <ns0:f>IF(AND(L1798=1,O1798*Calculations!$B$2&lt;=Calculations!$B$10*Calculations!$B$4),1,0)</ns0:f>
        <ns0:v>0</ns0:v>
      </ns0:c>
      <ns0:c r="R1798">
        <ns0:f>IF(AND(L1798=1,O1798*Calculations!$B$2&lt;=Calculations!$B$11*Calculations!$B$4),1,0)</ns0:f>
        <ns0:v>0</ns0:v>
      </ns0:c>
    </ns0:row>
    <ns0:row r="1799">
      <ns0:c r="A1799" t="inlineStr">
        <ns0:is>
          <ns0:t>case_1798</ns0:t>
        </ns0:is>
      </ns0:c>
      <ns0:c r="B1799" t="inlineStr">
        <ns0:is>
          <ns0:t>function_0534</ns0:t>
        </ns0:is>
      </ns0:c>
      <ns0:c r="C1799" t="inlineStr">
        <ns0:is>
          <ns0:t>run_016</ns0:t>
        </ns0:is>
      </ns0:c>
      <ns0:c r="D1799" t="inlineStr">
        <ns0:is>
          <ns0:t>ryu</ns0:t>
        </ns0:is>
      </ns0:c>
      <ns0:c r="E1799" t="inlineStr">
        <ns0:is>
          <ns0:t>gemini-2.5-flash-nothinking</ns0:t>
        </ns0:is>
      </ns0:c>
      <ns0:c r="F1799" t="inlineStr">
        <ns0:is>
          <ns0:t>E0432,E0433</ns0:t>
        </ns0:is>
      </ns0:c>
      <ns0:c r="G1799" t="n">
        <ns0:v>0</ns0:v>
      </ns0:c>
      <ns0:c r="H1799" t="n">
        <ns0:v>3042</ns0:v>
      </ns0:c>
      <ns0:c r="I1799" t="n">
        <ns0:v>534</ns0:v>
      </ns0:c>
      <ns0:c r="J1799" t="n">
        <ns0:v>3576</ns0:v>
      </ns0:c>
      <ns0:c r="K1799" t="n">
        <ns0:v>3</ns0:v>
      </ns0:c>
      <ns0:c r="L1799" t="n">
        <ns0:v>0</ns0:v>
      </ns0:c>
      <ns0:c r="M1799" t="n">
        <ns0:v>341984</ns0:v>
      </ns0:c>
      <ns0:c r="N1799" t="n">
        <ns0:v>2835</ns0:v>
      </ns0:c>
      <ns0:c r="O1799" t="n">
        <ns0:v>344819</ns0:v>
      </ns0:c>
      <ns0:c r="P1799" t="n">
        <ns0:v>20</ns0:v>
      </ns0:c>
      <ns0:c r="Q1799">
        <ns0:f>IF(AND(L1799=1,O1799*Calculations!$B$2&lt;=Calculations!$B$10*Calculations!$B$4),1,0)</ns0:f>
        <ns0:v>0</ns0:v>
      </ns0:c>
      <ns0:c r="R1799">
        <ns0:f>IF(AND(L1799=1,O1799*Calculations!$B$2&lt;=Calculations!$B$11*Calculations!$B$4),1,0)</ns0:f>
        <ns0:v>0</ns0:v>
      </ns0:c>
    </ns0:row>
    <ns0:row r="1800">
      <ns0:c r="A1800" t="inlineStr">
        <ns0:is>
          <ns0:t>case_1799</ns0:t>
        </ns0:is>
      </ns0:c>
      <ns0:c r="B1800" t="inlineStr">
        <ns0:is>
          <ns0:t>function_0534</ns0:t>
        </ns0:is>
      </ns0:c>
      <ns0:c r="C1800" t="inlineStr">
        <ns0:is>
          <ns0:t>run_016</ns0:t>
        </ns0:is>
      </ns0:c>
      <ns0:c r="D1800" t="inlineStr">
        <ns0:is>
          <ns0:t>ryu</ns0:t>
        </ns0:is>
      </ns0:c>
      <ns0:c r="E1800" t="inlineStr">
        <ns0:is>
          <ns0:t>gemini-2.5-flash-nothinking</ns0:t>
        </ns0:is>
      </ns0:c>
      <ns0:c r="F1800" t="inlineStr">
        <ns0:is>
          <ns0:t>E0432,E0433</ns0:t>
        </ns0:is>
      </ns0:c>
      <ns0:c r="G1800" t="n">
        <ns0:v>0</ns0:v>
      </ns0:c>
      <ns0:c r="H1800" t="n">
        <ns0:v>3112</ns0:v>
      </ns0:c>
      <ns0:c r="I1800" t="n">
        <ns0:v>534</ns0:v>
      </ns0:c>
      <ns0:c r="J1800" t="n">
        <ns0:v>3646</ns0:v>
      </ns0:c>
      <ns0:c r="K1800" t="n">
        <ns0:v>3</ns0:v>
      </ns0:c>
      <ns0:c r="L1800" t="n">
        <ns0:v>0</ns0:v>
      </ns0:c>
      <ns0:c r="M1800" t="n">
        <ns0:v>57512</ns0:v>
      </ns0:c>
      <ns0:c r="N1800" t="n">
        <ns0:v>1108</ns0:v>
      </ns0:c>
      <ns0:c r="O1800" t="n">
        <ns0:v>58620</ns0:v>
      </ns0:c>
      <ns0:c r="P1800" t="n">
        <ns0:v>6</ns0:v>
      </ns0:c>
      <ns0:c r="Q1800">
        <ns0:f>IF(AND(L1800=1,O1800*Calculations!$B$2&lt;=Calculations!$B$10*Calculations!$B$4),1,0)</ns0:f>
        <ns0:v>0</ns0:v>
      </ns0:c>
      <ns0:c r="R1800">
        <ns0:f>IF(AND(L1800=1,O1800*Calculations!$B$2&lt;=Calculations!$B$11*Calculations!$B$4),1,0)</ns0:f>
        <ns0:v>0</ns0:v>
      </ns0:c>
    </ns0:row>
    <ns0:row r="1801">
      <ns0:c r="A1801" t="inlineStr">
        <ns0:is>
          <ns0:t>case_1800</ns0:t>
        </ns0:is>
      </ns0:c>
      <ns0:c r="B1801" t="inlineStr">
        <ns0:is>
          <ns0:t>function_0535</ns0:t>
        </ns0:is>
      </ns0:c>
      <ns0:c r="C1801" t="inlineStr">
        <ns0:is>
          <ns0:t>run_016</ns0:t>
        </ns0:is>
      </ns0:c>
      <ns0:c r="D1801" t="inlineStr">
        <ns0:is>
          <ns0:t>ryu</ns0:t>
        </ns0:is>
      </ns0:c>
      <ns0:c r="E1801" t="inlineStr">
        <ns0:is>
          <ns0:t>gemini-2.5-flash-nothinking</ns0:t>
        </ns0:is>
      </ns0:c>
      <ns0:c r="F1801" t="inlineStr">
        <ns0:is>
          <ns0:t>E0432,E0433</ns0:t>
        </ns0:is>
      </ns0:c>
      <ns0:c r="G1801" t="n">
        <ns0:v>0</ns0:v>
      </ns0:c>
      <ns0:c r="H1801" t="n">
        <ns0:v>3080</ns0:v>
      </ns0:c>
      <ns0:c r="I1801" t="n">
        <ns0:v>585</ns0:v>
      </ns0:c>
      <ns0:c r="J1801" t="n">
        <ns0:v>3665</ns0:v>
      </ns0:c>
      <ns0:c r="K1801" t="n">
        <ns0:v>3</ns0:v>
      </ns0:c>
      <ns0:c r="L1801" t="n">
        <ns0:v>1</ns0:v>
      </ns0:c>
      <ns0:c r="M1801" t="n">
        <ns0:v>76127</ns0:v>
      </ns0:c>
      <ns0:c r="N1801" t="n">
        <ns0:v>1501</ns0:v>
      </ns0:c>
      <ns0:c r="O1801" t="n">
        <ns0:v>77628</ns0:v>
      </ns0:c>
      <ns0:c r="P1801" t="n">
        <ns0:v>8</ns0:v>
      </ns0:c>
      <ns0:c r="Q1801">
        <ns0:f>IF(AND(L1801=1,O1801*Calculations!$B$2&lt;=Calculations!$B$10*Calculations!$B$4),1,0)</ns0:f>
        <ns0:v>0</ns0:v>
      </ns0:c>
      <ns0:c r="R1801">
        <ns0:f>IF(AND(L1801=1,O1801*Calculations!$B$2&lt;=Calculations!$B$11*Calculations!$B$4),1,0)</ns0:f>
        <ns0:v>0</ns0:v>
      </ns0:c>
    </ns0:row>
    <ns0:row r="1802">
      <ns0:c r="A1802" t="inlineStr">
        <ns0:is>
          <ns0:t>case_1801</ns0:t>
        </ns0:is>
      </ns0:c>
      <ns0:c r="B1802" t="inlineStr">
        <ns0:is>
          <ns0:t>function_0535</ns0:t>
        </ns0:is>
      </ns0:c>
      <ns0:c r="C1802" t="inlineStr">
        <ns0:is>
          <ns0:t>run_016</ns0:t>
        </ns0:is>
      </ns0:c>
      <ns0:c r="D1802" t="inlineStr">
        <ns0:is>
          <ns0:t>ryu</ns0:t>
        </ns0:is>
      </ns0:c>
      <ns0:c r="E1802" t="inlineStr">
        <ns0:is>
          <ns0:t>gemini-2.5-flash-nothinking</ns0:t>
        </ns0:is>
      </ns0:c>
      <ns0:c r="F1802" t="inlineStr">
        <ns0:is>
          <ns0:t>E0432,E0433</ns0:t>
        </ns0:is>
      </ns0:c>
      <ns0:c r="G1802" t="n">
        <ns0:v>0</ns0:v>
      </ns0:c>
      <ns0:c r="H1802" t="n">
        <ns0:v>0</ns0:v>
      </ns0:c>
      <ns0:c r="I1802" t="n">
        <ns0:v>0</ns0:v>
      </ns0:c>
      <ns0:c r="J1802" t="n">
        <ns0:v>0</ns0:v>
      </ns0:c>
      <ns0:c r="K1802" t="n">
        <ns0:v>0</ns0:v>
      </ns0:c>
      <ns0:c r="L1802" t="n">
        <ns0:v>1</ns0:v>
      </ns0:c>
      <ns0:c r="M1802" t="n">
        <ns0:v>206263</ns0:v>
      </ns0:c>
      <ns0:c r="N1802" t="n">
        <ns0:v>1905</ns0:v>
      </ns0:c>
      <ns0:c r="O1802" t="n">
        <ns0:v>208168</ns0:v>
      </ns0:c>
      <ns0:c r="P1802" t="n">
        <ns0:v>14</ns0:v>
      </ns0:c>
      <ns0:c r="Q1802">
        <ns0:f>IF(AND(L1802=1,O1802*Calculations!$B$2&lt;=Calculations!$B$10*Calculations!$B$4),1,0)</ns0:f>
        <ns0:v>0</ns0:v>
      </ns0:c>
      <ns0:c r="R1802">
        <ns0:f>IF(AND(L1802=1,O1802*Calculations!$B$2&lt;=Calculations!$B$11*Calculations!$B$4),1,0)</ns0:f>
        <ns0:v>0</ns0:v>
      </ns0:c>
    </ns0:row>
    <ns0:row r="1803">
      <ns0:c r="A1803" t="inlineStr">
        <ns0:is>
          <ns0:t>case_1802</ns0:t>
        </ns0:is>
      </ns0:c>
      <ns0:c r="B1803" t="inlineStr">
        <ns0:is>
          <ns0:t>function_0536</ns0:t>
        </ns0:is>
      </ns0:c>
      <ns0:c r="C1803" t="inlineStr">
        <ns0:is>
          <ns0:t>run_016</ns0:t>
        </ns0:is>
      </ns0:c>
      <ns0:c r="D1803" t="inlineStr">
        <ns0:is>
          <ns0:t>ryu</ns0:t>
        </ns0:is>
      </ns0:c>
      <ns0:c r="E1803" t="inlineStr">
        <ns0:is>
          <ns0:t>gemini-2.5-flash-nothinking</ns0:t>
        </ns0:is>
      </ns0:c>
      <ns0:c r="F1803" t="inlineStr">
        <ns0:is>
          <ns0:t>E0308</ns0:t>
        </ns0:is>
      </ns0:c>
      <ns0:c r="G1803" t="n">
        <ns0:v>0</ns0:v>
      </ns0:c>
      <ns0:c r="H1803" t="n">
        <ns0:v>6182</ns0:v>
      </ns0:c>
      <ns0:c r="I1803" t="n">
        <ns0:v>1461</ns0:v>
      </ns0:c>
      <ns0:c r="J1803" t="n">
        <ns0:v>7643</ns0:v>
      </ns0:c>
      <ns0:c r="K1803" t="n">
        <ns0:v>6</ns0:v>
      </ns0:c>
      <ns0:c r="L1803" t="n">
        <ns0:v>0</ns0:v>
      </ns0:c>
      <ns0:c r="M1803" t="n">
        <ns0:v>146432</ns0:v>
      </ns0:c>
      <ns0:c r="N1803" t="n">
        <ns0:v>9495</ns0:v>
      </ns0:c>
      <ns0:c r="O1803" t="n">
        <ns0:v>155927</ns0:v>
      </ns0:c>
      <ns0:c r="P1803" t="n">
        <ns0:v>11</ns0:v>
      </ns0:c>
      <ns0:c r="Q1803">
        <ns0:f>IF(AND(L1803=1,O1803*Calculations!$B$2&lt;=Calculations!$B$10*Calculations!$B$4),1,0)</ns0:f>
        <ns0:v>0</ns0:v>
      </ns0:c>
      <ns0:c r="R1803">
        <ns0:f>IF(AND(L1803=1,O1803*Calculations!$B$2&lt;=Calculations!$B$11*Calculations!$B$4),1,0)</ns0:f>
        <ns0:v>0</ns0:v>
      </ns0:c>
    </ns0:row>
    <ns0:row r="1804">
      <ns0:c r="A1804" t="inlineStr">
        <ns0:is>
          <ns0:t>case_1803</ns0:t>
        </ns0:is>
      </ns0:c>
      <ns0:c r="B1804" t="inlineStr">
        <ns0:is>
          <ns0:t>function_0536</ns0:t>
        </ns0:is>
      </ns0:c>
      <ns0:c r="C1804" t="inlineStr">
        <ns0:is>
          <ns0:t>run_016</ns0:t>
        </ns0:is>
      </ns0:c>
      <ns0:c r="D1804" t="inlineStr">
        <ns0:is>
          <ns0:t>ryu</ns0:t>
        </ns0:is>
      </ns0:c>
      <ns0:c r="E1804" t="inlineStr">
        <ns0:is>
          <ns0:t>gemini-2.5-flash-nothinking</ns0:t>
        </ns0:is>
      </ns0:c>
      <ns0:c r="F1804" t="inlineStr">
        <ns0:is>
          <ns0:t>E0433</ns0:t>
        </ns0:is>
      </ns0:c>
      <ns0:c r="G1804" t="n">
        <ns0:v>1</ns0:v>
      </ns0:c>
      <ns0:c r="H1804" t="n">
        <ns0:v>0</ns0:v>
      </ns0:c>
      <ns0:c r="I1804" t="n">
        <ns0:v>0</ns0:v>
      </ns0:c>
      <ns0:c r="J1804" t="n">
        <ns0:v>0</ns0:v>
      </ns0:c>
      <ns0:c r="K1804" t="n">
        <ns0:v>0</ns0:v>
      </ns0:c>
      <ns0:c r="L1804" t="n">
        <ns0:v>1</ns0:v>
      </ns0:c>
      <ns0:c r="M1804" t="n">
        <ns0:v>42193</ns0:v>
      </ns0:c>
      <ns0:c r="N1804" t="n">
        <ns0:v>253</ns0:v>
      </ns0:c>
      <ns0:c r="O1804" t="n">
        <ns0:v>42446</ns0:v>
      </ns0:c>
      <ns0:c r="P1804" t="n">
        <ns0:v>5</ns0:v>
      </ns0:c>
      <ns0:c r="Q1804">
        <ns0:f>IF(AND(L1804=1,O1804*Calculations!$B$2&lt;=Calculations!$B$10*Calculations!$B$4),1,0)</ns0:f>
        <ns0:v>0</ns0:v>
      </ns0:c>
      <ns0:c r="R1804">
        <ns0:f>IF(AND(L1804=1,O1804*Calculations!$B$2&lt;=Calculations!$B$11*Calculations!$B$4),1,0)</ns0:f>
        <ns0:v>1</ns0:v>
      </ns0:c>
    </ns0:row>
    <ns0:row r="1805">
      <ns0:c r="A1805" t="inlineStr">
        <ns0:is>
          <ns0:t>case_1804</ns0:t>
        </ns0:is>
      </ns0:c>
      <ns0:c r="B1805" t="inlineStr">
        <ns0:is>
          <ns0:t>function_0537</ns0:t>
        </ns0:is>
      </ns0:c>
      <ns0:c r="C1805" t="inlineStr">
        <ns0:is>
          <ns0:t>run_017</ns0:t>
        </ns0:is>
      </ns0:c>
      <ns0:c r="D1805" t="inlineStr">
        <ns0:is>
          <ns0:t>semver</ns0:t>
        </ns0:is>
      </ns0:c>
      <ns0:c r="E1805" t="inlineStr">
        <ns0:is>
          <ns0:t>gemini-2.5-flash-nothinking</ns0:t>
        </ns0:is>
      </ns0:c>
      <ns0:c r="F1805" t="inlineStr">
        <ns0:is>
          <ns0:t>E0277,E0599</ns0:t>
        </ns0:is>
      </ns0:c>
      <ns0:c r="G1805" t="n">
        <ns0:v>0</ns0:v>
      </ns0:c>
      <ns0:c r="H1805" t="n">
        <ns0:v>13369</ns0:v>
      </ns0:c>
      <ns0:c r="I1805" t="n">
        <ns0:v>1862</ns0:v>
      </ns0:c>
      <ns0:c r="J1805" t="n">
        <ns0:v>15231</ns0:v>
      </ns0:c>
      <ns0:c r="K1805" t="n">
        <ns0:v>12</ns0:v>
      </ns0:c>
      <ns0:c r="L1805" t="n">
        <ns0:v>0</ns0:v>
      </ns0:c>
      <ns0:c r="M1805" t="n">
        <ns0:v>697551</ns0:v>
      </ns0:c>
      <ns0:c r="N1805" t="n">
        <ns0:v>16387</ns0:v>
      </ns0:c>
      <ns0:c r="O1805" t="n">
        <ns0:v>713938</ns0:v>
      </ns0:c>
      <ns0:c r="P1805" t="n">
        <ns0:v>23</ns0:v>
      </ns0:c>
      <ns0:c r="Q1805">
        <ns0:f>IF(AND(L1805=1,O1805*Calculations!$B$2&lt;=Calculations!$B$10*Calculations!$B$4),1,0)</ns0:f>
        <ns0:v>0</ns0:v>
      </ns0:c>
      <ns0:c r="R1805">
        <ns0:f>IF(AND(L1805=1,O1805*Calculations!$B$2&lt;=Calculations!$B$11*Calculations!$B$4),1,0)</ns0:f>
        <ns0:v>0</ns0:v>
      </ns0:c>
    </ns0:row>
    <ns0:row r="1806">
      <ns0:c r="A1806" t="inlineStr">
        <ns0:is>
          <ns0:t>case_1805</ns0:t>
        </ns0:is>
      </ns0:c>
      <ns0:c r="B1806" t="inlineStr">
        <ns0:is>
          <ns0:t>function_0537</ns0:t>
        </ns0:is>
      </ns0:c>
      <ns0:c r="C1806" t="inlineStr">
        <ns0:is>
          <ns0:t>run_017</ns0:t>
        </ns0:is>
      </ns0:c>
      <ns0:c r="D1806" t="inlineStr">
        <ns0:is>
          <ns0:t>semver</ns0:t>
        </ns0:is>
      </ns0:c>
      <ns0:c r="E1806" t="inlineStr">
        <ns0:is>
          <ns0:t>gemini-2.5-flash-nothinking</ns0:t>
        </ns0:is>
      </ns0:c>
      <ns0:c r="F1806" t="inlineStr">
        <ns0:is>
          <ns0:t>E0277,E0599</ns0:t>
        </ns0:is>
      </ns0:c>
      <ns0:c r="G1806" t="n">
        <ns0:v>0</ns0:v>
      </ns0:c>
      <ns0:c r="H1806" t="n">
        <ns0:v>10300</ns0:v>
      </ns0:c>
      <ns0:c r="I1806" t="n">
        <ns0:v>1614</ns0:v>
      </ns0:c>
      <ns0:c r="J1806" t="n">
        <ns0:v>11914</ns0:v>
      </ns0:c>
      <ns0:c r="K1806" t="n">
        <ns0:v>9</ns0:v>
      </ns0:c>
      <ns0:c r="L1806" t="n">
        <ns0:v>0</ns0:v>
      </ns0:c>
      <ns0:c r="M1806" t="n">
        <ns0:v>336141</ns0:v>
      </ns0:c>
      <ns0:c r="N1806" t="n">
        <ns0:v>2018</ns0:v>
      </ns0:c>
      <ns0:c r="O1806" t="n">
        <ns0:v>338159</ns0:v>
      </ns0:c>
      <ns0:c r="P1806" t="n">
        <ns0:v>20</ns0:v>
      </ns0:c>
      <ns0:c r="Q1806">
        <ns0:f>IF(AND(L1806=1,O1806*Calculations!$B$2&lt;=Calculations!$B$10*Calculations!$B$4),1,0)</ns0:f>
        <ns0:v>0</ns0:v>
      </ns0:c>
      <ns0:c r="R1806">
        <ns0:f>IF(AND(L1806=1,O1806*Calculations!$B$2&lt;=Calculations!$B$11*Calculations!$B$4),1,0)</ns0:f>
        <ns0:v>0</ns0:v>
      </ns0:c>
    </ns0:row>
    <ns0:row r="1807">
      <ns0:c r="A1807" t="inlineStr">
        <ns0:is>
          <ns0:t>case_1806</ns0:t>
        </ns0:is>
      </ns0:c>
      <ns0:c r="B1807" t="inlineStr">
        <ns0:is>
          <ns0:t>function_0538</ns0:t>
        </ns0:is>
      </ns0:c>
      <ns0:c r="C1807" t="inlineStr">
        <ns0:is>
          <ns0:t>run_017</ns0:t>
        </ns0:is>
      </ns0:c>
      <ns0:c r="D1807" t="inlineStr">
        <ns0:is>
          <ns0:t>semver</ns0:t>
        </ns0:is>
      </ns0:c>
      <ns0:c r="E1807" t="inlineStr">
        <ns0:is>
          <ns0:t>gemini-2.5-flash-nothinking</ns0:t>
        </ns0:is>
      </ns0:c>
      <ns0:c r="F1807" t="inlineStr">
        <ns0:is>
          <ns0:t>E0040</ns0:t>
        </ns0:is>
      </ns0:c>
      <ns0:c r="G1807" t="n">
        <ns0:v>1</ns0:v>
      </ns0:c>
      <ns0:c r="H1807" t="n">
        <ns0:v>470</ns0:v>
      </ns0:c>
      <ns0:c r="I1807" t="n">
        <ns0:v>58</ns0:v>
      </ns0:c>
      <ns0:c r="J1807" t="n">
        <ns0:v>528</ns0:v>
      </ns0:c>
      <ns0:c r="K1807" t="n">
        <ns0:v>1</ns0:v>
      </ns0:c>
      <ns0:c r="L1807" t="n">
        <ns0:v>1</ns0:v>
      </ns0:c>
      <ns0:c r="M1807" t="n">
        <ns0:v>28691</ns0:v>
      </ns0:c>
      <ns0:c r="N1807" t="n">
        <ns0:v>383</ns0:v>
      </ns0:c>
      <ns0:c r="O1807" t="n">
        <ns0:v>29074</ns0:v>
      </ns0:c>
      <ns0:c r="P1807" t="n">
        <ns0:v>4</ns0:v>
      </ns0:c>
      <ns0:c r="Q1807">
        <ns0:f>IF(AND(L1807=1,O1807*Calculations!$B$2&lt;=Calculations!$B$10*Calculations!$B$4),1,0)</ns0:f>
        <ns0:v>0</ns0:v>
      </ns0:c>
      <ns0:c r="R1807">
        <ns0:f>IF(AND(L1807=1,O1807*Calculations!$B$2&lt;=Calculations!$B$11*Calculations!$B$4),1,0)</ns0:f>
        <ns0:v>1</ns0:v>
      </ns0:c>
    </ns0:row>
    <ns0:row r="1808">
      <ns0:c r="A1808" t="inlineStr">
        <ns0:is>
          <ns0:t>case_1807</ns0:t>
        </ns0:is>
      </ns0:c>
      <ns0:c r="B1808" t="inlineStr">
        <ns0:is>
          <ns0:t>function_0538</ns0:t>
        </ns0:is>
      </ns0:c>
      <ns0:c r="C1808" t="inlineStr">
        <ns0:is>
          <ns0:t>run_017</ns0:t>
        </ns0:is>
      </ns0:c>
      <ns0:c r="D1808" t="inlineStr">
        <ns0:is>
          <ns0:t>semver</ns0:t>
        </ns0:is>
      </ns0:c>
      <ns0:c r="E1808" t="inlineStr">
        <ns0:is>
          <ns0:t>gemini-2.5-flash-nothinking</ns0:t>
        </ns0:is>
      </ns0:c>
      <ns0:c r="F1808" t="inlineStr">
        <ns0:is>
          <ns0:t>E0040</ns0:t>
        </ns0:is>
      </ns0:c>
      <ns0:c r="G1808" t="n">
        <ns0:v>1</ns0:v>
      </ns0:c>
      <ns0:c r="H1808" t="n">
        <ns0:v>454</ns0:v>
      </ns0:c>
      <ns0:c r="I1808" t="n">
        <ns0:v>62</ns0:v>
      </ns0:c>
      <ns0:c r="J1808" t="n">
        <ns0:v>516</ns0:v>
      </ns0:c>
      <ns0:c r="K1808" t="n">
        <ns0:v>1</ns0:v>
      </ns0:c>
      <ns0:c r="L1808" t="n">
        <ns0:v>1</ns0:v>
      </ns0:c>
      <ns0:c r="M1808" t="n">
        <ns0:v>20067</ns0:v>
      </ns0:c>
      <ns0:c r="N1808" t="n">
        <ns0:v>164</ns0:v>
      </ns0:c>
      <ns0:c r="O1808" t="n">
        <ns0:v>20231</ns0:v>
      </ns0:c>
      <ns0:c r="P1808" t="n">
        <ns0:v>3</ns0:v>
      </ns0:c>
      <ns0:c r="Q1808">
        <ns0:f>IF(AND(L1808=1,O1808*Calculations!$B$2&lt;=Calculations!$B$10*Calculations!$B$4),1,0)</ns0:f>
        <ns0:v>1</ns0:v>
      </ns0:c>
      <ns0:c r="R1808">
        <ns0:f>IF(AND(L1808=1,O1808*Calculations!$B$2&lt;=Calculations!$B$11*Calculations!$B$4),1,0)</ns0:f>
        <ns0:v>1</ns0:v>
      </ns0:c>
    </ns0:row>
    <ns0:row r="1809">
      <ns0:c r="A1809" t="inlineStr">
        <ns0:is>
          <ns0:t>case_1808</ns0:t>
        </ns0:is>
      </ns0:c>
      <ns0:c r="B1809" t="inlineStr">
        <ns0:is>
          <ns0:t>function_0539</ns0:t>
        </ns0:is>
      </ns0:c>
      <ns0:c r="C1809" t="inlineStr">
        <ns0:is>
          <ns0:t>run_017</ns0:t>
        </ns0:is>
      </ns0:c>
      <ns0:c r="D1809" t="inlineStr">
        <ns0:is>
          <ns0:t>semver</ns0:t>
        </ns0:is>
      </ns0:c>
      <ns0:c r="E1809" t="inlineStr">
        <ns0:is>
          <ns0:t>gemini-2.5-flash-nothinking</ns0:t>
        </ns0:is>
      </ns0:c>
      <ns0:c r="F1809" t="inlineStr">
        <ns0:is>
          <ns0:t>E0277,E0599,E0658</ns0:t>
        </ns0:is>
      </ns0:c>
      <ns0:c r="G1809" t="n">
        <ns0:v>0</ns0:v>
      </ns0:c>
      <ns0:c r="H1809" t="n">
        <ns0:v>6843</ns0:v>
      </ns0:c>
      <ns0:c r="I1809" t="n">
        <ns0:v>3258</ns0:v>
      </ns0:c>
      <ns0:c r="J1809" t="n">
        <ns0:v>10101</ns0:v>
      </ns0:c>
      <ns0:c r="K1809" t="n">
        <ns0:v>3</ns0:v>
      </ns0:c>
      <ns0:c r="L1809" t="n">
        <ns0:v>1</ns0:v>
      </ns0:c>
      <ns0:c r="M1809" t="n">
        <ns0:v>57307</ns0:v>
      </ns0:c>
      <ns0:c r="N1809" t="n">
        <ns0:v>7184</ns0:v>
      </ns0:c>
      <ns0:c r="O1809" t="n">
        <ns0:v>64491</ns0:v>
      </ns0:c>
      <ns0:c r="P1809" t="n">
        <ns0:v>4</ns0:v>
      </ns0:c>
      <ns0:c r="Q1809">
        <ns0:f>IF(AND(L1809=1,O1809*Calculations!$B$2&lt;=Calculations!$B$10*Calculations!$B$4),1,0)</ns0:f>
        <ns0:v>0</ns0:v>
      </ns0:c>
      <ns0:c r="R1809">
        <ns0:f>IF(AND(L1809=1,O1809*Calculations!$B$2&lt;=Calculations!$B$11*Calculations!$B$4),1,0)</ns0:f>
        <ns0:v>0</ns0:v>
      </ns0:c>
    </ns0:row>
    <ns0:row r="1810">
      <ns0:c r="A1810" t="inlineStr">
        <ns0:is>
          <ns0:t>case_1809</ns0:t>
        </ns0:is>
      </ns0:c>
      <ns0:c r="B1810" t="inlineStr">
        <ns0:is>
          <ns0:t>function_0539</ns0:t>
        </ns0:is>
      </ns0:c>
      <ns0:c r="C1810" t="inlineStr">
        <ns0:is>
          <ns0:t>run_017</ns0:t>
        </ns0:is>
      </ns0:c>
      <ns0:c r="D1810" t="inlineStr">
        <ns0:is>
          <ns0:t>semver</ns0:t>
        </ns0:is>
      </ns0:c>
      <ns0:c r="E1810" t="inlineStr">
        <ns0:is>
          <ns0:t>gemini-2.5-flash-nothinking</ns0:t>
        </ns0:is>
      </ns0:c>
      <ns0:c r="F1810" t="inlineStr">
        <ns0:is>
          <ns0:t>E0433,E0599,E0658</ns0:t>
        </ns0:is>
      </ns0:c>
      <ns0:c r="G1810" t="n">
        <ns0:v>0</ns0:v>
      </ns0:c>
      <ns0:c r="H1810" t="n">
        <ns0:v>6188</ns0:v>
      </ns0:c>
      <ns0:c r="I1810" t="n">
        <ns0:v>2421</ns0:v>
      </ns0:c>
      <ns0:c r="J1810" t="n">
        <ns0:v>8609</ns0:v>
      </ns0:c>
      <ns0:c r="K1810" t="n">
        <ns0:v>3</ns0:v>
      </ns0:c>
      <ns0:c r="L1810" t="n">
        <ns0:v>0</ns0:v>
      </ns0:c>
      <ns0:c r="M1810" t="n">
        <ns0:v>412080</ns0:v>
      </ns0:c>
      <ns0:c r="N1810" t="n">
        <ns0:v>2901</ns0:v>
      </ns0:c>
      <ns0:c r="O1810" t="n">
        <ns0:v>414981</ns0:v>
      </ns0:c>
      <ns0:c r="P1810" t="n">
        <ns0:v>20</ns0:v>
      </ns0:c>
      <ns0:c r="Q1810">
        <ns0:f>IF(AND(L1810=1,O1810*Calculations!$B$2&lt;=Calculations!$B$10*Calculations!$B$4),1,0)</ns0:f>
        <ns0:v>0</ns0:v>
      </ns0:c>
      <ns0:c r="R1810">
        <ns0:f>IF(AND(L1810=1,O1810*Calculations!$B$2&lt;=Calculations!$B$11*Calculations!$B$4),1,0)</ns0:f>
        <ns0:v>0</ns0:v>
      </ns0:c>
    </ns0:row>
    <ns0:row r="1811">
      <ns0:c r="A1811" t="inlineStr">
        <ns0:is>
          <ns0:t>case_1810</ns0:t>
        </ns0:is>
      </ns0:c>
      <ns0:c r="B1811" t="inlineStr">
        <ns0:is>
          <ns0:t>function_0540</ns0:t>
        </ns0:is>
      </ns0:c>
      <ns0:c r="C1811" t="inlineStr">
        <ns0:is>
          <ns0:t>run_017</ns0:t>
        </ns0:is>
      </ns0:c>
      <ns0:c r="D1811" t="inlineStr">
        <ns0:is>
          <ns0:t>semver</ns0:t>
        </ns0:is>
      </ns0:c>
      <ns0:c r="E1811" t="inlineStr">
        <ns0:is>
          <ns0:t>gemini-2.5-flash-nothinking</ns0:t>
        </ns0:is>
      </ns0:c>
      <ns0:c r="F1811" t="inlineStr">
        <ns0:is>
          <ns0:t>E0432</ns0:t>
        </ns0:is>
      </ns0:c>
      <ns0:c r="G1811" t="n">
        <ns0:v>0</ns0:v>
      </ns0:c>
      <ns0:c r="H1811" t="n">
        <ns0:v>3724</ns0:v>
      </ns0:c>
      <ns0:c r="I1811" t="n">
        <ns0:v>255</ns0:v>
      </ns0:c>
      <ns0:c r="J1811" t="n">
        <ns0:v>3979</ns0:v>
      </ns0:c>
      <ns0:c r="K1811" t="n">
        <ns0:v>3</ns0:v>
      </ns0:c>
      <ns0:c r="L1811" t="n">
        <ns0:v>1</ns0:v>
      </ns0:c>
      <ns0:c r="M1811" t="n">
        <ns0:v>29392</ns0:v>
      </ns0:c>
      <ns0:c r="N1811" t="n">
        <ns0:v>442</ns0:v>
      </ns0:c>
      <ns0:c r="O1811" t="n">
        <ns0:v>29834</ns0:v>
      </ns0:c>
      <ns0:c r="P1811" t="n">
        <ns0:v>4</ns0:v>
      </ns0:c>
      <ns0:c r="Q1811">
        <ns0:f>IF(AND(L1811=1,O1811*Calculations!$B$2&lt;=Calculations!$B$10*Calculations!$B$4),1,0)</ns0:f>
        <ns0:v>0</ns0:v>
      </ns0:c>
      <ns0:c r="R1811">
        <ns0:f>IF(AND(L1811=1,O1811*Calculations!$B$2&lt;=Calculations!$B$11*Calculations!$B$4),1,0)</ns0:f>
        <ns0:v>1</ns0:v>
      </ns0:c>
    </ns0:row>
    <ns0:row r="1812">
      <ns0:c r="A1812" t="inlineStr">
        <ns0:is>
          <ns0:t>case_1811</ns0:t>
        </ns0:is>
      </ns0:c>
      <ns0:c r="B1812" t="inlineStr">
        <ns0:is>
          <ns0:t>function_0540</ns0:t>
        </ns0:is>
      </ns0:c>
      <ns0:c r="C1812" t="inlineStr">
        <ns0:is>
          <ns0:t>run_017</ns0:t>
        </ns0:is>
      </ns0:c>
      <ns0:c r="D1812" t="inlineStr">
        <ns0:is>
          <ns0:t>semver</ns0:t>
        </ns0:is>
      </ns0:c>
      <ns0:c r="E1812" t="inlineStr">
        <ns0:is>
          <ns0:t>gemini-2.5-flash-nothinking</ns0:t>
        </ns0:is>
      </ns0:c>
      <ns0:c r="F1812" t="inlineStr">
        <ns0:is>
          <ns0:t>E0432</ns0:t>
        </ns0:is>
      </ns0:c>
      <ns0:c r="G1812" t="n">
        <ns0:v>0</ns0:v>
      </ns0:c>
      <ns0:c r="H1812" t="n">
        <ns0:v>3641</ns0:v>
      </ns0:c>
      <ns0:c r="I1812" t="n">
        <ns0:v>252</ns0:v>
      </ns0:c>
      <ns0:c r="J1812" t="n">
        <ns0:v>3893</ns0:v>
      </ns0:c>
      <ns0:c r="K1812" t="n">
        <ns0:v>3</ns0:v>
      </ns0:c>
      <ns0:c r="L1812" t="n">
        <ns0:v>1</ns0:v>
      </ns0:c>
      <ns0:c r="M1812" t="n">
        <ns0:v>20189</ns0:v>
      </ns0:c>
      <ns0:c r="N1812" t="n">
        <ns0:v>188</ns0:v>
      </ns0:c>
      <ns0:c r="O1812" t="n">
        <ns0:v>20377</ns0:v>
      </ns0:c>
      <ns0:c r="P1812" t="n">
        <ns0:v>3</ns0:v>
      </ns0:c>
      <ns0:c r="Q1812">
        <ns0:f>IF(AND(L1812=1,O1812*Calculations!$B$2&lt;=Calculations!$B$10*Calculations!$B$4),1,0)</ns0:f>
        <ns0:v>1</ns0:v>
      </ns0:c>
      <ns0:c r="R1812">
        <ns0:f>IF(AND(L1812=1,O1812*Calculations!$B$2&lt;=Calculations!$B$11*Calculations!$B$4),1,0)</ns0:f>
        <ns0:v>1</ns0:v>
      </ns0:c>
    </ns0:row>
    <ns0:row r="1813">
      <ns0:c r="A1813" t="inlineStr">
        <ns0:is>
          <ns0:t>case_1812</ns0:t>
        </ns0:is>
      </ns0:c>
      <ns0:c r="B1813" t="inlineStr">
        <ns0:is>
          <ns0:t>function_0541</ns0:t>
        </ns0:is>
      </ns0:c>
      <ns0:c r="C1813" t="inlineStr">
        <ns0:is>
          <ns0:t>run_017</ns0:t>
        </ns0:is>
      </ns0:c>
      <ns0:c r="D1813" t="inlineStr">
        <ns0:is>
          <ns0:t>semver</ns0:t>
        </ns0:is>
      </ns0:c>
      <ns0:c r="E1813" t="inlineStr">
        <ns0:is>
          <ns0:t>gemini-2.5-flash-nothinking</ns0:t>
        </ns0:is>
      </ns0:c>
      <ns0:c r="F1813" t="inlineStr">
        <ns0:is>
          <ns0:t>E0599</ns0:t>
        </ns0:is>
      </ns0:c>
      <ns0:c r="G1813" t="n">
        <ns0:v>0</ns0:v>
      </ns0:c>
      <ns0:c r="H1813" t="n">
        <ns0:v>27444</ns0:v>
      </ns0:c>
      <ns0:c r="I1813" t="n">
        <ns0:v>1961</ns0:v>
      </ns0:c>
      <ns0:c r="J1813" t="n">
        <ns0:v>29405</ns0:v>
      </ns0:c>
      <ns0:c r="K1813" t="n">
        <ns0:v>20</ns0:v>
      </ns0:c>
      <ns0:c r="L1813" t="n">
        <ns0:v>0</ns0:v>
      </ns0:c>
      <ns0:c r="M1813" t="n">
        <ns0:v>296963</ns0:v>
      </ns0:c>
      <ns0:c r="N1813" t="n">
        <ns0:v>6156</ns0:v>
      </ns0:c>
      <ns0:c r="O1813" t="n">
        <ns0:v>303119</ns0:v>
      </ns0:c>
      <ns0:c r="P1813" t="n">
        <ns0:v>20</ns0:v>
      </ns0:c>
      <ns0:c r="Q1813">
        <ns0:f>IF(AND(L1813=1,O1813*Calculations!$B$2&lt;=Calculations!$B$10*Calculations!$B$4),1,0)</ns0:f>
        <ns0:v>0</ns0:v>
      </ns0:c>
      <ns0:c r="R1813">
        <ns0:f>IF(AND(L1813=1,O1813*Calculations!$B$2&lt;=Calculations!$B$11*Calculations!$B$4),1,0)</ns0:f>
        <ns0:v>0</ns0:v>
      </ns0:c>
    </ns0:row>
    <ns0:row r="1814">
      <ns0:c r="A1814" t="inlineStr">
        <ns0:is>
          <ns0:t>case_1813</ns0:t>
        </ns0:is>
      </ns0:c>
      <ns0:c r="B1814" t="inlineStr">
        <ns0:is>
          <ns0:t>function_0542</ns0:t>
        </ns0:is>
      </ns0:c>
      <ns0:c r="C1814" t="inlineStr">
        <ns0:is>
          <ns0:t>run_017</ns0:t>
        </ns0:is>
      </ns0:c>
      <ns0:c r="D1814" t="inlineStr">
        <ns0:is>
          <ns0:t>semver</ns0:t>
        </ns0:is>
      </ns0:c>
      <ns0:c r="E1814" t="inlineStr">
        <ns0:is>
          <ns0:t>gemini-2.5-flash-nothinking</ns0:t>
        </ns0:is>
      </ns0:c>
      <ns0:c r="F1814" t="inlineStr">
        <ns0:is>
          <ns0:t>E0432,E0599</ns0:t>
        </ns0:is>
      </ns0:c>
      <ns0:c r="G1814" t="n">
        <ns0:v>0</ns0:v>
      </ns0:c>
      <ns0:c r="H1814" t="n">
        <ns0:v>4435</ns0:v>
      </ns0:c>
      <ns0:c r="I1814" t="n">
        <ns0:v>533</ns0:v>
      </ns0:c>
      <ns0:c r="J1814" t="n">
        <ns0:v>4968</ns0:v>
      </ns0:c>
      <ns0:c r="K1814" t="n">
        <ns0:v>6</ns0:v>
      </ns0:c>
      <ns0:c r="L1814" t="n">
        <ns0:v>0</ns0:v>
      </ns0:c>
      <ns0:c r="M1814" t="n">
        <ns0:v>246749</ns0:v>
      </ns0:c>
      <ns0:c r="N1814" t="n">
        <ns0:v>3482</ns0:v>
      </ns0:c>
      <ns0:c r="O1814" t="n">
        <ns0:v>250231</ns0:v>
      </ns0:c>
      <ns0:c r="P1814" t="n">
        <ns0:v>20</ns0:v>
      </ns0:c>
      <ns0:c r="Q1814">
        <ns0:f>IF(AND(L1814=1,O1814*Calculations!$B$2&lt;=Calculations!$B$10*Calculations!$B$4),1,0)</ns0:f>
        <ns0:v>0</ns0:v>
      </ns0:c>
      <ns0:c r="R1814">
        <ns0:f>IF(AND(L1814=1,O1814*Calculations!$B$2&lt;=Calculations!$B$11*Calculations!$B$4),1,0)</ns0:f>
        <ns0:v>0</ns0:v>
      </ns0:c>
    </ns0:row>
    <ns0:row r="1815">
      <ns0:c r="A1815" t="inlineStr">
        <ns0:is>
          <ns0:t>case_1814</ns0:t>
        </ns0:is>
      </ns0:c>
      <ns0:c r="B1815" t="inlineStr">
        <ns0:is>
          <ns0:t>function_0542</ns0:t>
        </ns0:is>
      </ns0:c>
      <ns0:c r="C1815" t="inlineStr">
        <ns0:is>
          <ns0:t>run_017</ns0:t>
        </ns0:is>
      </ns0:c>
      <ns0:c r="D1815" t="inlineStr">
        <ns0:is>
          <ns0:t>semver</ns0:t>
        </ns0:is>
      </ns0:c>
      <ns0:c r="E1815" t="inlineStr">
        <ns0:is>
          <ns0:t>gemini-2.5-flash-nothinking</ns0:t>
        </ns0:is>
      </ns0:c>
      <ns0:c r="F1815" t="inlineStr">
        <ns0:is>
          <ns0:t>E0599</ns0:t>
        </ns0:is>
      </ns0:c>
      <ns0:c r="G1815" t="n">
        <ns0:v>0</ns0:v>
      </ns0:c>
      <ns0:c r="H1815" t="n">
        <ns0:v>9359</ns0:v>
      </ns0:c>
      <ns0:c r="I1815" t="n">
        <ns0:v>3809</ns0:v>
      </ns0:c>
      <ns0:c r="J1815" t="n">
        <ns0:v>13168</ns0:v>
      </ns0:c>
      <ns0:c r="K1815" t="n">
        <ns0:v>3</ns0:v>
      </ns0:c>
      <ns0:c r="L1815" t="n">
        <ns0:v>0</ns0:v>
      </ns0:c>
      <ns0:c r="M1815" t="n">
        <ns0:v>138110</ns0:v>
      </ns0:c>
      <ns0:c r="N1815" t="n">
        <ns0:v>1123</ns0:v>
      </ns0:c>
      <ns0:c r="O1815" t="n">
        <ns0:v>139233</ns0:v>
      </ns0:c>
      <ns0:c r="P1815" t="n">
        <ns0:v>8</ns0:v>
      </ns0:c>
      <ns0:c r="Q1815">
        <ns0:f>IF(AND(L1815=1,O1815*Calculations!$B$2&lt;=Calculations!$B$10*Calculations!$B$4),1,0)</ns0:f>
        <ns0:v>0</ns0:v>
      </ns0:c>
      <ns0:c r="R1815">
        <ns0:f>IF(AND(L1815=1,O1815*Calculations!$B$2&lt;=Calculations!$B$11*Calculations!$B$4),1,0)</ns0:f>
        <ns0:v>0</ns0:v>
      </ns0:c>
    </ns0:row>
    <ns0:row r="1816">
      <ns0:c r="A1816" t="inlineStr">
        <ns0:is>
          <ns0:t>case_1815</ns0:t>
        </ns0:is>
      </ns0:c>
      <ns0:c r="B1816" t="inlineStr">
        <ns0:is>
          <ns0:t>function_0543</ns0:t>
        </ns0:is>
      </ns0:c>
      <ns0:c r="C1816" t="inlineStr">
        <ns0:is>
          <ns0:t>run_017</ns0:t>
        </ns0:is>
      </ns0:c>
      <ns0:c r="D1816" t="inlineStr">
        <ns0:is>
          <ns0:t>semver</ns0:t>
        </ns0:is>
      </ns0:c>
      <ns0:c r="E1816" t="inlineStr">
        <ns0:is>
          <ns0:t>gemini-2.5-flash-nothinking</ns0:t>
        </ns0:is>
      </ns0:c>
      <ns0:c r="F1816" t="inlineStr">
        <ns0:is>
          <ns0:t>E0432,E0599</ns0:t>
        </ns0:is>
      </ns0:c>
      <ns0:c r="G1816" t="n">
        <ns0:v>1</ns0:v>
      </ns0:c>
      <ns0:c r="H1816" t="n">
        <ns0:v>2373</ns0:v>
      </ns0:c>
      <ns0:c r="I1816" t="n">
        <ns0:v>605</ns0:v>
      </ns0:c>
      <ns0:c r="J1816" t="n">
        <ns0:v>2978</ns0:v>
      </ns0:c>
      <ns0:c r="K1816" t="n">
        <ns0:v>2</ns0:v>
      </ns0:c>
      <ns0:c r="L1816" t="n">
        <ns0:v>0</ns0:v>
      </ns0:c>
      <ns0:c r="M1816" t="n">
        <ns0:v>303887</ns0:v>
      </ns0:c>
      <ns0:c r="N1816" t="n">
        <ns0:v>4062</ns0:v>
      </ns0:c>
      <ns0:c r="O1816" t="n">
        <ns0:v>307949</ns0:v>
      </ns0:c>
      <ns0:c r="P1816" t="n">
        <ns0:v>20</ns0:v>
      </ns0:c>
      <ns0:c r="Q1816">
        <ns0:f>IF(AND(L1816=1,O1816*Calculations!$B$2&lt;=Calculations!$B$10*Calculations!$B$4),1,0)</ns0:f>
        <ns0:v>0</ns0:v>
      </ns0:c>
      <ns0:c r="R1816">
        <ns0:f>IF(AND(L1816=1,O1816*Calculations!$B$2&lt;=Calculations!$B$11*Calculations!$B$4),1,0)</ns0:f>
        <ns0:v>0</ns0:v>
      </ns0:c>
    </ns0:row>
    <ns0:row r="1817">
      <ns0:c r="A1817" t="inlineStr">
        <ns0:is>
          <ns0:t>case_1816</ns0:t>
        </ns0:is>
      </ns0:c>
      <ns0:c r="B1817" t="inlineStr">
        <ns0:is>
          <ns0:t>function_0543</ns0:t>
        </ns0:is>
      </ns0:c>
      <ns0:c r="C1817" t="inlineStr">
        <ns0:is>
          <ns0:t>run_017</ns0:t>
        </ns0:is>
      </ns0:c>
      <ns0:c r="D1817" t="inlineStr">
        <ns0:is>
          <ns0:t>semver</ns0:t>
        </ns0:is>
      </ns0:c>
      <ns0:c r="E1817" t="inlineStr">
        <ns0:is>
          <ns0:t>gemini-2.5-flash-nothinking</ns0:t>
        </ns0:is>
      </ns0:c>
      <ns0:c r="F1817" t="inlineStr">
        <ns0:is>
          <ns0:t>E0433,E0599</ns0:t>
        </ns0:is>
      </ns0:c>
      <ns0:c r="G1817" t="n">
        <ns0:v>0</ns0:v>
      </ns0:c>
      <ns0:c r="H1817" t="n">
        <ns0:v>7878</ns0:v>
      </ns0:c>
      <ns0:c r="I1817" t="n">
        <ns0:v>2342</ns0:v>
      </ns0:c>
      <ns0:c r="J1817" t="n">
        <ns0:v>10220</ns0:v>
      </ns0:c>
      <ns0:c r="K1817" t="n">
        <ns0:v>4</ns0:v>
      </ns0:c>
      <ns0:c r="L1817" t="n">
        <ns0:v>0</ns0:v>
      </ns0:c>
      <ns0:c r="M1817" t="n">
        <ns0:v>286080</ns0:v>
      </ns0:c>
      <ns0:c r="N1817" t="n">
        <ns0:v>2267</ns0:v>
      </ns0:c>
      <ns0:c r="O1817" t="n">
        <ns0:v>288347</ns0:v>
      </ns0:c>
      <ns0:c r="P1817" t="n">
        <ns0:v>20</ns0:v>
      </ns0:c>
      <ns0:c r="Q1817">
        <ns0:f>IF(AND(L1817=1,O1817*Calculations!$B$2&lt;=Calculations!$B$10*Calculations!$B$4),1,0)</ns0:f>
        <ns0:v>0</ns0:v>
      </ns0:c>
      <ns0:c r="R1817">
        <ns0:f>IF(AND(L1817=1,O1817*Calculations!$B$2&lt;=Calculations!$B$11*Calculations!$B$4),1,0)</ns0:f>
        <ns0:v>0</ns0:v>
      </ns0:c>
    </ns0:row>
    <ns0:row r="1818">
      <ns0:c r="A1818" t="inlineStr">
        <ns0:is>
          <ns0:t>case_1817</ns0:t>
        </ns0:is>
      </ns0:c>
      <ns0:c r="B1818" t="inlineStr">
        <ns0:is>
          <ns0:t>function_0544</ns0:t>
        </ns0:is>
      </ns0:c>
      <ns0:c r="C1818" t="inlineStr">
        <ns0:is>
          <ns0:t>run_017</ns0:t>
        </ns0:is>
      </ns0:c>
      <ns0:c r="D1818" t="inlineStr">
        <ns0:is>
          <ns0:t>semver</ns0:t>
        </ns0:is>
      </ns0:c>
      <ns0:c r="E1818" t="inlineStr">
        <ns0:is>
          <ns0:t>gemini-2.5-flash-nothinking</ns0:t>
        </ns0:is>
      </ns0:c>
      <ns0:c r="F1818" t="inlineStr">
        <ns0:is>
          <ns0:t>E0433</ns0:t>
        </ns0:is>
      </ns0:c>
      <ns0:c r="G1818" t="n">
        <ns0:v>0</ns0:v>
      </ns0:c>
      <ns0:c r="H1818" t="n">
        <ns0:v>12671</ns0:v>
      </ns0:c>
      <ns0:c r="I1818" t="n">
        <ns0:v>2609</ns0:v>
      </ns0:c>
      <ns0:c r="J1818" t="n">
        <ns0:v>15280</ns0:v>
      </ns0:c>
      <ns0:c r="K1818" t="n">
        <ns0:v>3</ns0:v>
      </ns0:c>
      <ns0:c r="L1818" t="n">
        <ns0:v>1</ns0:v>
      </ns0:c>
      <ns0:c r="M1818" t="n">
        <ns0:v>74394</ns0:v>
      </ns0:c>
      <ns0:c r="N1818" t="n">
        <ns0:v>805</ns0:v>
      </ns0:c>
      <ns0:c r="O1818" t="n">
        <ns0:v>75199</ns0:v>
      </ns0:c>
      <ns0:c r="P1818" t="n">
        <ns0:v>5</ns0:v>
      </ns0:c>
      <ns0:c r="Q1818">
        <ns0:f>IF(AND(L1818=1,O1818*Calculations!$B$2&lt;=Calculations!$B$10*Calculations!$B$4),1,0)</ns0:f>
        <ns0:v>0</ns0:v>
      </ns0:c>
      <ns0:c r="R1818">
        <ns0:f>IF(AND(L1818=1,O1818*Calculations!$B$2&lt;=Calculations!$B$11*Calculations!$B$4),1,0)</ns0:f>
        <ns0:v>0</ns0:v>
      </ns0:c>
    </ns0:row>
    <ns0:row r="1819">
      <ns0:c r="A1819" t="inlineStr">
        <ns0:is>
          <ns0:t>case_1818</ns0:t>
        </ns0:is>
      </ns0:c>
      <ns0:c r="B1819" t="inlineStr">
        <ns0:is>
          <ns0:t>function_0544</ns0:t>
        </ns0:is>
      </ns0:c>
      <ns0:c r="C1819" t="inlineStr">
        <ns0:is>
          <ns0:t>run_017</ns0:t>
        </ns0:is>
      </ns0:c>
      <ns0:c r="D1819" t="inlineStr">
        <ns0:is>
          <ns0:t>semver</ns0:t>
        </ns0:is>
      </ns0:c>
      <ns0:c r="E1819" t="inlineStr">
        <ns0:is>
          <ns0:t>gemini-2.5-flash-nothinking</ns0:t>
        </ns0:is>
      </ns0:c>
      <ns0:c r="F1819" t="inlineStr">
        <ns0:is>
          <ns0:t>E0599</ns0:t>
        </ns0:is>
      </ns0:c>
      <ns0:c r="G1819" t="n">
        <ns0:v>0</ns0:v>
      </ns0:c>
      <ns0:c r="H1819" t="n">
        <ns0:v>5961</ns0:v>
      </ns0:c>
      <ns0:c r="I1819" t="n">
        <ns0:v>1263</ns0:v>
      </ns0:c>
      <ns0:c r="J1819" t="n">
        <ns0:v>7224</ns0:v>
      </ns0:c>
      <ns0:c r="K1819" t="n">
        <ns0:v>3</ns0:v>
      </ns0:c>
      <ns0:c r="L1819" t="n">
        <ns0:v>0</ns0:v>
      </ns0:c>
      <ns0:c r="M1819" t="n">
        <ns0:v>107202</ns0:v>
      </ns0:c>
      <ns0:c r="N1819" t="n">
        <ns0:v>1740</ns0:v>
      </ns0:c>
      <ns0:c r="O1819" t="n">
        <ns0:v>108942</ns0:v>
      </ns0:c>
      <ns0:c r="P1819" t="n">
        <ns0:v>10</ns0:v>
      </ns0:c>
      <ns0:c r="Q1819">
        <ns0:f>IF(AND(L1819=1,O1819*Calculations!$B$2&lt;=Calculations!$B$10*Calculations!$B$4),1,0)</ns0:f>
        <ns0:v>0</ns0:v>
      </ns0:c>
      <ns0:c r="R1819">
        <ns0:f>IF(AND(L1819=1,O1819*Calculations!$B$2&lt;=Calculations!$B$11*Calculations!$B$4),1,0)</ns0:f>
        <ns0:v>0</ns0:v>
      </ns0:c>
    </ns0:row>
    <ns0:row r="1820">
      <ns0:c r="A1820" t="inlineStr">
        <ns0:is>
          <ns0:t>case_1819</ns0:t>
        </ns0:is>
      </ns0:c>
      <ns0:c r="B1820" t="inlineStr">
        <ns0:is>
          <ns0:t>function_0545</ns0:t>
        </ns0:is>
      </ns0:c>
      <ns0:c r="C1820" t="inlineStr">
        <ns0:is>
          <ns0:t>run_017</ns0:t>
        </ns0:is>
      </ns0:c>
      <ns0:c r="D1820" t="inlineStr">
        <ns0:is>
          <ns0:t>semver</ns0:t>
        </ns0:is>
      </ns0:c>
      <ns0:c r="E1820" t="inlineStr">
        <ns0:is>
          <ns0:t>gemini-2.5-flash-nothinking</ns0:t>
        </ns0:is>
      </ns0:c>
      <ns0:c r="F1820" t="inlineStr">
        <ns0:is>
          <ns0:t>E0599</ns0:t>
        </ns0:is>
      </ns0:c>
      <ns0:c r="G1820" t="n">
        <ns0:v>0</ns0:v>
      </ns0:c>
      <ns0:c r="H1820" t="n">
        <ns0:v>3006</ns0:v>
      </ns0:c>
      <ns0:c r="I1820" t="n">
        <ns0:v>349</ns0:v>
      </ns0:c>
      <ns0:c r="J1820" t="n">
        <ns0:v>3355</ns0:v>
      </ns0:c>
      <ns0:c r="K1820" t="n">
        <ns0:v>3</ns0:v>
      </ns0:c>
      <ns0:c r="L1820" t="n">
        <ns0:v>0</ns0:v>
      </ns0:c>
      <ns0:c r="M1820" t="n">
        <ns0:v>252856</ns0:v>
      </ns0:c>
      <ns0:c r="N1820" t="n">
        <ns0:v>3376</ns0:v>
      </ns0:c>
      <ns0:c r="O1820" t="n">
        <ns0:v>256232</ns0:v>
      </ns0:c>
      <ns0:c r="P1820" t="n">
        <ns0:v>14</ns0:v>
      </ns0:c>
      <ns0:c r="Q1820">
        <ns0:f>IF(AND(L1820=1,O1820*Calculations!$B$2&lt;=Calculations!$B$10*Calculations!$B$4),1,0)</ns0:f>
        <ns0:v>0</ns0:v>
      </ns0:c>
      <ns0:c r="R1820">
        <ns0:f>IF(AND(L1820=1,O1820*Calculations!$B$2&lt;=Calculations!$B$11*Calculations!$B$4),1,0)</ns0:f>
        <ns0:v>0</ns0:v>
      </ns0:c>
    </ns0:row>
    <ns0:row r="1821">
      <ns0:c r="A1821" t="inlineStr">
        <ns0:is>
          <ns0:t>case_1820</ns0:t>
        </ns0:is>
      </ns0:c>
      <ns0:c r="B1821" t="inlineStr">
        <ns0:is>
          <ns0:t>function_0545</ns0:t>
        </ns0:is>
      </ns0:c>
      <ns0:c r="C1821" t="inlineStr">
        <ns0:is>
          <ns0:t>run_017</ns0:t>
        </ns0:is>
      </ns0:c>
      <ns0:c r="D1821" t="inlineStr">
        <ns0:is>
          <ns0:t>semver</ns0:t>
        </ns0:is>
      </ns0:c>
      <ns0:c r="E1821" t="inlineStr">
        <ns0:is>
          <ns0:t>gemini-2.5-flash-nothinking</ns0:t>
        </ns0:is>
      </ns0:c>
      <ns0:c r="F1821" t="inlineStr">
        <ns0:is>
          <ns0:t>E0599</ns0:t>
        </ns0:is>
      </ns0:c>
      <ns0:c r="G1821" t="n">
        <ns0:v>0</ns0:v>
      </ns0:c>
      <ns0:c r="H1821" t="n">
        <ns0:v>3239</ns0:v>
      </ns0:c>
      <ns0:c r="I1821" t="n">
        <ns0:v>412</ns0:v>
      </ns0:c>
      <ns0:c r="J1821" t="n">
        <ns0:v>3651</ns0:v>
      </ns0:c>
      <ns0:c r="K1821" t="n">
        <ns0:v>3</ns0:v>
      </ns0:c>
      <ns0:c r="L1821" t="n">
        <ns0:v>1</ns0:v>
      </ns0:c>
      <ns0:c r="M1821" t="n">
        <ns0:v>83050</ns0:v>
      </ns0:c>
      <ns0:c r="N1821" t="n">
        <ns0:v>1300</ns0:v>
      </ns0:c>
      <ns0:c r="O1821" t="n">
        <ns0:v>84350</ns0:v>
      </ns0:c>
      <ns0:c r="P1821" t="n">
        <ns0:v>6</ns0:v>
      </ns0:c>
      <ns0:c r="Q1821">
        <ns0:f>IF(AND(L1821=1,O1821*Calculations!$B$2&lt;=Calculations!$B$10*Calculations!$B$4),1,0)</ns0:f>
        <ns0:v>0</ns0:v>
      </ns0:c>
      <ns0:c r="R1821">
        <ns0:f>IF(AND(L1821=1,O1821*Calculations!$B$2&lt;=Calculations!$B$11*Calculations!$B$4),1,0)</ns0:f>
        <ns0:v>0</ns0:v>
      </ns0:c>
    </ns0:row>
    <ns0:row r="1822">
      <ns0:c r="A1822" t="inlineStr">
        <ns0:is>
          <ns0:t>case_1821</ns0:t>
        </ns0:is>
      </ns0:c>
      <ns0:c r="B1822" t="inlineStr">
        <ns0:is>
          <ns0:t>function_0546</ns0:t>
        </ns0:is>
      </ns0:c>
      <ns0:c r="C1822" t="inlineStr">
        <ns0:is>
          <ns0:t>run_017</ns0:t>
        </ns0:is>
      </ns0:c>
      <ns0:c r="D1822" t="inlineStr">
        <ns0:is>
          <ns0:t>semver</ns0:t>
        </ns0:is>
      </ns0:c>
      <ns0:c r="E1822" t="inlineStr">
        <ns0:is>
          <ns0:t>gemini-2.5-flash-nothinking</ns0:t>
        </ns0:is>
      </ns0:c>
      <ns0:c r="F1822" t="inlineStr">
        <ns0:is>
          <ns0:t>E0432,E0433</ns0:t>
        </ns0:is>
      </ns0:c>
      <ns0:c r="G1822" t="n">
        <ns0:v>1</ns0:v>
      </ns0:c>
      <ns0:c r="H1822" t="n">
        <ns0:v>2852</ns0:v>
      </ns0:c>
      <ns0:c r="I1822" t="n">
        <ns0:v>456</ns0:v>
      </ns0:c>
      <ns0:c r="J1822" t="n">
        <ns0:v>3308</ns0:v>
      </ns0:c>
      <ns0:c r="K1822" t="n">
        <ns0:v>1</ns0:v>
      </ns0:c>
      <ns0:c r="L1822" t="n">
        <ns0:v>0</ns0:v>
      </ns0:c>
      <ns0:c r="M1822" t="n">
        <ns0:v>116006</ns0:v>
      </ns0:c>
      <ns0:c r="N1822" t="n">
        <ns0:v>1238</ns0:v>
      </ns0:c>
      <ns0:c r="O1822" t="n">
        <ns0:v>117244</ns0:v>
      </ns0:c>
      <ns0:c r="P1822" t="n">
        <ns0:v>12</ns0:v>
      </ns0:c>
      <ns0:c r="Q1822">
        <ns0:f>IF(AND(L1822=1,O1822*Calculations!$B$2&lt;=Calculations!$B$10*Calculations!$B$4),1,0)</ns0:f>
        <ns0:v>0</ns0:v>
      </ns0:c>
      <ns0:c r="R1822">
        <ns0:f>IF(AND(L1822=1,O1822*Calculations!$B$2&lt;=Calculations!$B$11*Calculations!$B$4),1,0)</ns0:f>
        <ns0:v>0</ns0:v>
      </ns0:c>
    </ns0:row>
    <ns0:row r="1823">
      <ns0:c r="A1823" t="inlineStr">
        <ns0:is>
          <ns0:t>case_1822</ns0:t>
        </ns0:is>
      </ns0:c>
      <ns0:c r="B1823" t="inlineStr">
        <ns0:is>
          <ns0:t>function_0546</ns0:t>
        </ns0:is>
      </ns0:c>
      <ns0:c r="C1823" t="inlineStr">
        <ns0:is>
          <ns0:t>run_017</ns0:t>
        </ns0:is>
      </ns0:c>
      <ns0:c r="D1823" t="inlineStr">
        <ns0:is>
          <ns0:t>semver</ns0:t>
        </ns0:is>
      </ns0:c>
      <ns0:c r="E1823" t="inlineStr">
        <ns0:is>
          <ns0:t>gemini-2.5-flash-nothinking</ns0:t>
        </ns0:is>
      </ns0:c>
      <ns0:c r="F1823" t="inlineStr">
        <ns0:is>
          <ns0:t>E0432</ns0:t>
        </ns0:is>
      </ns0:c>
      <ns0:c r="G1823" t="n">
        <ns0:v>1</ns0:v>
      </ns0:c>
      <ns0:c r="H1823" t="n">
        <ns0:v>0</ns0:v>
      </ns0:c>
      <ns0:c r="I1823" t="n">
        <ns0:v>0</ns0:v>
      </ns0:c>
      <ns0:c r="J1823" t="n">
        <ns0:v>0</ns0:v>
      </ns0:c>
      <ns0:c r="K1823" t="n">
        <ns0:v>0</ns0:v>
      </ns0:c>
      <ns0:c r="L1823" t="n">
        <ns0:v>1</ns0:v>
      </ns0:c>
      <ns0:c r="M1823" t="n">
        <ns0:v>20419</ns0:v>
      </ns0:c>
      <ns0:c r="N1823" t="n">
        <ns0:v>304</ns0:v>
      </ns0:c>
      <ns0:c r="O1823" t="n">
        <ns0:v>20723</ns0:v>
      </ns0:c>
      <ns0:c r="P1823" t="n">
        <ns0:v>3</ns0:v>
      </ns0:c>
      <ns0:c r="Q1823">
        <ns0:f>IF(AND(L1823=1,O1823*Calculations!$B$2&lt;=Calculations!$B$10*Calculations!$B$4),1,0)</ns0:f>
        <ns0:v>1</ns0:v>
      </ns0:c>
      <ns0:c r="R1823">
        <ns0:f>IF(AND(L1823=1,O1823*Calculations!$B$2&lt;=Calculations!$B$11*Calculations!$B$4),1,0)</ns0:f>
        <ns0:v>1</ns0:v>
      </ns0:c>
    </ns0:row>
    <ns0:row r="1824">
      <ns0:c r="A1824" t="inlineStr">
        <ns0:is>
          <ns0:t>case_1823</ns0:t>
        </ns0:is>
      </ns0:c>
      <ns0:c r="B1824" t="inlineStr">
        <ns0:is>
          <ns0:t>function_0546</ns0:t>
        </ns0:is>
      </ns0:c>
      <ns0:c r="C1824" t="inlineStr">
        <ns0:is>
          <ns0:t>run_017</ns0:t>
        </ns0:is>
      </ns0:c>
      <ns0:c r="D1824" t="inlineStr">
        <ns0:is>
          <ns0:t>semver</ns0:t>
        </ns0:is>
      </ns0:c>
      <ns0:c r="E1824" t="inlineStr">
        <ns0:is>
          <ns0:t>gemini-2.5-flash-nothinking</ns0:t>
        </ns0:is>
      </ns0:c>
      <ns0:c r="F1824" t="inlineStr">
        <ns0:is>
          <ns0:t>E0432</ns0:t>
        </ns0:is>
      </ns0:c>
      <ns0:c r="G1824" t="n">
        <ns0:v>1</ns0:v>
      </ns0:c>
      <ns0:c r="H1824" t="n">
        <ns0:v>0</ns0:v>
      </ns0:c>
      <ns0:c r="I1824" t="n">
        <ns0:v>0</ns0:v>
      </ns0:c>
      <ns0:c r="J1824" t="n">
        <ns0:v>0</ns0:v>
      </ns0:c>
      <ns0:c r="K1824" t="n">
        <ns0:v>0</ns0:v>
      </ns0:c>
      <ns0:c r="L1824" t="n">
        <ns0:v>1</ns0:v>
      </ns0:c>
      <ns0:c r="M1824" t="n">
        <ns0:v>13832</ns0:v>
      </ns0:c>
      <ns0:c r="N1824" t="n">
        <ns0:v>252</ns0:v>
      </ns0:c>
      <ns0:c r="O1824" t="n">
        <ns0:v>14084</ns0:v>
      </ns0:c>
      <ns0:c r="P1824" t="n">
        <ns0:v>2</ns0:v>
      </ns0:c>
      <ns0:c r="Q1824">
        <ns0:f>IF(AND(L1824=1,O1824*Calculations!$B$2&lt;=Calculations!$B$10*Calculations!$B$4),1,0)</ns0:f>
        <ns0:v>1</ns0:v>
      </ns0:c>
      <ns0:c r="R1824">
        <ns0:f>IF(AND(L1824=1,O1824*Calculations!$B$2&lt;=Calculations!$B$11*Calculations!$B$4),1,0)</ns0:f>
        <ns0:v>1</ns0:v>
      </ns0:c>
    </ns0:row>
    <ns0:row r="1825">
      <ns0:c r="A1825" t="inlineStr">
        <ns0:is>
          <ns0:t>case_1824</ns0:t>
        </ns0:is>
      </ns0:c>
      <ns0:c r="B1825" t="inlineStr">
        <ns0:is>
          <ns0:t>function_0547</ns0:t>
        </ns0:is>
      </ns0:c>
      <ns0:c r="C1825" t="inlineStr">
        <ns0:is>
          <ns0:t>run_017</ns0:t>
        </ns0:is>
      </ns0:c>
      <ns0:c r="D1825" t="inlineStr">
        <ns0:is>
          <ns0:t>semver</ns0:t>
        </ns0:is>
      </ns0:c>
      <ns0:c r="E1825" t="inlineStr">
        <ns0:is>
          <ns0:t>gemini-2.5-flash-nothinking</ns0:t>
        </ns0:is>
      </ns0:c>
      <ns0:c r="F1825" t="inlineStr">
        <ns0:is>
          <ns0:t>E0308</ns0:t>
        </ns0:is>
      </ns0:c>
      <ns0:c r="G1825" t="n">
        <ns0:v>0</ns0:v>
      </ns0:c>
      <ns0:c r="H1825" t="n">
        <ns0:v>6220</ns0:v>
      </ns0:c>
      <ns0:c r="I1825" t="n">
        <ns0:v>2856</ns0:v>
      </ns0:c>
      <ns0:c r="J1825" t="n">
        <ns0:v>9076</ns0:v>
      </ns0:c>
      <ns0:c r="K1825" t="n">
        <ns0:v>3</ns0:v>
      </ns0:c>
      <ns0:c r="L1825" t="n">
        <ns0:v>0</ns0:v>
      </ns0:c>
      <ns0:c r="M1825" t="n">
        <ns0:v>82849</ns0:v>
      </ns0:c>
      <ns0:c r="N1825" t="n">
        <ns0:v>1355</ns0:v>
      </ns0:c>
      <ns0:c r="O1825" t="n">
        <ns0:v>84204</ns0:v>
      </ns0:c>
      <ns0:c r="P1825" t="n">
        <ns0:v>8</ns0:v>
      </ns0:c>
      <ns0:c r="Q1825">
        <ns0:f>IF(AND(L1825=1,O1825*Calculations!$B$2&lt;=Calculations!$B$10*Calculations!$B$4),1,0)</ns0:f>
        <ns0:v>0</ns0:v>
      </ns0:c>
      <ns0:c r="R1825">
        <ns0:f>IF(AND(L1825=1,O1825*Calculations!$B$2&lt;=Calculations!$B$11*Calculations!$B$4),1,0)</ns0:f>
        <ns0:v>0</ns0:v>
      </ns0:c>
    </ns0:row>
    <ns0:row r="1826">
      <ns0:c r="A1826" t="inlineStr">
        <ns0:is>
          <ns0:t>case_1825</ns0:t>
        </ns0:is>
      </ns0:c>
      <ns0:c r="B1826" t="inlineStr">
        <ns0:is>
          <ns0:t>function_0547</ns0:t>
        </ns0:is>
      </ns0:c>
      <ns0:c r="C1826" t="inlineStr">
        <ns0:is>
          <ns0:t>run_017</ns0:t>
        </ns0:is>
      </ns0:c>
      <ns0:c r="D1826" t="inlineStr">
        <ns0:is>
          <ns0:t>semver</ns0:t>
        </ns0:is>
      </ns0:c>
      <ns0:c r="E1826" t="inlineStr">
        <ns0:is>
          <ns0:t>gemini-2.5-flash-nothinking</ns0:t>
        </ns0:is>
      </ns0:c>
      <ns0:c r="F1826" t="inlineStr">
        <ns0:is>
          <ns0:t>E0433</ns0:t>
        </ns0:is>
      </ns0:c>
      <ns0:c r="G1826" t="n">
        <ns0:v>0</ns0:v>
      </ns0:c>
      <ns0:c r="H1826" t="n">
        <ns0:v>3326</ns0:v>
      </ns0:c>
      <ns0:c r="I1826" t="n">
        <ns0:v>189</ns0:v>
      </ns0:c>
      <ns0:c r="J1826" t="n">
        <ns0:v>3515</ns0:v>
      </ns0:c>
      <ns0:c r="K1826" t="n">
        <ns0:v>3</ns0:v>
      </ns0:c>
      <ns0:c r="L1826" t="n">
        <ns0:v>1</ns0:v>
      </ns0:c>
      <ns0:c r="M1826" t="n">
        <ns0:v>53304</ns0:v>
      </ns0:c>
      <ns0:c r="N1826" t="n">
        <ns0:v>1096</ns0:v>
      </ns0:c>
      <ns0:c r="O1826" t="n">
        <ns0:v>54400</ns0:v>
      </ns0:c>
      <ns0:c r="P1826" t="n">
        <ns0:v>6</ns0:v>
      </ns0:c>
      <ns0:c r="Q1826">
        <ns0:f>IF(AND(L1826=1,O1826*Calculations!$B$2&lt;=Calculations!$B$10*Calculations!$B$4),1,0)</ns0:f>
        <ns0:v>0</ns0:v>
      </ns0:c>
      <ns0:c r="R1826">
        <ns0:f>IF(AND(L1826=1,O1826*Calculations!$B$2&lt;=Calculations!$B$11*Calculations!$B$4),1,0)</ns0:f>
        <ns0:v>0</ns0:v>
      </ns0:c>
    </ns0:row>
    <ns0:row r="1827">
      <ns0:c r="A1827" t="inlineStr">
        <ns0:is>
          <ns0:t>case_1826</ns0:t>
        </ns0:is>
      </ns0:c>
      <ns0:c r="B1827" t="inlineStr">
        <ns0:is>
          <ns0:t>function_0548</ns0:t>
        </ns0:is>
      </ns0:c>
      <ns0:c r="C1827" t="inlineStr">
        <ns0:is>
          <ns0:t>run_017</ns0:t>
        </ns0:is>
      </ns0:c>
      <ns0:c r="D1827" t="inlineStr">
        <ns0:is>
          <ns0:t>semver</ns0:t>
        </ns0:is>
      </ns0:c>
      <ns0:c r="E1827" t="inlineStr">
        <ns0:is>
          <ns0:t>gemini-2.5-flash-nothinking</ns0:t>
        </ns0:is>
      </ns0:c>
      <ns0:c r="F1827" t="inlineStr">
        <ns0:is>
          <ns0:t>E0432,E0433</ns0:t>
        </ns0:is>
      </ns0:c>
      <ns0:c r="G1827" t="n">
        <ns0:v>0</ns0:v>
      </ns0:c>
      <ns0:c r="H1827" t="n">
        <ns0:v>4314</ns0:v>
      </ns0:c>
      <ns0:c r="I1827" t="n">
        <ns0:v>900</ns0:v>
      </ns0:c>
      <ns0:c r="J1827" t="n">
        <ns0:v>5214</ns0:v>
      </ns0:c>
      <ns0:c r="K1827" t="n">
        <ns0:v>3</ns0:v>
      </ns0:c>
      <ns0:c r="L1827" t="n">
        <ns0:v>1</ns0:v>
      </ns0:c>
      <ns0:c r="M1827" t="n">
        <ns0:v>47237</ns0:v>
      </ns0:c>
      <ns0:c r="N1827" t="n">
        <ns0:v>813</ns0:v>
      </ns0:c>
      <ns0:c r="O1827" t="n">
        <ns0:v>48050</ns0:v>
      </ns0:c>
      <ns0:c r="P1827" t="n">
        <ns0:v>6</ns0:v>
      </ns0:c>
      <ns0:c r="Q1827">
        <ns0:f>IF(AND(L1827=1,O1827*Calculations!$B$2&lt;=Calculations!$B$10*Calculations!$B$4),1,0)</ns0:f>
        <ns0:v>0</ns0:v>
      </ns0:c>
      <ns0:c r="R1827">
        <ns0:f>IF(AND(L1827=1,O1827*Calculations!$B$2&lt;=Calculations!$B$11*Calculations!$B$4),1,0)</ns0:f>
        <ns0:v>0</ns0:v>
      </ns0:c>
    </ns0:row>
    <ns0:row r="1828">
      <ns0:c r="A1828" t="inlineStr">
        <ns0:is>
          <ns0:t>case_1827</ns0:t>
        </ns0:is>
      </ns0:c>
      <ns0:c r="B1828" t="inlineStr">
        <ns0:is>
          <ns0:t>function_0548</ns0:t>
        </ns0:is>
      </ns0:c>
      <ns0:c r="C1828" t="inlineStr">
        <ns0:is>
          <ns0:t>run_017</ns0:t>
        </ns0:is>
      </ns0:c>
      <ns0:c r="D1828" t="inlineStr">
        <ns0:is>
          <ns0:t>semver</ns0:t>
        </ns0:is>
      </ns0:c>
      <ns0:c r="E1828" t="inlineStr">
        <ns0:is>
          <ns0:t>gemini-2.5-flash-nothinking</ns0:t>
        </ns0:is>
      </ns0:c>
      <ns0:c r="F1828" t="inlineStr">
        <ns0:is>
          <ns0:t>E0433</ns0:t>
        </ns0:is>
      </ns0:c>
      <ns0:c r="G1828" t="n">
        <ns0:v>0</ns0:v>
      </ns0:c>
      <ns0:c r="H1828" t="n">
        <ns0:v>5183</ns0:v>
      </ns0:c>
      <ns0:c r="I1828" t="n">
        <ns0:v>1717</ns0:v>
      </ns0:c>
      <ns0:c r="J1828" t="n">
        <ns0:v>6900</ns0:v>
      </ns0:c>
      <ns0:c r="K1828" t="n">
        <ns0:v>3</ns0:v>
      </ns0:c>
      <ns0:c r="L1828" t="n">
        <ns0:v>1</ns0:v>
      </ns0:c>
      <ns0:c r="M1828" t="n">
        <ns0:v>63209</ns0:v>
      </ns0:c>
      <ns0:c r="N1828" t="n">
        <ns0:v>1171</ns0:v>
      </ns0:c>
      <ns0:c r="O1828" t="n">
        <ns0:v>64380</ns0:v>
      </ns0:c>
      <ns0:c r="P1828" t="n">
        <ns0:v>7</ns0:v>
      </ns0:c>
      <ns0:c r="Q1828">
        <ns0:f>IF(AND(L1828=1,O1828*Calculations!$B$2&lt;=Calculations!$B$10*Calculations!$B$4),1,0)</ns0:f>
        <ns0:v>0</ns0:v>
      </ns0:c>
      <ns0:c r="R1828">
        <ns0:f>IF(AND(L1828=1,O1828*Calculations!$B$2&lt;=Calculations!$B$11*Calculations!$B$4),1,0)</ns0:f>
        <ns0:v>0</ns0:v>
      </ns0:c>
    </ns0:row>
    <ns0:row r="1829">
      <ns0:c r="A1829" t="inlineStr">
        <ns0:is>
          <ns0:t>case_1828</ns0:t>
        </ns0:is>
      </ns0:c>
      <ns0:c r="B1829" t="inlineStr">
        <ns0:is>
          <ns0:t>function_0549</ns0:t>
        </ns0:is>
      </ns0:c>
      <ns0:c r="C1829" t="inlineStr">
        <ns0:is>
          <ns0:t>run_017</ns0:t>
        </ns0:is>
      </ns0:c>
      <ns0:c r="D1829" t="inlineStr">
        <ns0:is>
          <ns0:t>semver</ns0:t>
        </ns0:is>
      </ns0:c>
      <ns0:c r="E1829" t="inlineStr">
        <ns0:is>
          <ns0:t>gemini-2.5-flash-nothinking</ns0:t>
        </ns0:is>
      </ns0:c>
      <ns0:c r="F1829" t="inlineStr">
        <ns0:is>
          <ns0:t>E0133</ns0:t>
        </ns0:is>
      </ns0:c>
      <ns0:c r="G1829" t="n">
        <ns0:v>1</ns0:v>
      </ns0:c>
      <ns0:c r="H1829" t="n">
        <ns0:v>3485</ns0:v>
      </ns0:c>
      <ns0:c r="I1829" t="n">
        <ns0:v>1416</ns0:v>
      </ns0:c>
      <ns0:c r="J1829" t="n">
        <ns0:v>4901</ns0:v>
      </ns0:c>
      <ns0:c r="K1829" t="n">
        <ns0:v>3</ns0:v>
      </ns0:c>
      <ns0:c r="L1829" t="n">
        <ns0:v>1</ns0:v>
      </ns0:c>
      <ns0:c r="M1829" t="n">
        <ns0:v>56446</ns0:v>
      </ns0:c>
      <ns0:c r="N1829" t="n">
        <ns0:v>2503</ns0:v>
      </ns0:c>
      <ns0:c r="O1829" t="n">
        <ns0:v>58949</ns0:v>
      </ns0:c>
      <ns0:c r="P1829" t="n">
        <ns0:v>4</ns0:v>
      </ns0:c>
      <ns0:c r="Q1829">
        <ns0:f>IF(AND(L1829=1,O1829*Calculations!$B$2&lt;=Calculations!$B$10*Calculations!$B$4),1,0)</ns0:f>
        <ns0:v>0</ns0:v>
      </ns0:c>
      <ns0:c r="R1829">
        <ns0:f>IF(AND(L1829=1,O1829*Calculations!$B$2&lt;=Calculations!$B$11*Calculations!$B$4),1,0)</ns0:f>
        <ns0:v>0</ns0:v>
      </ns0:c>
    </ns0:row>
    <ns0:row r="1830">
      <ns0:c r="A1830" t="inlineStr">
        <ns0:is>
          <ns0:t>case_1829</ns0:t>
        </ns0:is>
      </ns0:c>
      <ns0:c r="B1830" t="inlineStr">
        <ns0:is>
          <ns0:t>function_0549</ns0:t>
        </ns0:is>
      </ns0:c>
      <ns0:c r="C1830" t="inlineStr">
        <ns0:is>
          <ns0:t>run_017</ns0:t>
        </ns0:is>
      </ns0:c>
      <ns0:c r="D1830" t="inlineStr">
        <ns0:is>
          <ns0:t>semver</ns0:t>
        </ns0:is>
      </ns0:c>
      <ns0:c r="E1830" t="inlineStr">
        <ns0:is>
          <ns0:t>gemini-2.5-flash-nothinking</ns0:t>
        </ns0:is>
      </ns0:c>
      <ns0:c r="F1830" t="inlineStr">
        <ns0:is>
          <ns0:t>E0433</ns0:t>
        </ns0:is>
      </ns0:c>
      <ns0:c r="G1830" t="n">
        <ns0:v>0</ns0:v>
      </ns0:c>
      <ns0:c r="H1830" t="n">
        <ns0:v>8259</ns0:v>
      </ns0:c>
      <ns0:c r="I1830" t="n">
        <ns0:v>1524</ns0:v>
      </ns0:c>
      <ns0:c r="J1830" t="n">
        <ns0:v>9783</ns0:v>
      </ns0:c>
      <ns0:c r="K1830" t="n">
        <ns0:v>3</ns0:v>
      </ns0:c>
      <ns0:c r="L1830" t="n">
        <ns0:v>1</ns0:v>
      </ns0:c>
      <ns0:c r="M1830" t="n">
        <ns0:v>72028</ns0:v>
      </ns0:c>
      <ns0:c r="N1830" t="n">
        <ns0:v>999</ns0:v>
      </ns0:c>
      <ns0:c r="O1830" t="n">
        <ns0:v>73027</ns0:v>
      </ns0:c>
      <ns0:c r="P1830" t="n">
        <ns0:v>8</ns0:v>
      </ns0:c>
      <ns0:c r="Q1830">
        <ns0:f>IF(AND(L1830=1,O1830*Calculations!$B$2&lt;=Calculations!$B$10*Calculations!$B$4),1,0)</ns0:f>
        <ns0:v>0</ns0:v>
      </ns0:c>
      <ns0:c r="R1830">
        <ns0:f>IF(AND(L1830=1,O1830*Calculations!$B$2&lt;=Calculations!$B$11*Calculations!$B$4),1,0)</ns0:f>
        <ns0:v>0</ns0:v>
      </ns0:c>
    </ns0:row>
    <ns0:row r="1831">
      <ns0:c r="A1831" t="inlineStr">
        <ns0:is>
          <ns0:t>case_1830</ns0:t>
        </ns0:is>
      </ns0:c>
      <ns0:c r="B1831" t="inlineStr">
        <ns0:is>
          <ns0:t>function_0550</ns0:t>
        </ns0:is>
      </ns0:c>
      <ns0:c r="C1831" t="inlineStr">
        <ns0:is>
          <ns0:t>run_017</ns0:t>
        </ns0:is>
      </ns0:c>
      <ns0:c r="D1831" t="inlineStr">
        <ns0:is>
          <ns0:t>semver</ns0:t>
        </ns0:is>
      </ns0:c>
      <ns0:c r="E1831" t="inlineStr">
        <ns0:is>
          <ns0:t>gemini-2.5-flash-nothinking</ns0:t>
        </ns0:is>
      </ns0:c>
      <ns0:c r="F1831" t="inlineStr">
        <ns0:is>
          <ns0:t>E0599</ns0:t>
        </ns0:is>
      </ns0:c>
      <ns0:c r="G1831" t="n">
        <ns0:v>0</ns0:v>
      </ns0:c>
      <ns0:c r="H1831" t="n">
        <ns0:v>11398</ns0:v>
      </ns0:c>
      <ns0:c r="I1831" t="n">
        <ns0:v>1963</ns0:v>
      </ns0:c>
      <ns0:c r="J1831" t="n">
        <ns0:v>13361</ns0:v>
      </ns0:c>
      <ns0:c r="K1831" t="n">
        <ns0:v>12</ns0:v>
      </ns0:c>
      <ns0:c r="L1831" t="n">
        <ns0:v>0</ns0:v>
      </ns0:c>
      <ns0:c r="M1831" t="n">
        <ns0:v>32592</ns0:v>
      </ns0:c>
      <ns0:c r="N1831" t="n">
        <ns0:v>544</ns0:v>
      </ns0:c>
      <ns0:c r="O1831" t="n">
        <ns0:v>33136</ns0:v>
      </ns0:c>
      <ns0:c r="P1831" t="n">
        <ns0:v>4</ns0:v>
      </ns0:c>
      <ns0:c r="Q1831">
        <ns0:f>IF(AND(L1831=1,O1831*Calculations!$B$2&lt;=Calculations!$B$10*Calculations!$B$4),1,0)</ns0:f>
        <ns0:v>0</ns0:v>
      </ns0:c>
      <ns0:c r="R1831">
        <ns0:f>IF(AND(L1831=1,O1831*Calculations!$B$2&lt;=Calculations!$B$11*Calculations!$B$4),1,0)</ns0:f>
        <ns0:v>0</ns0:v>
      </ns0:c>
    </ns0:row>
    <ns0:row r="1832">
      <ns0:c r="A1832" t="inlineStr">
        <ns0:is>
          <ns0:t>case_1831</ns0:t>
        </ns0:is>
      </ns0:c>
      <ns0:c r="B1832" t="inlineStr">
        <ns0:is>
          <ns0:t>function_0550</ns0:t>
        </ns0:is>
      </ns0:c>
      <ns0:c r="C1832" t="inlineStr">
        <ns0:is>
          <ns0:t>run_017</ns0:t>
        </ns0:is>
      </ns0:c>
      <ns0:c r="D1832" t="inlineStr">
        <ns0:is>
          <ns0:t>semver</ns0:t>
        </ns0:is>
      </ns0:c>
      <ns0:c r="E1832" t="inlineStr">
        <ns0:is>
          <ns0:t>gemini-2.5-flash-nothinking</ns0:t>
        </ns0:is>
      </ns0:c>
      <ns0:c r="F1832" t="inlineStr">
        <ns0:is>
          <ns0:t>E0433</ns0:t>
        </ns0:is>
      </ns0:c>
      <ns0:c r="G1832" t="n">
        <ns0:v>1</ns0:v>
      </ns0:c>
      <ns0:c r="H1832" t="n">
        <ns0:v>3318</ns0:v>
      </ns0:c>
      <ns0:c r="I1832" t="n">
        <ns0:v>256</ns0:v>
      </ns0:c>
      <ns0:c r="J1832" t="n">
        <ns0:v>3574</ns0:v>
      </ns0:c>
      <ns0:c r="K1832" t="n">
        <ns0:v>3</ns0:v>
      </ns0:c>
      <ns0:c r="L1832" t="n">
        <ns0:v>0</ns0:v>
      </ns0:c>
      <ns0:c r="M1832" t="n">
        <ns0:v>72108</ns0:v>
      </ns0:c>
      <ns0:c r="N1832" t="n">
        <ns0:v>851</ns0:v>
      </ns0:c>
      <ns0:c r="O1832" t="n">
        <ns0:v>72959</ns0:v>
      </ns0:c>
      <ns0:c r="P1832" t="n">
        <ns0:v>7</ns0:v>
      </ns0:c>
      <ns0:c r="Q1832">
        <ns0:f>IF(AND(L1832=1,O1832*Calculations!$B$2&lt;=Calculations!$B$10*Calculations!$B$4),1,0)</ns0:f>
        <ns0:v>0</ns0:v>
      </ns0:c>
      <ns0:c r="R1832">
        <ns0:f>IF(AND(L1832=1,O1832*Calculations!$B$2&lt;=Calculations!$B$11*Calculations!$B$4),1,0)</ns0:f>
        <ns0:v>0</ns0:v>
      </ns0:c>
    </ns0:row>
    <ns0:row r="1833">
      <ns0:c r="A1833" t="inlineStr">
        <ns0:is>
          <ns0:t>case_1832</ns0:t>
        </ns0:is>
      </ns0:c>
      <ns0:c r="B1833" t="inlineStr">
        <ns0:is>
          <ns0:t>function_0551</ns0:t>
        </ns0:is>
      </ns0:c>
      <ns0:c r="C1833" t="inlineStr">
        <ns0:is>
          <ns0:t>run_017</ns0:t>
        </ns0:is>
      </ns0:c>
      <ns0:c r="D1833" t="inlineStr">
        <ns0:is>
          <ns0:t>semver</ns0:t>
        </ns0:is>
      </ns0:c>
      <ns0:c r="E1833" t="inlineStr">
        <ns0:is>
          <ns0:t>gemini-2.5-flash-nothinking</ns0:t>
        </ns0:is>
      </ns0:c>
      <ns0:c r="F1833" t="inlineStr">
        <ns0:is>
          <ns0:t>E0432</ns0:t>
        </ns0:is>
      </ns0:c>
      <ns0:c r="G1833" t="n">
        <ns0:v>1</ns0:v>
      </ns0:c>
      <ns0:c r="H1833" t="n">
        <ns0:v>0</ns0:v>
      </ns0:c>
      <ns0:c r="I1833" t="n">
        <ns0:v>0</ns0:v>
      </ns0:c>
      <ns0:c r="J1833" t="n">
        <ns0:v>0</ns0:v>
      </ns0:c>
      <ns0:c r="K1833" t="n">
        <ns0:v>0</ns0:v>
      </ns0:c>
      <ns0:c r="L1833" t="n">
        <ns0:v>1</ns0:v>
      </ns0:c>
      <ns0:c r="M1833" t="n">
        <ns0:v>66243</ns0:v>
      </ns0:c>
      <ns0:c r="N1833" t="n">
        <ns0:v>514</ns0:v>
      </ns0:c>
      <ns0:c r="O1833" t="n">
        <ns0:v>66757</ns0:v>
      </ns0:c>
      <ns0:c r="P1833" t="n">
        <ns0:v>5</ns0:v>
      </ns0:c>
      <ns0:c r="Q1833">
        <ns0:f>IF(AND(L1833=1,O1833*Calculations!$B$2&lt;=Calculations!$B$10*Calculations!$B$4),1,0)</ns0:f>
        <ns0:v>0</ns0:v>
      </ns0:c>
      <ns0:c r="R1833">
        <ns0:f>IF(AND(L1833=1,O1833*Calculations!$B$2&lt;=Calculations!$B$11*Calculations!$B$4),1,0)</ns0:f>
        <ns0:v>0</ns0:v>
      </ns0:c>
    </ns0:row>
    <ns0:row r="1834">
      <ns0:c r="A1834" t="inlineStr">
        <ns0:is>
          <ns0:t>case_1833</ns0:t>
        </ns0:is>
      </ns0:c>
      <ns0:c r="B1834" t="inlineStr">
        <ns0:is>
          <ns0:t>function_0552</ns0:t>
        </ns0:is>
      </ns0:c>
      <ns0:c r="C1834" t="inlineStr">
        <ns0:is>
          <ns0:t>run_017</ns0:t>
        </ns0:is>
      </ns0:c>
      <ns0:c r="D1834" t="inlineStr">
        <ns0:is>
          <ns0:t>semver</ns0:t>
        </ns0:is>
      </ns0:c>
      <ns0:c r="E1834" t="inlineStr">
        <ns0:is>
          <ns0:t>gemini-2.5-flash-nothinking</ns0:t>
        </ns0:is>
      </ns0:c>
      <ns0:c r="F1834" t="inlineStr">
        <ns0:is>
          <ns0:t>E0433</ns0:t>
        </ns0:is>
      </ns0:c>
      <ns0:c r="G1834" t="n">
        <ns0:v>1</ns0:v>
      </ns0:c>
      <ns0:c r="H1834" t="n">
        <ns0:v>0</ns0:v>
      </ns0:c>
      <ns0:c r="I1834" t="n">
        <ns0:v>0</ns0:v>
      </ns0:c>
      <ns0:c r="J1834" t="n">
        <ns0:v>0</ns0:v>
      </ns0:c>
      <ns0:c r="K1834" t="n">
        <ns0:v>0</ns0:v>
      </ns0:c>
      <ns0:c r="L1834" t="n">
        <ns0:v>1</ns0:v>
      </ns0:c>
      <ns0:c r="M1834" t="n">
        <ns0:v>20253</ns0:v>
      </ns0:c>
      <ns0:c r="N1834" t="n">
        <ns0:v>325</ns0:v>
      </ns0:c>
      <ns0:c r="O1834" t="n">
        <ns0:v>20578</ns0:v>
      </ns0:c>
      <ns0:c r="P1834" t="n">
        <ns0:v>3</ns0:v>
      </ns0:c>
      <ns0:c r="Q1834">
        <ns0:f>IF(AND(L1834=1,O1834*Calculations!$B$2&lt;=Calculations!$B$10*Calculations!$B$4),1,0)</ns0:f>
        <ns0:v>1</ns0:v>
      </ns0:c>
      <ns0:c r="R1834">
        <ns0:f>IF(AND(L1834=1,O1834*Calculations!$B$2&lt;=Calculations!$B$11*Calculations!$B$4),1,0)</ns0:f>
        <ns0:v>1</ns0:v>
      </ns0:c>
    </ns0:row>
    <ns0:row r="1835">
      <ns0:c r="A1835" t="inlineStr">
        <ns0:is>
          <ns0:t>case_1834</ns0:t>
        </ns0:is>
      </ns0:c>
      <ns0:c r="B1835" t="inlineStr">
        <ns0:is>
          <ns0:t>function_0552</ns0:t>
        </ns0:is>
      </ns0:c>
      <ns0:c r="C1835" t="inlineStr">
        <ns0:is>
          <ns0:t>run_017</ns0:t>
        </ns0:is>
      </ns0:c>
      <ns0:c r="D1835" t="inlineStr">
        <ns0:is>
          <ns0:t>semver</ns0:t>
        </ns0:is>
      </ns0:c>
      <ns0:c r="E1835" t="inlineStr">
        <ns0:is>
          <ns0:t>gemini-2.5-flash-nothinking</ns0:t>
        </ns0:is>
      </ns0:c>
      <ns0:c r="F1835" t="inlineStr">
        <ns0:is>
          <ns0:t>E0432</ns0:t>
        </ns0:is>
      </ns0:c>
      <ns0:c r="G1835" t="n">
        <ns0:v>1</ns0:v>
      </ns0:c>
      <ns0:c r="H1835" t="n">
        <ns0:v>0</ns0:v>
      </ns0:c>
      <ns0:c r="I1835" t="n">
        <ns0:v>0</ns0:v>
      </ns0:c>
      <ns0:c r="J1835" t="n">
        <ns0:v>0</ns0:v>
      </ns0:c>
      <ns0:c r="K1835" t="n">
        <ns0:v>0</ns0:v>
      </ns0:c>
      <ns0:c r="L1835" t="n">
        <ns0:v>1</ns0:v>
      </ns0:c>
      <ns0:c r="M1835" t="n">
        <ns0:v>38599</ns0:v>
      </ns0:c>
      <ns0:c r="N1835" t="n">
        <ns0:v>356</ns0:v>
      </ns0:c>
      <ns0:c r="O1835" t="n">
        <ns0:v>38955</ns0:v>
      </ns0:c>
      <ns0:c r="P1835" t="n">
        <ns0:v>5</ns0:v>
      </ns0:c>
      <ns0:c r="Q1835">
        <ns0:f>IF(AND(L1835=1,O1835*Calculations!$B$2&lt;=Calculations!$B$10*Calculations!$B$4),1,0)</ns0:f>
        <ns0:v>0</ns0:v>
      </ns0:c>
      <ns0:c r="R1835">
        <ns0:f>IF(AND(L1835=1,O1835*Calculations!$B$2&lt;=Calculations!$B$11*Calculations!$B$4),1,0)</ns0:f>
        <ns0:v>1</ns0:v>
      </ns0:c>
    </ns0:row>
    <ns0:row r="1836">
      <ns0:c r="A1836" t="inlineStr">
        <ns0:is>
          <ns0:t>case_1835</ns0:t>
        </ns0:is>
      </ns0:c>
      <ns0:c r="B1836" t="inlineStr">
        <ns0:is>
          <ns0:t>function_0553</ns0:t>
        </ns0:is>
      </ns0:c>
      <ns0:c r="C1836" t="inlineStr">
        <ns0:is>
          <ns0:t>run_017</ns0:t>
        </ns0:is>
      </ns0:c>
      <ns0:c r="D1836" t="inlineStr">
        <ns0:is>
          <ns0:t>semver</ns0:t>
        </ns0:is>
      </ns0:c>
      <ns0:c r="E1836" t="inlineStr">
        <ns0:is>
          <ns0:t>gemini-2.5-flash-nothinking</ns0:t>
        </ns0:is>
      </ns0:c>
      <ns0:c r="F1836" t="inlineStr">
        <ns0:is>
          <ns0:t>E0658</ns0:t>
        </ns0:is>
      </ns0:c>
      <ns0:c r="G1836" t="n">
        <ns0:v>0</ns0:v>
      </ns0:c>
      <ns0:c r="H1836" t="n">
        <ns0:v>2187</ns0:v>
      </ns0:c>
      <ns0:c r="I1836" t="n">
        <ns0:v>192</ns0:v>
      </ns0:c>
      <ns0:c r="J1836" t="n">
        <ns0:v>2379</ns0:v>
      </ns0:c>
      <ns0:c r="K1836" t="n">
        <ns0:v>3</ns0:v>
      </ns0:c>
      <ns0:c r="L1836" t="n">
        <ns0:v>1</ns0:v>
      </ns0:c>
      <ns0:c r="M1836" t="n">
        <ns0:v>46656</ns0:v>
      </ns0:c>
      <ns0:c r="N1836" t="n">
        <ns0:v>435</ns0:v>
      </ns0:c>
      <ns0:c r="O1836" t="n">
        <ns0:v>47091</ns0:v>
      </ns0:c>
      <ns0:c r="P1836" t="n">
        <ns0:v>5</ns0:v>
      </ns0:c>
      <ns0:c r="Q1836">
        <ns0:f>IF(AND(L1836=1,O1836*Calculations!$B$2&lt;=Calculations!$B$10*Calculations!$B$4),1,0)</ns0:f>
        <ns0:v>0</ns0:v>
      </ns0:c>
      <ns0:c r="R1836">
        <ns0:f>IF(AND(L1836=1,O1836*Calculations!$B$2&lt;=Calculations!$B$11*Calculations!$B$4),1,0)</ns0:f>
        <ns0:v>0</ns0:v>
      </ns0:c>
    </ns0:row>
    <ns0:row r="1837">
      <ns0:c r="A1837" t="inlineStr">
        <ns0:is>
          <ns0:t>case_1836</ns0:t>
        </ns0:is>
      </ns0:c>
      <ns0:c r="B1837" t="inlineStr">
        <ns0:is>
          <ns0:t>function_0553</ns0:t>
        </ns0:is>
      </ns0:c>
      <ns0:c r="C1837" t="inlineStr">
        <ns0:is>
          <ns0:t>run_017</ns0:t>
        </ns0:is>
      </ns0:c>
      <ns0:c r="D1837" t="inlineStr">
        <ns0:is>
          <ns0:t>semver</ns0:t>
        </ns0:is>
      </ns0:c>
      <ns0:c r="E1837" t="inlineStr">
        <ns0:is>
          <ns0:t>gemini-2.5-flash-nothinking</ns0:t>
        </ns0:is>
      </ns0:c>
      <ns0:c r="F1837" t="inlineStr">
        <ns0:is>
          <ns0:t>E0658</ns0:t>
        </ns0:is>
      </ns0:c>
      <ns0:c r="G1837" t="n">
        <ns0:v>0</ns0:v>
      </ns0:c>
      <ns0:c r="H1837" t="n">
        <ns0:v>2361</ns0:v>
      </ns0:c>
      <ns0:c r="I1837" t="n">
        <ns0:v>204</ns0:v>
      </ns0:c>
      <ns0:c r="J1837" t="n">
        <ns0:v>2565</ns0:v>
      </ns0:c>
      <ns0:c r="K1837" t="n">
        <ns0:v>3</ns0:v>
      </ns0:c>
      <ns0:c r="L1837" t="n">
        <ns0:v>1</ns0:v>
      </ns0:c>
      <ns0:c r="M1837" t="n">
        <ns0:v>35661</ns0:v>
      </ns0:c>
      <ns0:c r="N1837" t="n">
        <ns0:v>519</ns0:v>
      </ns0:c>
      <ns0:c r="O1837" t="n">
        <ns0:v>36180</ns0:v>
      </ns0:c>
      <ns0:c r="P1837" t="n">
        <ns0:v>5</ns0:v>
      </ns0:c>
      <ns0:c r="Q1837">
        <ns0:f>IF(AND(L1837=1,O1837*Calculations!$B$2&lt;=Calculations!$B$10*Calculations!$B$4),1,0)</ns0:f>
        <ns0:v>0</ns0:v>
      </ns0:c>
      <ns0:c r="R1837">
        <ns0:f>IF(AND(L1837=1,O1837*Calculations!$B$2&lt;=Calculations!$B$11*Calculations!$B$4),1,0)</ns0:f>
        <ns0:v>1</ns0:v>
      </ns0:c>
    </ns0:row>
    <ns0:row r="1838">
      <ns0:c r="A1838" t="inlineStr">
        <ns0:is>
          <ns0:t>case_1837</ns0:t>
        </ns0:is>
      </ns0:c>
      <ns0:c r="B1838" t="inlineStr">
        <ns0:is>
          <ns0:t>function_0554</ns0:t>
        </ns0:is>
      </ns0:c>
      <ns0:c r="C1838" t="inlineStr">
        <ns0:is>
          <ns0:t>run_017</ns0:t>
        </ns0:is>
      </ns0:c>
      <ns0:c r="D1838" t="inlineStr">
        <ns0:is>
          <ns0:t>semver</ns0:t>
        </ns0:is>
      </ns0:c>
      <ns0:c r="E1838" t="inlineStr">
        <ns0:is>
          <ns0:t>gemini-2.5-flash-nothinking</ns0:t>
        </ns0:is>
      </ns0:c>
      <ns0:c r="F1838" t="inlineStr">
        <ns0:is>
          <ns0:t>E0308,E0433,E0599</ns0:t>
        </ns0:is>
      </ns0:c>
      <ns0:c r="G1838" t="n">
        <ns0:v>0</ns0:v>
      </ns0:c>
      <ns0:c r="H1838" t="n">
        <ns0:v>4492</ns0:v>
      </ns0:c>
      <ns0:c r="I1838" t="n">
        <ns0:v>939</ns0:v>
      </ns0:c>
      <ns0:c r="J1838" t="n">
        <ns0:v>5431</ns0:v>
      </ns0:c>
      <ns0:c r="K1838" t="n">
        <ns0:v>3</ns0:v>
      </ns0:c>
      <ns0:c r="L1838" t="n">
        <ns0:v>1</ns0:v>
      </ns0:c>
      <ns0:c r="M1838" t="n">
        <ns0:v>62742</ns0:v>
      </ns0:c>
      <ns0:c r="N1838" t="n">
        <ns0:v>1475</ns0:v>
      </ns0:c>
      <ns0:c r="O1838" t="n">
        <ns0:v>64217</ns0:v>
      </ns0:c>
      <ns0:c r="P1838" t="n">
        <ns0:v>4</ns0:v>
      </ns0:c>
      <ns0:c r="Q1838">
        <ns0:f>IF(AND(L1838=1,O1838*Calculations!$B$2&lt;=Calculations!$B$10*Calculations!$B$4),1,0)</ns0:f>
        <ns0:v>0</ns0:v>
      </ns0:c>
      <ns0:c r="R1838">
        <ns0:f>IF(AND(L1838=1,O1838*Calculations!$B$2&lt;=Calculations!$B$11*Calculations!$B$4),1,0)</ns0:f>
        <ns0:v>0</ns0:v>
      </ns0:c>
    </ns0:row>
    <ns0:row r="1839">
      <ns0:c r="A1839" t="inlineStr">
        <ns0:is>
          <ns0:t>case_1838</ns0:t>
        </ns0:is>
      </ns0:c>
      <ns0:c r="B1839" t="inlineStr">
        <ns0:is>
          <ns0:t>function_0555</ns0:t>
        </ns0:is>
      </ns0:c>
      <ns0:c r="C1839" t="inlineStr">
        <ns0:is>
          <ns0:t>run_017</ns0:t>
        </ns0:is>
      </ns0:c>
      <ns0:c r="D1839" t="inlineStr">
        <ns0:is>
          <ns0:t>semver</ns0:t>
        </ns0:is>
      </ns0:c>
      <ns0:c r="E1839" t="inlineStr">
        <ns0:is>
          <ns0:t>gemini-2.5-flash-nothinking</ns0:t>
        </ns0:is>
      </ns0:c>
      <ns0:c r="F1839" t="inlineStr">
        <ns0:is>
          <ns0:t>E0432</ns0:t>
        </ns0:is>
      </ns0:c>
      <ns0:c r="G1839" t="n">
        <ns0:v>1</ns0:v>
      </ns0:c>
      <ns0:c r="H1839" t="n">
        <ns0:v>0</ns0:v>
      </ns0:c>
      <ns0:c r="I1839" t="n">
        <ns0:v>0</ns0:v>
      </ns0:c>
      <ns0:c r="J1839" t="n">
        <ns0:v>0</ns0:v>
      </ns0:c>
      <ns0:c r="K1839" t="n">
        <ns0:v>0</ns0:v>
      </ns0:c>
      <ns0:c r="L1839" t="n">
        <ns0:v>0</ns0:v>
      </ns0:c>
      <ns0:c r="M1839" t="n">
        <ns0:v>202989</ns0:v>
      </ns0:c>
      <ns0:c r="N1839" t="n">
        <ns0:v>3433</ns0:v>
      </ns0:c>
      <ns0:c r="O1839" t="n">
        <ns0:v>206422</ns0:v>
      </ns0:c>
      <ns0:c r="P1839" t="n">
        <ns0:v>20</ns0:v>
      </ns0:c>
      <ns0:c r="Q1839">
        <ns0:f>IF(AND(L1839=1,O1839*Calculations!$B$2&lt;=Calculations!$B$10*Calculations!$B$4),1,0)</ns0:f>
        <ns0:v>0</ns0:v>
      </ns0:c>
      <ns0:c r="R1839">
        <ns0:f>IF(AND(L1839=1,O1839*Calculations!$B$2&lt;=Calculations!$B$11*Calculations!$B$4),1,0)</ns0:f>
        <ns0:v>0</ns0:v>
      </ns0:c>
    </ns0:row>
    <ns0:row r="1840">
      <ns0:c r="A1840" t="inlineStr">
        <ns0:is>
          <ns0:t>case_1839</ns0:t>
        </ns0:is>
      </ns0:c>
      <ns0:c r="B1840" t="inlineStr">
        <ns0:is>
          <ns0:t>function_0555</ns0:t>
        </ns0:is>
      </ns0:c>
      <ns0:c r="C1840" t="inlineStr">
        <ns0:is>
          <ns0:t>run_017</ns0:t>
        </ns0:is>
      </ns0:c>
      <ns0:c r="D1840" t="inlineStr">
        <ns0:is>
          <ns0:t>semver</ns0:t>
        </ns0:is>
      </ns0:c>
      <ns0:c r="E1840" t="inlineStr">
        <ns0:is>
          <ns0:t>gemini-2.5-flash-nothinking</ns0:t>
        </ns0:is>
      </ns0:c>
      <ns0:c r="F1840" t="inlineStr">
        <ns0:is>
          <ns0:t>E0433</ns0:t>
        </ns0:is>
      </ns0:c>
      <ns0:c r="G1840" t="n">
        <ns0:v>1</ns0:v>
      </ns0:c>
      <ns0:c r="H1840" t="n">
        <ns0:v>0</ns0:v>
      </ns0:c>
      <ns0:c r="I1840" t="n">
        <ns0:v>0</ns0:v>
      </ns0:c>
      <ns0:c r="J1840" t="n">
        <ns0:v>0</ns0:v>
      </ns0:c>
      <ns0:c r="K1840" t="n">
        <ns0:v>0</ns0:v>
      </ns0:c>
      <ns0:c r="L1840" t="n">
        <ns0:v>1</ns0:v>
      </ns0:c>
      <ns0:c r="M1840" t="n">
        <ns0:v>20110</ns0:v>
      </ns0:c>
      <ns0:c r="N1840" t="n">
        <ns0:v>235</ns0:v>
      </ns0:c>
      <ns0:c r="O1840" t="n">
        <ns0:v>20345</ns0:v>
      </ns0:c>
      <ns0:c r="P1840" t="n">
        <ns0:v>3</ns0:v>
      </ns0:c>
      <ns0:c r="Q1840">
        <ns0:f>IF(AND(L1840=1,O1840*Calculations!$B$2&lt;=Calculations!$B$10*Calculations!$B$4),1,0)</ns0:f>
        <ns0:v>1</ns0:v>
      </ns0:c>
      <ns0:c r="R1840">
        <ns0:f>IF(AND(L1840=1,O1840*Calculations!$B$2&lt;=Calculations!$B$11*Calculations!$B$4),1,0)</ns0:f>
        <ns0:v>1</ns0:v>
      </ns0:c>
    </ns0:row>
    <ns0:row r="1841">
      <ns0:c r="A1841" t="inlineStr">
        <ns0:is>
          <ns0:t>case_1840</ns0:t>
        </ns0:is>
      </ns0:c>
      <ns0:c r="B1841" t="inlineStr">
        <ns0:is>
          <ns0:t>function_0556</ns0:t>
        </ns0:is>
      </ns0:c>
      <ns0:c r="C1841" t="inlineStr">
        <ns0:is>
          <ns0:t>run_017</ns0:t>
        </ns0:is>
      </ns0:c>
      <ns0:c r="D1841" t="inlineStr">
        <ns0:is>
          <ns0:t>semver</ns0:t>
        </ns0:is>
      </ns0:c>
      <ns0:c r="E1841" t="inlineStr">
        <ns0:is>
          <ns0:t>gemini-2.5-flash-nothinking</ns0:t>
        </ns0:is>
      </ns0:c>
      <ns0:c r="F1841" t="inlineStr">
        <ns0:is>
          <ns0:t>E0061,E0308,E0599</ns0:t>
        </ns0:is>
      </ns0:c>
      <ns0:c r="G1841" t="n">
        <ns0:v>0</ns0:v>
      </ns0:c>
      <ns0:c r="H1841" t="n">
        <ns0:v>7687</ns0:v>
      </ns0:c>
      <ns0:c r="I1841" t="n">
        <ns0:v>710</ns0:v>
      </ns0:c>
      <ns0:c r="J1841" t="n">
        <ns0:v>8397</ns0:v>
      </ns0:c>
      <ns0:c r="K1841" t="n">
        <ns0:v>8</ns0:v>
      </ns0:c>
      <ns0:c r="L1841" t="n">
        <ns0:v>1</ns0:v>
      </ns0:c>
      <ns0:c r="M1841" t="n">
        <ns0:v>75731</ns0:v>
      </ns0:c>
      <ns0:c r="N1841" t="n">
        <ns0:v>972</ns0:v>
      </ns0:c>
      <ns0:c r="O1841" t="n">
        <ns0:v>76703</ns0:v>
      </ns0:c>
      <ns0:c r="P1841" t="n">
        <ns0:v>8</ns0:v>
      </ns0:c>
      <ns0:c r="Q1841">
        <ns0:f>IF(AND(L1841=1,O1841*Calculations!$B$2&lt;=Calculations!$B$10*Calculations!$B$4),1,0)</ns0:f>
        <ns0:v>0</ns0:v>
      </ns0:c>
      <ns0:c r="R1841">
        <ns0:f>IF(AND(L1841=1,O1841*Calculations!$B$2&lt;=Calculations!$B$11*Calculations!$B$4),1,0)</ns0:f>
        <ns0:v>0</ns0:v>
      </ns0:c>
    </ns0:row>
    <ns0:row r="1842">
      <ns0:c r="A1842" t="inlineStr">
        <ns0:is>
          <ns0:t>case_1841</ns0:t>
        </ns0:is>
      </ns0:c>
      <ns0:c r="B1842" t="inlineStr">
        <ns0:is>
          <ns0:t>function_0557</ns0:t>
        </ns0:is>
      </ns0:c>
      <ns0:c r="C1842" t="inlineStr">
        <ns0:is>
          <ns0:t>run_017</ns0:t>
        </ns0:is>
      </ns0:c>
      <ns0:c r="D1842" t="inlineStr">
        <ns0:is>
          <ns0:t>semver</ns0:t>
        </ns0:is>
      </ns0:c>
      <ns0:c r="E1842" t="inlineStr">
        <ns0:is>
          <ns0:t>gemini-2.5-flash-nothinking</ns0:t>
        </ns0:is>
      </ns0:c>
      <ns0:c r="F1842" t="inlineStr">
        <ns0:is>
          <ns0:t>E0308,E0599,E0603</ns0:t>
        </ns0:is>
      </ns0:c>
      <ns0:c r="G1842" t="n">
        <ns0:v>0</ns0:v>
      </ns0:c>
      <ns0:c r="H1842" t="n">
        <ns0:v>4528</ns0:v>
      </ns0:c>
      <ns0:c r="I1842" t="n">
        <ns0:v>1293</ns0:v>
      </ns0:c>
      <ns0:c r="J1842" t="n">
        <ns0:v>5821</ns0:v>
      </ns0:c>
      <ns0:c r="K1842" t="n">
        <ns0:v>3</ns0:v>
      </ns0:c>
      <ns0:c r="L1842" t="n">
        <ns0:v>0</ns0:v>
      </ns0:c>
      <ns0:c r="M1842" t="n">
        <ns0:v>243952</ns0:v>
      </ns0:c>
      <ns0:c r="N1842" t="n">
        <ns0:v>1797</ns0:v>
      </ns0:c>
      <ns0:c r="O1842" t="n">
        <ns0:v>245749</ns0:v>
      </ns0:c>
      <ns0:c r="P1842" t="n">
        <ns0:v>14</ns0:v>
      </ns0:c>
      <ns0:c r="Q1842">
        <ns0:f>IF(AND(L1842=1,O1842*Calculations!$B$2&lt;=Calculations!$B$10*Calculations!$B$4),1,0)</ns0:f>
        <ns0:v>0</ns0:v>
      </ns0:c>
      <ns0:c r="R1842">
        <ns0:f>IF(AND(L1842=1,O1842*Calculations!$B$2&lt;=Calculations!$B$11*Calculations!$B$4),1,0)</ns0:f>
        <ns0:v>0</ns0:v>
      </ns0:c>
    </ns0:row>
    <ns0:row r="1843">
      <ns0:c r="A1843" t="inlineStr">
        <ns0:is>
          <ns0:t>case_1842</ns0:t>
        </ns0:is>
      </ns0:c>
      <ns0:c r="B1843" t="inlineStr">
        <ns0:is>
          <ns0:t>function_0558</ns0:t>
        </ns0:is>
      </ns0:c>
      <ns0:c r="C1843" t="inlineStr">
        <ns0:is>
          <ns0:t>run_017</ns0:t>
        </ns0:is>
      </ns0:c>
      <ns0:c r="D1843" t="inlineStr">
        <ns0:is>
          <ns0:t>semver</ns0:t>
        </ns0:is>
      </ns0:c>
      <ns0:c r="E1843" t="inlineStr">
        <ns0:is>
          <ns0:t>gemini-2.5-flash-nothinking</ns0:t>
        </ns0:is>
      </ns0:c>
      <ns0:c r="F1843" t="inlineStr">
        <ns0:is>
          <ns0:t>E0433</ns0:t>
        </ns0:is>
      </ns0:c>
      <ns0:c r="G1843" t="n">
        <ns0:v>1</ns0:v>
      </ns0:c>
      <ns0:c r="H1843" t="n">
        <ns0:v>0</ns0:v>
      </ns0:c>
      <ns0:c r="I1843" t="n">
        <ns0:v>0</ns0:v>
      </ns0:c>
      <ns0:c r="J1843" t="n">
        <ns0:v>0</ns0:v>
      </ns0:c>
      <ns0:c r="K1843" t="n">
        <ns0:v>0</ns0:v>
      </ns0:c>
      <ns0:c r="L1843" t="n">
        <ns0:v>1</ns0:v>
      </ns0:c>
      <ns0:c r="M1843" t="n">
        <ns0:v>20037</ns0:v>
      </ns0:c>
      <ns0:c r="N1843" t="n">
        <ns0:v>407</ns0:v>
      </ns0:c>
      <ns0:c r="O1843" t="n">
        <ns0:v>20444</ns0:v>
      </ns0:c>
      <ns0:c r="P1843" t="n">
        <ns0:v>3</ns0:v>
      </ns0:c>
      <ns0:c r="Q1843">
        <ns0:f>IF(AND(L1843=1,O1843*Calculations!$B$2&lt;=Calculations!$B$10*Calculations!$B$4),1,0)</ns0:f>
        <ns0:v>1</ns0:v>
      </ns0:c>
      <ns0:c r="R1843">
        <ns0:f>IF(AND(L1843=1,O1843*Calculations!$B$2&lt;=Calculations!$B$11*Calculations!$B$4),1,0)</ns0:f>
        <ns0:v>1</ns0:v>
      </ns0:c>
    </ns0:row>
    <ns0:row r="1844">
      <ns0:c r="A1844" t="inlineStr">
        <ns0:is>
          <ns0:t>case_1843</ns0:t>
        </ns0:is>
      </ns0:c>
      <ns0:c r="B1844" t="inlineStr">
        <ns0:is>
          <ns0:t>function_0559</ns0:t>
        </ns0:is>
      </ns0:c>
      <ns0:c r="C1844" t="inlineStr">
        <ns0:is>
          <ns0:t>run_017</ns0:t>
        </ns0:is>
      </ns0:c>
      <ns0:c r="D1844" t="inlineStr">
        <ns0:is>
          <ns0:t>semver</ns0:t>
        </ns0:is>
      </ns0:c>
      <ns0:c r="E1844" t="inlineStr">
        <ns0:is>
          <ns0:t>gemini-2.5-flash-nothinking</ns0:t>
        </ns0:is>
      </ns0:c>
      <ns0:c r="F1844" t="inlineStr">
        <ns0:is>
          <ns0:t>E0433</ns0:t>
        </ns0:is>
      </ns0:c>
      <ns0:c r="G1844" t="n">
        <ns0:v>1</ns0:v>
      </ns0:c>
      <ns0:c r="H1844" t="n">
        <ns0:v>0</ns0:v>
      </ns0:c>
      <ns0:c r="I1844" t="n">
        <ns0:v>0</ns0:v>
      </ns0:c>
      <ns0:c r="J1844" t="n">
        <ns0:v>0</ns0:v>
      </ns0:c>
      <ns0:c r="K1844" t="n">
        <ns0:v>0</ns0:v>
      </ns0:c>
      <ns0:c r="L1844" t="n">
        <ns0:v>1</ns0:v>
      </ns0:c>
      <ns0:c r="M1844" t="n">
        <ns0:v>20046</ns0:v>
      </ns0:c>
      <ns0:c r="N1844" t="n">
        <ns0:v>369</ns0:v>
      </ns0:c>
      <ns0:c r="O1844" t="n">
        <ns0:v>20415</ns0:v>
      </ns0:c>
      <ns0:c r="P1844" t="n">
        <ns0:v>3</ns0:v>
      </ns0:c>
      <ns0:c r="Q1844">
        <ns0:f>IF(AND(L1844=1,O1844*Calculations!$B$2&lt;=Calculations!$B$10*Calculations!$B$4),1,0)</ns0:f>
        <ns0:v>1</ns0:v>
      </ns0:c>
      <ns0:c r="R1844">
        <ns0:f>IF(AND(L1844=1,O1844*Calculations!$B$2&lt;=Calculations!$B$11*Calculations!$B$4),1,0)</ns0:f>
        <ns0:v>1</ns0:v>
      </ns0:c>
    </ns0:row>
    <ns0:row r="1845">
      <ns0:c r="A1845" t="inlineStr">
        <ns0:is>
          <ns0:t>case_1844</ns0:t>
        </ns0:is>
      </ns0:c>
      <ns0:c r="B1845" t="inlineStr">
        <ns0:is>
          <ns0:t>function_0560</ns0:t>
        </ns0:is>
      </ns0:c>
      <ns0:c r="C1845" t="inlineStr">
        <ns0:is>
          <ns0:t>run_017</ns0:t>
        </ns0:is>
      </ns0:c>
      <ns0:c r="D1845" t="inlineStr">
        <ns0:is>
          <ns0:t>semver</ns0:t>
        </ns0:is>
      </ns0:c>
      <ns0:c r="E1845" t="inlineStr">
        <ns0:is>
          <ns0:t>gemini-2.5-flash-nothinking</ns0:t>
        </ns0:is>
      </ns0:c>
      <ns0:c r="F1845" t="inlineStr">
        <ns0:is>
          <ns0:t>E0433,E0574</ns0:t>
        </ns0:is>
      </ns0:c>
      <ns0:c r="G1845" t="n">
        <ns0:v>0</ns0:v>
      </ns0:c>
      <ns0:c r="H1845" t="n">
        <ns0:v>2140</ns0:v>
      </ns0:c>
      <ns0:c r="I1845" t="n">
        <ns0:v>197</ns0:v>
      </ns0:c>
      <ns0:c r="J1845" t="n">
        <ns0:v>2337</ns0:v>
      </ns0:c>
      <ns0:c r="K1845" t="n">
        <ns0:v>3</ns0:v>
      </ns0:c>
      <ns0:c r="L1845" t="n">
        <ns0:v>1</ns0:v>
      </ns0:c>
      <ns0:c r="M1845" t="n">
        <ns0:v>81929</ns0:v>
      </ns0:c>
      <ns0:c r="N1845" t="n">
        <ns0:v>1049</ns0:v>
      </ns0:c>
      <ns0:c r="O1845" t="n">
        <ns0:v>82978</ns0:v>
      </ns0:c>
      <ns0:c r="P1845" t="n">
        <ns0:v>7</ns0:v>
      </ns0:c>
      <ns0:c r="Q1845">
        <ns0:f>IF(AND(L1845=1,O1845*Calculations!$B$2&lt;=Calculations!$B$10*Calculations!$B$4),1,0)</ns0:f>
        <ns0:v>0</ns0:v>
      </ns0:c>
      <ns0:c r="R1845">
        <ns0:f>IF(AND(L1845=1,O1845*Calculations!$B$2&lt;=Calculations!$B$11*Calculations!$B$4),1,0)</ns0:f>
        <ns0:v>0</ns0:v>
      </ns0:c>
    </ns0:row>
    <ns0:row r="1846">
      <ns0:c r="A1846" t="inlineStr">
        <ns0:is>
          <ns0:t>case_1845</ns0:t>
        </ns0:is>
      </ns0:c>
      <ns0:c r="B1846" t="inlineStr">
        <ns0:is>
          <ns0:t>function_0560</ns0:t>
        </ns0:is>
      </ns0:c>
      <ns0:c r="C1846" t="inlineStr">
        <ns0:is>
          <ns0:t>run_017</ns0:t>
        </ns0:is>
      </ns0:c>
      <ns0:c r="D1846" t="inlineStr">
        <ns0:is>
          <ns0:t>semver</ns0:t>
        </ns0:is>
      </ns0:c>
      <ns0:c r="E1846" t="inlineStr">
        <ns0:is>
          <ns0:t>gemini-2.5-flash-nothinking</ns0:t>
        </ns0:is>
      </ns0:c>
      <ns0:c r="F1846" t="inlineStr">
        <ns0:is>
          <ns0:t>E0432,E0599</ns0:t>
        </ns0:is>
      </ns0:c>
      <ns0:c r="G1846" t="n">
        <ns0:v>0</ns0:v>
      </ns0:c>
      <ns0:c r="H1846" t="n">
        <ns0:v>2785</ns0:v>
      </ns0:c>
      <ns0:c r="I1846" t="n">
        <ns0:v>160</ns0:v>
      </ns0:c>
      <ns0:c r="J1846" t="n">
        <ns0:v>2945</ns0:v>
      </ns0:c>
      <ns0:c r="K1846" t="n">
        <ns0:v>3</ns0:v>
      </ns0:c>
      <ns0:c r="L1846" t="n">
        <ns0:v>1</ns0:v>
      </ns0:c>
      <ns0:c r="M1846" t="n">
        <ns0:v>47955</ns0:v>
      </ns0:c>
      <ns0:c r="N1846" t="n">
        <ns0:v>1101</ns0:v>
      </ns0:c>
      <ns0:c r="O1846" t="n">
        <ns0:v>49056</ns0:v>
      </ns0:c>
      <ns0:c r="P1846" t="n">
        <ns0:v>6</ns0:v>
      </ns0:c>
      <ns0:c r="Q1846">
        <ns0:f>IF(AND(L1846=1,O1846*Calculations!$B$2&lt;=Calculations!$B$10*Calculations!$B$4),1,0)</ns0:f>
        <ns0:v>0</ns0:v>
      </ns0:c>
      <ns0:c r="R1846">
        <ns0:f>IF(AND(L1846=1,O1846*Calculations!$B$2&lt;=Calculations!$B$11*Calculations!$B$4),1,0)</ns0:f>
        <ns0:v>0</ns0:v>
      </ns0:c>
    </ns0:row>
    <ns0:row r="1847">
      <ns0:c r="A1847" t="inlineStr">
        <ns0:is>
          <ns0:t>case_1846</ns0:t>
        </ns0:is>
      </ns0:c>
      <ns0:c r="B1847" t="inlineStr">
        <ns0:is>
          <ns0:t>function_0560</ns0:t>
        </ns0:is>
      </ns0:c>
      <ns0:c r="C1847" t="inlineStr">
        <ns0:is>
          <ns0:t>run_017</ns0:t>
        </ns0:is>
      </ns0:c>
      <ns0:c r="D1847" t="inlineStr">
        <ns0:is>
          <ns0:t>semver</ns0:t>
        </ns0:is>
      </ns0:c>
      <ns0:c r="E1847" t="inlineStr">
        <ns0:is>
          <ns0:t>gemini-2.5-flash-nothinking</ns0:t>
        </ns0:is>
      </ns0:c>
      <ns0:c r="F1847" t="inlineStr">
        <ns0:is>
          <ns0:t>E0599</ns0:t>
        </ns0:is>
      </ns0:c>
      <ns0:c r="G1847" t="n">
        <ns0:v>0</ns0:v>
      </ns0:c>
      <ns0:c r="H1847" t="n">
        <ns0:v>2246</ns0:v>
      </ns0:c>
      <ns0:c r="I1847" t="n">
        <ns0:v>207</ns0:v>
      </ns0:c>
      <ns0:c r="J1847" t="n">
        <ns0:v>2453</ns0:v>
      </ns0:c>
      <ns0:c r="K1847" t="n">
        <ns0:v>3</ns0:v>
      </ns0:c>
      <ns0:c r="L1847" t="n">
        <ns0:v>0</ns0:v>
      </ns0:c>
      <ns0:c r="M1847" t="n">
        <ns0:v>94970</ns0:v>
      </ns0:c>
      <ns0:c r="N1847" t="n">
        <ns0:v>933</ns0:v>
      </ns0:c>
      <ns0:c r="O1847" t="n">
        <ns0:v>95903</ns0:v>
      </ns0:c>
      <ns0:c r="P1847" t="n">
        <ns0:v>8</ns0:v>
      </ns0:c>
      <ns0:c r="Q1847">
        <ns0:f>IF(AND(L1847=1,O1847*Calculations!$B$2&lt;=Calculations!$B$10*Calculations!$B$4),1,0)</ns0:f>
        <ns0:v>0</ns0:v>
      </ns0:c>
      <ns0:c r="R1847">
        <ns0:f>IF(AND(L1847=1,O1847*Calculations!$B$2&lt;=Calculations!$B$11*Calculations!$B$4),1,0)</ns0:f>
        <ns0:v>0</ns0:v>
      </ns0:c>
    </ns0:row>
    <ns0:row r="1848">
      <ns0:c r="A1848" t="inlineStr">
        <ns0:is>
          <ns0:t>case_1847</ns0:t>
        </ns0:is>
      </ns0:c>
      <ns0:c r="B1848" t="inlineStr">
        <ns0:is>
          <ns0:t>function_0561</ns0:t>
        </ns0:is>
      </ns0:c>
      <ns0:c r="C1848" t="inlineStr">
        <ns0:is>
          <ns0:t>run_017</ns0:t>
        </ns0:is>
      </ns0:c>
      <ns0:c r="D1848" t="inlineStr">
        <ns0:is>
          <ns0:t>semver</ns0:t>
        </ns0:is>
      </ns0:c>
      <ns0:c r="E1848" t="inlineStr">
        <ns0:is>
          <ns0:t>gemini-2.5-flash-nothinking</ns0:t>
        </ns0:is>
      </ns0:c>
      <ns0:c r="F1848" t="inlineStr">
        <ns0:is>
          <ns0:t>E0432,E0599,E0603</ns0:t>
        </ns0:is>
      </ns0:c>
      <ns0:c r="G1848" t="n">
        <ns0:v>0</ns0:v>
      </ns0:c>
      <ns0:c r="H1848" t="n">
        <ns0:v>5370</ns0:v>
      </ns0:c>
      <ns0:c r="I1848" t="n">
        <ns0:v>2031</ns0:v>
      </ns0:c>
      <ns0:c r="J1848" t="n">
        <ns0:v>7401</ns0:v>
      </ns0:c>
      <ns0:c r="K1848" t="n">
        <ns0:v>3</ns0:v>
      </ns0:c>
      <ns0:c r="L1848" t="n">
        <ns0:v>0</ns0:v>
      </ns0:c>
      <ns0:c r="M1848" t="n">
        <ns0:v>192742</ns0:v>
      </ns0:c>
      <ns0:c r="N1848" t="n">
        <ns0:v>2711</ns0:v>
      </ns0:c>
      <ns0:c r="O1848" t="n">
        <ns0:v>195453</ns0:v>
      </ns0:c>
      <ns0:c r="P1848" t="n">
        <ns0:v>20</ns0:v>
      </ns0:c>
      <ns0:c r="Q1848">
        <ns0:f>IF(AND(L1848=1,O1848*Calculations!$B$2&lt;=Calculations!$B$10*Calculations!$B$4),1,0)</ns0:f>
        <ns0:v>0</ns0:v>
      </ns0:c>
      <ns0:c r="R1848">
        <ns0:f>IF(AND(L1848=1,O1848*Calculations!$B$2&lt;=Calculations!$B$11*Calculations!$B$4),1,0)</ns0:f>
        <ns0:v>0</ns0:v>
      </ns0:c>
    </ns0:row>
    <ns0:row r="1849">
      <ns0:c r="A1849" t="inlineStr">
        <ns0:is>
          <ns0:t>case_1848</ns0:t>
        </ns0:is>
      </ns0:c>
      <ns0:c r="B1849" t="inlineStr">
        <ns0:is>
          <ns0:t>function_0561</ns0:t>
        </ns0:is>
      </ns0:c>
      <ns0:c r="C1849" t="inlineStr">
        <ns0:is>
          <ns0:t>run_017</ns0:t>
        </ns0:is>
      </ns0:c>
      <ns0:c r="D1849" t="inlineStr">
        <ns0:is>
          <ns0:t>semver</ns0:t>
        </ns0:is>
      </ns0:c>
      <ns0:c r="E1849" t="inlineStr">
        <ns0:is>
          <ns0:t>gemini-2.5-flash-nothinking</ns0:t>
        </ns0:is>
      </ns0:c>
      <ns0:c r="F1849" t="inlineStr">
        <ns0:is>
          <ns0:t>E0432,E0433</ns0:t>
        </ns0:is>
      </ns0:c>
      <ns0:c r="G1849" t="n">
        <ns0:v>0</ns0:v>
      </ns0:c>
      <ns0:c r="H1849" t="n">
        <ns0:v>2172</ns0:v>
      </ns0:c>
      <ns0:c r="I1849" t="n">
        <ns0:v>153</ns0:v>
      </ns0:c>
      <ns0:c r="J1849" t="n">
        <ns0:v>2325</ns0:v>
      </ns0:c>
      <ns0:c r="K1849" t="n">
        <ns0:v>3</ns0:v>
      </ns0:c>
      <ns0:c r="L1849" t="n">
        <ns0:v>1</ns0:v>
      </ns0:c>
      <ns0:c r="M1849" t="n">
        <ns0:v>191689</ns0:v>
      </ns0:c>
      <ns0:c r="N1849" t="n">
        <ns0:v>1590</ns0:v>
      </ns0:c>
      <ns0:c r="O1849" t="n">
        <ns0:v>193279</ns0:v>
      </ns0:c>
      <ns0:c r="P1849" t="n">
        <ns0:v>14</ns0:v>
      </ns0:c>
      <ns0:c r="Q1849">
        <ns0:f>IF(AND(L1849=1,O1849*Calculations!$B$2&lt;=Calculations!$B$10*Calculations!$B$4),1,0)</ns0:f>
        <ns0:v>0</ns0:v>
      </ns0:c>
      <ns0:c r="R1849">
        <ns0:f>IF(AND(L1849=1,O1849*Calculations!$B$2&lt;=Calculations!$B$11*Calculations!$B$4),1,0)</ns0:f>
        <ns0:v>0</ns0:v>
      </ns0:c>
    </ns0:row>
    <ns0:row r="1850">
      <ns0:c r="A1850" t="inlineStr">
        <ns0:is>
          <ns0:t>case_1849</ns0:t>
        </ns0:is>
      </ns0:c>
      <ns0:c r="B1850" t="inlineStr">
        <ns0:is>
          <ns0:t>function_0562</ns0:t>
        </ns0:is>
      </ns0:c>
      <ns0:c r="C1850" t="inlineStr">
        <ns0:is>
          <ns0:t>run_017</ns0:t>
        </ns0:is>
      </ns0:c>
      <ns0:c r="D1850" t="inlineStr">
        <ns0:is>
          <ns0:t>semver</ns0:t>
        </ns0:is>
      </ns0:c>
      <ns0:c r="E1850" t="inlineStr">
        <ns0:is>
          <ns0:t>gemini-2.5-flash-nothinking</ns0:t>
        </ns0:is>
      </ns0:c>
      <ns0:c r="F1850" t="inlineStr">
        <ns0:is>
          <ns0:t>E0277,E0369,E0432,E0599</ns0:t>
        </ns0:is>
      </ns0:c>
      <ns0:c r="G1850" t="n">
        <ns0:v>0</ns0:v>
      </ns0:c>
      <ns0:c r="H1850" t="n">
        <ns0:v>0</ns0:v>
      </ns0:c>
      <ns0:c r="I1850" t="n">
        <ns0:v>0</ns0:v>
      </ns0:c>
      <ns0:c r="J1850" t="n">
        <ns0:v>0</ns0:v>
      </ns0:c>
      <ns0:c r="K1850" t="n">
        <ns0:v>0</ns0:v>
      </ns0:c>
      <ns0:c r="L1850" t="n">
        <ns0:v>0</ns0:v>
      </ns0:c>
      <ns0:c r="M1850" t="n">
        <ns0:v>225381</ns0:v>
      </ns0:c>
      <ns0:c r="N1850" t="n">
        <ns0:v>2129</ns0:v>
      </ns0:c>
      <ns0:c r="O1850" t="n">
        <ns0:v>227510</ns0:v>
      </ns0:c>
      <ns0:c r="P1850" t="n">
        <ns0:v>20</ns0:v>
      </ns0:c>
      <ns0:c r="Q1850">
        <ns0:f>IF(AND(L1850=1,O1850*Calculations!$B$2&lt;=Calculations!$B$10*Calculations!$B$4),1,0)</ns0:f>
        <ns0:v>0</ns0:v>
      </ns0:c>
      <ns0:c r="R1850">
        <ns0:f>IF(AND(L1850=1,O1850*Calculations!$B$2&lt;=Calculations!$B$11*Calculations!$B$4),1,0)</ns0:f>
        <ns0:v>0</ns0:v>
      </ns0:c>
    </ns0:row>
    <ns0:row r="1851">
      <ns0:c r="A1851" t="inlineStr">
        <ns0:is>
          <ns0:t>case_1850</ns0:t>
        </ns0:is>
      </ns0:c>
      <ns0:c r="B1851" t="inlineStr">
        <ns0:is>
          <ns0:t>function_0562</ns0:t>
        </ns0:is>
      </ns0:c>
      <ns0:c r="C1851" t="inlineStr">
        <ns0:is>
          <ns0:t>run_017</ns0:t>
        </ns0:is>
      </ns0:c>
      <ns0:c r="D1851" t="inlineStr">
        <ns0:is>
          <ns0:t>semver</ns0:t>
        </ns0:is>
      </ns0:c>
      <ns0:c r="E1851" t="inlineStr">
        <ns0:is>
          <ns0:t>gemini-2.5-flash-nothinking</ns0:t>
        </ns0:is>
      </ns0:c>
      <ns0:c r="F1851" t="inlineStr">
        <ns0:is>
          <ns0:t>E0277,E0432,E0433,E0599</ns0:t>
        </ns0:is>
      </ns0:c>
      <ns0:c r="G1851" t="n">
        <ns0:v>0</ns0:v>
      </ns0:c>
      <ns0:c r="H1851" t="n">
        <ns0:v>13937</ns0:v>
      </ns0:c>
      <ns0:c r="I1851" t="n">
        <ns0:v>3442</ns0:v>
      </ns0:c>
      <ns0:c r="J1851" t="n">
        <ns0:v>17379</ns0:v>
      </ns0:c>
      <ns0:c r="K1851" t="n">
        <ns0:v>3</ns0:v>
      </ns0:c>
      <ns0:c r="L1851" t="n">
        <ns0:v>0</ns0:v>
      </ns0:c>
      <ns0:c r="M1851" t="n">
        <ns0:v>147965</ns0:v>
      </ns0:c>
      <ns0:c r="N1851" t="n">
        <ns0:v>2158</ns0:v>
      </ns0:c>
      <ns0:c r="O1851" t="n">
        <ns0:v>150123</ns0:v>
      </ns0:c>
      <ns0:c r="P1851" t="n">
        <ns0:v>10</ns0:v>
      </ns0:c>
      <ns0:c r="Q1851">
        <ns0:f>IF(AND(L1851=1,O1851*Calculations!$B$2&lt;=Calculations!$B$10*Calculations!$B$4),1,0)</ns0:f>
        <ns0:v>0</ns0:v>
      </ns0:c>
      <ns0:c r="R1851">
        <ns0:f>IF(AND(L1851=1,O1851*Calculations!$B$2&lt;=Calculations!$B$11*Calculations!$B$4),1,0)</ns0:f>
        <ns0:v>0</ns0:v>
      </ns0:c>
    </ns0:row>
    <ns0:row r="1852">
      <ns0:c r="A1852" t="inlineStr">
        <ns0:is>
          <ns0:t>case_1851</ns0:t>
        </ns0:is>
      </ns0:c>
      <ns0:c r="B1852" t="inlineStr">
        <ns0:is>
          <ns0:t>function_0563</ns0:t>
        </ns0:is>
      </ns0:c>
      <ns0:c r="C1852" t="inlineStr">
        <ns0:is>
          <ns0:t>run_017</ns0:t>
        </ns0:is>
      </ns0:c>
      <ns0:c r="D1852" t="inlineStr">
        <ns0:is>
          <ns0:t>semver</ns0:t>
        </ns0:is>
      </ns0:c>
      <ns0:c r="E1852" t="inlineStr">
        <ns0:is>
          <ns0:t>gemini-2.5-flash-nothinking</ns0:t>
        </ns0:is>
      </ns0:c>
      <ns0:c r="F1852" t="inlineStr">
        <ns0:is>
          <ns0:t>E0277,E0369,E0599</ns0:t>
        </ns0:is>
      </ns0:c>
      <ns0:c r="G1852" t="n">
        <ns0:v>0</ns0:v>
      </ns0:c>
      <ns0:c r="H1852" t="n">
        <ns0:v>7528</ns0:v>
      </ns0:c>
      <ns0:c r="I1852" t="n">
        <ns0:v>1036</ns0:v>
      </ns0:c>
      <ns0:c r="J1852" t="n">
        <ns0:v>8564</ns0:v>
      </ns0:c>
      <ns0:c r="K1852" t="n">
        <ns0:v>10</ns0:v>
      </ns0:c>
      <ns0:c r="L1852" t="n">
        <ns0:v>0</ns0:v>
      </ns0:c>
      <ns0:c r="M1852" t="n">
        <ns0:v>70074</ns0:v>
      </ns0:c>
      <ns0:c r="N1852" t="n">
        <ns0:v>1085</ns0:v>
      </ns0:c>
      <ns0:c r="O1852" t="n">
        <ns0:v>71159</ns0:v>
      </ns0:c>
      <ns0:c r="P1852" t="n">
        <ns0:v>7</ns0:v>
      </ns0:c>
      <ns0:c r="Q1852">
        <ns0:f>IF(AND(L1852=1,O1852*Calculations!$B$2&lt;=Calculations!$B$10*Calculations!$B$4),1,0)</ns0:f>
        <ns0:v>0</ns0:v>
      </ns0:c>
      <ns0:c r="R1852">
        <ns0:f>IF(AND(L1852=1,O1852*Calculations!$B$2&lt;=Calculations!$B$11*Calculations!$B$4),1,0)</ns0:f>
        <ns0:v>0</ns0:v>
      </ns0:c>
    </ns0:row>
    <ns0:row r="1853">
      <ns0:c r="A1853" t="inlineStr">
        <ns0:is>
          <ns0:t>case_1852</ns0:t>
        </ns0:is>
      </ns0:c>
      <ns0:c r="B1853" t="inlineStr">
        <ns0:is>
          <ns0:t>function_0563</ns0:t>
        </ns0:is>
      </ns0:c>
      <ns0:c r="C1853" t="inlineStr">
        <ns0:is>
          <ns0:t>run_017</ns0:t>
        </ns0:is>
      </ns0:c>
      <ns0:c r="D1853" t="inlineStr">
        <ns0:is>
          <ns0:t>semver</ns0:t>
        </ns0:is>
      </ns0:c>
      <ns0:c r="E1853" t="inlineStr">
        <ns0:is>
          <ns0:t>gemini-2.5-flash-nothinking</ns0:t>
        </ns0:is>
      </ns0:c>
      <ns0:c r="F1853" t="inlineStr">
        <ns0:is>
          <ns0:t>E0433,E0603</ns0:t>
        </ns0:is>
      </ns0:c>
      <ns0:c r="G1853" t="n">
        <ns0:v>0</ns0:v>
      </ns0:c>
      <ns0:c r="H1853" t="n">
        <ns0:v>4645</ns0:v>
      </ns0:c>
      <ns0:c r="I1853" t="n">
        <ns0:v>621</ns0:v>
      </ns0:c>
      <ns0:c r="J1853" t="n">
        <ns0:v>5266</ns0:v>
      </ns0:c>
      <ns0:c r="K1853" t="n">
        <ns0:v>6</ns0:v>
      </ns0:c>
      <ns0:c r="L1853" t="n">
        <ns0:v>0</ns0:v>
      </ns0:c>
      <ns0:c r="M1853" t="n">
        <ns0:v>247198</ns0:v>
      </ns0:c>
      <ns0:c r="N1853" t="n">
        <ns0:v>2144</ns0:v>
      </ns0:c>
      <ns0:c r="O1853" t="n">
        <ns0:v>249342</ns0:v>
      </ns0:c>
      <ns0:c r="P1853" t="n">
        <ns0:v>14</ns0:v>
      </ns0:c>
      <ns0:c r="Q1853">
        <ns0:f>IF(AND(L1853=1,O1853*Calculations!$B$2&lt;=Calculations!$B$10*Calculations!$B$4),1,0)</ns0:f>
        <ns0:v>0</ns0:v>
      </ns0:c>
      <ns0:c r="R1853">
        <ns0:f>IF(AND(L1853=1,O1853*Calculations!$B$2&lt;=Calculations!$B$11*Calculations!$B$4),1,0)</ns0:f>
        <ns0:v>0</ns0:v>
      </ns0:c>
    </ns0:row>
    <ns0:row r="1854">
      <ns0:c r="A1854" t="inlineStr">
        <ns0:is>
          <ns0:t>case_1853</ns0:t>
        </ns0:is>
      </ns0:c>
      <ns0:c r="B1854" t="inlineStr">
        <ns0:is>
          <ns0:t>function_0564</ns0:t>
        </ns0:is>
      </ns0:c>
      <ns0:c r="C1854" t="inlineStr">
        <ns0:is>
          <ns0:t>run_017</ns0:t>
        </ns0:is>
      </ns0:c>
      <ns0:c r="D1854" t="inlineStr">
        <ns0:is>
          <ns0:t>semver</ns0:t>
        </ns0:is>
      </ns0:c>
      <ns0:c r="E1854" t="inlineStr">
        <ns0:is>
          <ns0:t>gemini-2.5-flash-nothinking</ns0:t>
        </ns0:is>
      </ns0:c>
      <ns0:c r="F1854" t="inlineStr">
        <ns0:is>
          <ns0:t>E0599</ns0:t>
        </ns0:is>
      </ns0:c>
      <ns0:c r="G1854" t="n">
        <ns0:v>0</ns0:v>
      </ns0:c>
      <ns0:c r="H1854" t="n">
        <ns0:v>21143</ns0:v>
      </ns0:c>
      <ns0:c r="I1854" t="n">
        <ns0:v>2893</ns0:v>
      </ns0:c>
      <ns0:c r="J1854" t="n">
        <ns0:v>24036</ns0:v>
      </ns0:c>
      <ns0:c r="K1854" t="n">
        <ns0:v>29</ns0:v>
      </ns0:c>
      <ns0:c r="L1854" t="n">
        <ns0:v>0</ns0:v>
      </ns0:c>
      <ns0:c r="M1854" t="n">
        <ns0:v>259293</ns0:v>
      </ns0:c>
      <ns0:c r="N1854" t="n">
        <ns0:v>1828</ns0:v>
      </ns0:c>
      <ns0:c r="O1854" t="n">
        <ns0:v>261121</ns0:v>
      </ns0:c>
      <ns0:c r="P1854" t="n">
        <ns0:v>20</ns0:v>
      </ns0:c>
      <ns0:c r="Q1854">
        <ns0:f>IF(AND(L1854=1,O1854*Calculations!$B$2&lt;=Calculations!$B$10*Calculations!$B$4),1,0)</ns0:f>
        <ns0:v>0</ns0:v>
      </ns0:c>
      <ns0:c r="R1854">
        <ns0:f>IF(AND(L1854=1,O1854*Calculations!$B$2&lt;=Calculations!$B$11*Calculations!$B$4),1,0)</ns0:f>
        <ns0:v>0</ns0:v>
      </ns0:c>
    </ns0:row>
    <ns0:row r="1855">
      <ns0:c r="A1855" t="inlineStr">
        <ns0:is>
          <ns0:t>case_1854</ns0:t>
        </ns0:is>
      </ns0:c>
      <ns0:c r="B1855" t="inlineStr">
        <ns0:is>
          <ns0:t>function_0564</ns0:t>
        </ns0:is>
      </ns0:c>
      <ns0:c r="C1855" t="inlineStr">
        <ns0:is>
          <ns0:t>run_017</ns0:t>
        </ns0:is>
      </ns0:c>
      <ns0:c r="D1855" t="inlineStr">
        <ns0:is>
          <ns0:t>semver</ns0:t>
        </ns0:is>
      </ns0:c>
      <ns0:c r="E1855" t="inlineStr">
        <ns0:is>
          <ns0:t>gemini-2.5-flash-nothinking</ns0:t>
        </ns0:is>
      </ns0:c>
      <ns0:c r="F1855" t="inlineStr">
        <ns0:is>
          <ns0:t>E0433</ns0:t>
        </ns0:is>
      </ns0:c>
      <ns0:c r="G1855" t="n">
        <ns0:v>0</ns0:v>
      </ns0:c>
      <ns0:c r="H1855" t="n">
        <ns0:v>55513</ns0:v>
      </ns0:c>
      <ns0:c r="I1855" t="n">
        <ns0:v>4211</ns0:v>
      </ns0:c>
      <ns0:c r="J1855" t="n">
        <ns0:v>59724</ns0:v>
      </ns0:c>
      <ns0:c r="K1855" t="n">
        <ns0:v>45</ns0:v>
      </ns0:c>
      <ns0:c r="L1855" t="n">
        <ns0:v>0</ns0:v>
      </ns0:c>
      <ns0:c r="M1855" t="n">
        <ns0:v>191092</ns0:v>
      </ns0:c>
      <ns0:c r="N1855" t="n">
        <ns0:v>1095</ns0:v>
      </ns0:c>
      <ns0:c r="O1855" t="n">
        <ns0:v>192187</ns0:v>
      </ns0:c>
      <ns0:c r="P1855" t="n">
        <ns0:v>13</ns0:v>
      </ns0:c>
      <ns0:c r="Q1855">
        <ns0:f>IF(AND(L1855=1,O1855*Calculations!$B$2&lt;=Calculations!$B$10*Calculations!$B$4),1,0)</ns0:f>
        <ns0:v>0</ns0:v>
      </ns0:c>
      <ns0:c r="R1855">
        <ns0:f>IF(AND(L1855=1,O1855*Calculations!$B$2&lt;=Calculations!$B$11*Calculations!$B$4),1,0)</ns0:f>
        <ns0:v>0</ns0:v>
      </ns0:c>
    </ns0:row>
    <ns0:row r="1856">
      <ns0:c r="A1856" t="inlineStr">
        <ns0:is>
          <ns0:t>case_1855</ns0:t>
        </ns0:is>
      </ns0:c>
      <ns0:c r="B1856" t="inlineStr">
        <ns0:is>
          <ns0:t>function_0565</ns0:t>
        </ns0:is>
      </ns0:c>
      <ns0:c r="C1856" t="inlineStr">
        <ns0:is>
          <ns0:t>run_017</ns0:t>
        </ns0:is>
      </ns0:c>
      <ns0:c r="D1856" t="inlineStr">
        <ns0:is>
          <ns0:t>semver</ns0:t>
        </ns0:is>
      </ns0:c>
      <ns0:c r="E1856" t="inlineStr">
        <ns0:is>
          <ns0:t>gemini-2.5-flash-nothinking</ns0:t>
        </ns0:is>
      </ns0:c>
      <ns0:c r="F1856" t="inlineStr">
        <ns0:is>
          <ns0:t>E0369,E0599,E0603</ns0:t>
        </ns0:is>
      </ns0:c>
      <ns0:c r="G1856" t="n">
        <ns0:v>0</ns0:v>
      </ns0:c>
      <ns0:c r="H1856" t="n">
        <ns0:v>4800</ns0:v>
      </ns0:c>
      <ns0:c r="I1856" t="n">
        <ns0:v>1887</ns0:v>
      </ns0:c>
      <ns0:c r="J1856" t="n">
        <ns0:v>6687</ns0:v>
      </ns0:c>
      <ns0:c r="K1856" t="n">
        <ns0:v>3</ns0:v>
      </ns0:c>
      <ns0:c r="L1856" t="n">
        <ns0:v>0</ns0:v>
      </ns0:c>
      <ns0:c r="M1856" t="n">
        <ns0:v>164585</ns0:v>
      </ns0:c>
      <ns0:c r="N1856" t="n">
        <ns0:v>2181</ns0:v>
      </ns0:c>
      <ns0:c r="O1856" t="n">
        <ns0:v>166766</ns0:v>
      </ns0:c>
      <ns0:c r="P1856" t="n">
        <ns0:v>12</ns0:v>
      </ns0:c>
      <ns0:c r="Q1856">
        <ns0:f>IF(AND(L1856=1,O1856*Calculations!$B$2&lt;=Calculations!$B$10*Calculations!$B$4),1,0)</ns0:f>
        <ns0:v>0</ns0:v>
      </ns0:c>
      <ns0:c r="R1856">
        <ns0:f>IF(AND(L1856=1,O1856*Calculations!$B$2&lt;=Calculations!$B$11*Calculations!$B$4),1,0)</ns0:f>
        <ns0:v>0</ns0:v>
      </ns0:c>
    </ns0:row>
    <ns0:row r="1857">
      <ns0:c r="A1857" t="inlineStr">
        <ns0:is>
          <ns0:t>case_1856</ns0:t>
        </ns0:is>
      </ns0:c>
      <ns0:c r="B1857" t="inlineStr">
        <ns0:is>
          <ns0:t>function_0565</ns0:t>
        </ns0:is>
      </ns0:c>
      <ns0:c r="C1857" t="inlineStr">
        <ns0:is>
          <ns0:t>run_017</ns0:t>
        </ns0:is>
      </ns0:c>
      <ns0:c r="D1857" t="inlineStr">
        <ns0:is>
          <ns0:t>semver</ns0:t>
        </ns0:is>
      </ns0:c>
      <ns0:c r="E1857" t="inlineStr">
        <ns0:is>
          <ns0:t>gemini-2.5-flash-nothinking</ns0:t>
        </ns0:is>
      </ns0:c>
      <ns0:c r="F1857" t="inlineStr">
        <ns0:is>
          <ns0:t>E0433,E0603</ns0:t>
        </ns0:is>
      </ns0:c>
      <ns0:c r="G1857" t="n">
        <ns0:v>0</ns0:v>
      </ns0:c>
      <ns0:c r="H1857" t="n">
        <ns0:v>9538</ns0:v>
      </ns0:c>
      <ns0:c r="I1857" t="n">
        <ns0:v>1310</ns0:v>
      </ns0:c>
      <ns0:c r="J1857" t="n">
        <ns0:v>10848</ns0:v>
      </ns0:c>
      <ns0:c r="K1857" t="n">
        <ns0:v>12</ns0:v>
      </ns0:c>
      <ns0:c r="L1857" t="n">
        <ns0:v>1</ns0:v>
      </ns0:c>
      <ns0:c r="M1857" t="n">
        <ns0:v>55163</ns0:v>
      </ns0:c>
      <ns0:c r="N1857" t="n">
        <ns0:v>838</ns0:v>
      </ns0:c>
      <ns0:c r="O1857" t="n">
        <ns0:v>56001</ns0:v>
      </ns0:c>
      <ns0:c r="P1857" t="n">
        <ns0:v>5</ns0:v>
      </ns0:c>
      <ns0:c r="Q1857">
        <ns0:f>IF(AND(L1857=1,O1857*Calculations!$B$2&lt;=Calculations!$B$10*Calculations!$B$4),1,0)</ns0:f>
        <ns0:v>0</ns0:v>
      </ns0:c>
      <ns0:c r="R1857">
        <ns0:f>IF(AND(L1857=1,O1857*Calculations!$B$2&lt;=Calculations!$B$11*Calculations!$B$4),1,0)</ns0:f>
        <ns0:v>0</ns0:v>
      </ns0:c>
    </ns0:row>
    <ns0:row r="1858">
      <ns0:c r="A1858" t="inlineStr">
        <ns0:is>
          <ns0:t>case_1857</ns0:t>
        </ns0:is>
      </ns0:c>
      <ns0:c r="B1858" t="inlineStr">
        <ns0:is>
          <ns0:t>function_0566</ns0:t>
        </ns0:is>
      </ns0:c>
      <ns0:c r="C1858" t="inlineStr">
        <ns0:is>
          <ns0:t>run_017</ns0:t>
        </ns0:is>
      </ns0:c>
      <ns0:c r="D1858" t="inlineStr">
        <ns0:is>
          <ns0:t>semver</ns0:t>
        </ns0:is>
      </ns0:c>
      <ns0:c r="E1858" t="inlineStr">
        <ns0:is>
          <ns0:t>gemini-2.5-flash-nothinking</ns0:t>
        </ns0:is>
      </ns0:c>
      <ns0:c r="F1858" t="inlineStr">
        <ns0:is>
          <ns0:t>E0432,E0599</ns0:t>
        </ns0:is>
      </ns0:c>
      <ns0:c r="G1858" t="n">
        <ns0:v>0</ns0:v>
      </ns0:c>
      <ns0:c r="H1858" t="n">
        <ns0:v>4597</ns0:v>
      </ns0:c>
      <ns0:c r="I1858" t="n">
        <ns0:v>1482</ns0:v>
      </ns0:c>
      <ns0:c r="J1858" t="n">
        <ns0:v>6079</ns0:v>
      </ns0:c>
      <ns0:c r="K1858" t="n">
        <ns0:v>3</ns0:v>
      </ns0:c>
      <ns0:c r="L1858" t="n">
        <ns0:v>0</ns0:v>
      </ns0:c>
      <ns0:c r="M1858" t="n">
        <ns0:v>153589</ns0:v>
      </ns0:c>
      <ns0:c r="N1858" t="n">
        <ns0:v>1955</ns0:v>
      </ns0:c>
      <ns0:c r="O1858" t="n">
        <ns0:v>155544</ns0:v>
      </ns0:c>
      <ns0:c r="P1858" t="n">
        <ns0:v>15</ns0:v>
      </ns0:c>
      <ns0:c r="Q1858">
        <ns0:f>IF(AND(L1858=1,O1858*Calculations!$B$2&lt;=Calculations!$B$10*Calculations!$B$4),1,0)</ns0:f>
        <ns0:v>0</ns0:v>
      </ns0:c>
      <ns0:c r="R1858">
        <ns0:f>IF(AND(L1858=1,O1858*Calculations!$B$2&lt;=Calculations!$B$11*Calculations!$B$4),1,0)</ns0:f>
        <ns0:v>0</ns0:v>
      </ns0:c>
    </ns0:row>
    <ns0:row r="1859">
      <ns0:c r="A1859" t="inlineStr">
        <ns0:is>
          <ns0:t>case_1858</ns0:t>
        </ns0:is>
      </ns0:c>
      <ns0:c r="B1859" t="inlineStr">
        <ns0:is>
          <ns0:t>function_0566</ns0:t>
        </ns0:is>
      </ns0:c>
      <ns0:c r="C1859" t="inlineStr">
        <ns0:is>
          <ns0:t>run_017</ns0:t>
        </ns0:is>
      </ns0:c>
      <ns0:c r="D1859" t="inlineStr">
        <ns0:is>
          <ns0:t>semver</ns0:t>
        </ns0:is>
      </ns0:c>
      <ns0:c r="E1859" t="inlineStr">
        <ns0:is>
          <ns0:t>gemini-2.5-flash-nothinking</ns0:t>
        </ns0:is>
      </ns0:c>
      <ns0:c r="F1859" t="inlineStr">
        <ns0:is>
          <ns0:t>E0308,E0599,E0603</ns0:t>
        </ns0:is>
      </ns0:c>
      <ns0:c r="G1859" t="n">
        <ns0:v>0</ns0:v>
      </ns0:c>
      <ns0:c r="H1859" t="n">
        <ns0:v>4255</ns0:v>
      </ns0:c>
      <ns0:c r="I1859" t="n">
        <ns0:v>1112</ns0:v>
      </ns0:c>
      <ns0:c r="J1859" t="n">
        <ns0:v>5367</ns0:v>
      </ns0:c>
      <ns0:c r="K1859" t="n">
        <ns0:v>3</ns0:v>
      </ns0:c>
      <ns0:c r="L1859" t="n">
        <ns0:v>0</ns0:v>
      </ns0:c>
      <ns0:c r="M1859" t="n">
        <ns0:v>217987</ns0:v>
      </ns0:c>
      <ns0:c r="N1859" t="n">
        <ns0:v>2073</ns0:v>
      </ns0:c>
      <ns0:c r="O1859" t="n">
        <ns0:v>220060</ns0:v>
      </ns0:c>
      <ns0:c r="P1859" t="n">
        <ns0:v>13</ns0:v>
      </ns0:c>
      <ns0:c r="Q1859">
        <ns0:f>IF(AND(L1859=1,O1859*Calculations!$B$2&lt;=Calculations!$B$10*Calculations!$B$4),1,0)</ns0:f>
        <ns0:v>0</ns0:v>
      </ns0:c>
      <ns0:c r="R1859">
        <ns0:f>IF(AND(L1859=1,O1859*Calculations!$B$2&lt;=Calculations!$B$11*Calculations!$B$4),1,0)</ns0:f>
        <ns0:v>0</ns0:v>
      </ns0:c>
    </ns0:row>
  </ns0:sheetData>
  <ns0:autoFilter ref="A1:R1859"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I567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14" customWidth="1" min="3" max="3"/>
    <ns0:col width="19" customWidth="1" min="4" max="4"/>
    <ns0:col width="14" customWidth="1" min="5" max="5"/>
    <ns0:col width="17" customWidth="1" min="6" max="6"/>
    <ns0:col width="18" customWidth="1" min="7" max="7"/>
    <ns0:col width="21" customWidth="1" min="8" max="8"/>
    <ns0:col width="22" customWidth="1" min="9" max="9"/>
  </ns0:cols>
  <ns0:sheetData>
    <ns0:row r="1">
      <ns0:c r="A1" s="1" t="inlineStr">
        <ns0:is>
          <ns0:t>function_id</ns0:t>
        </ns0:is>
      </ns0:c>
      <ns0:c r="B1" s="1" t="inlineStr">
        <ns0:is>
          <ns0:t>run_id</ns0:t>
        </ns0:is>
      </ns0:c>
      <ns0:c r="C1" s="1" t="inlineStr">
        <ns0:is>
          <ns0:t>crate</ns0:t>
        </ns0:is>
      </ns0:c>
      <ns0:c r="D1" s="1" t="inlineStr">
        <ns0:is>
          <ns0:t>generation_model</ns0:t>
        </ns0:is>
      </ns0:c>
      <ns0:c r="E1" s="1" t="inlineStr">
        <ns0:is>
          <ns0:t>attempts</ns0:t>
        </ns0:is>
      </ns0:c>
      <ns0:c r="F1" s="1" t="inlineStr">
        <ns0:is>
          <ns0:t>ruter_salvaged</ns0:t>
        </ns0:is>
      </ns0:c>
      <ns0:c r="G1" s="1" t="inlineStr">
        <ns0:is>
          <ns0:t>claude_salvaged</ns0:t>
        </ns0:is>
      </ns0:c>
      <ns0:c r="H1" s="1" t="inlineStr">
        <ns0:is>
          <ns0:t>claude_salvaged_5x</ns0:t>
        </ns0:is>
      </ns0:c>
      <ns0:c r="I1" s="1" t="inlineStr">
        <ns0:is>
          <ns0:t>claude_salvaged_10x</ns0:t>
        </ns0:is>
      </ns0:c>
    </ns0:row>
    <ns0:row r="2">
      <ns0:c r="A2" t="inlineStr">
        <ns0:is>
          <ns0:t>function_0001</ns0:t>
        </ns0:is>
      </ns0:c>
      <ns0:c r="B2" t="inlineStr">
        <ns0:is>
          <ns0:t>run_001</ns0:t>
        </ns0:is>
      </ns0:c>
      <ns0:c r="C2" t="inlineStr">
        <ns0:is>
          <ns0:t>humantime</ns0:t>
        </ns0:is>
      </ns0:c>
      <ns0:c r="D2" t="inlineStr">
        <ns0:is>
          <ns0:t>claude-3-5-haiku-20241022</ns0:t>
        </ns0:is>
      </ns0:c>
      <ns0:c r="E2">
        <ns0:f>COUNTIF(Cases!$B$2:$B$1859,A2)</ns0:f>
        <ns0:v>3</ns0:v>
      </ns0:c>
      <ns0:c r="F2">
        <ns0:f>IF(COUNTIFS(Cases!$B$2:$B$1859,A2,Cases!$G$2:$G$1859,1)&gt;0,1,0)</ns0:f>
        <ns0:v>1</ns0:v>
      </ns0:c>
      <ns0:c r="G2">
        <ns0:f>IF(COUNTIFS(Cases!$B$2:$B$1859,A2,Cases!$L$2:$L$1859,1)&gt;0,1,0)</ns0:f>
        <ns0:v>1</ns0:v>
      </ns0:c>
      <ns0:c r="H2">
        <ns0:f>IF(COUNTIFS(Cases!$B$2:$B$1859,A2,Cases!$Q$2:$Q$1859,1)&gt;0,1,0)</ns0:f>
        <ns0:v>1</ns0:v>
      </ns0:c>
      <ns0:c r="I2">
        <ns0:f>IF(COUNTIFS(Cases!$B$2:$B$1859,A2,Cases!$R$2:$R$1859,1)&gt;0,1,0)</ns0:f>
        <ns0:v>1</ns0:v>
      </ns0:c>
    </ns0:row>
    <ns0:row r="3">
      <ns0:c r="A3" t="inlineStr">
        <ns0:is>
          <ns0:t>function_0002</ns0:t>
        </ns0:is>
      </ns0:c>
      <ns0:c r="B3" t="inlineStr">
        <ns0:is>
          <ns0:t>run_001</ns0:t>
        </ns0:is>
      </ns0:c>
      <ns0:c r="C3" t="inlineStr">
        <ns0:is>
          <ns0:t>humantime</ns0:t>
        </ns0:is>
      </ns0:c>
      <ns0:c r="D3" t="inlineStr">
        <ns0:is>
          <ns0:t>claude-3-5-haiku-20241022</ns0:t>
        </ns0:is>
      </ns0:c>
      <ns0:c r="E3">
        <ns0:f>COUNTIF(Cases!$B$2:$B$1859,A3)</ns0:f>
        <ns0:v>3</ns0:v>
      </ns0:c>
      <ns0:c r="F3">
        <ns0:f>IF(COUNTIFS(Cases!$B$2:$B$1859,A3,Cases!$G$2:$G$1859,1)&gt;0,1,0)</ns0:f>
        <ns0:v>1</ns0:v>
      </ns0:c>
      <ns0:c r="G3">
        <ns0:f>IF(COUNTIFS(Cases!$B$2:$B$1859,A3,Cases!$L$2:$L$1859,1)&gt;0,1,0)</ns0:f>
        <ns0:v>1</ns0:v>
      </ns0:c>
      <ns0:c r="H3">
        <ns0:f>IF(COUNTIFS(Cases!$B$2:$B$1859,A3,Cases!$Q$2:$Q$1859,1)&gt;0,1,0)</ns0:f>
        <ns0:v>1</ns0:v>
      </ns0:c>
      <ns0:c r="I3">
        <ns0:f>IF(COUNTIFS(Cases!$B$2:$B$1859,A3,Cases!$R$2:$R$1859,1)&gt;0,1,0)</ns0:f>
        <ns0:v>1</ns0:v>
      </ns0:c>
    </ns0:row>
    <ns0:row r="4">
      <ns0:c r="A4" t="inlineStr">
        <ns0:is>
          <ns0:t>function_0003</ns0:t>
        </ns0:is>
      </ns0:c>
      <ns0:c r="B4" t="inlineStr">
        <ns0:is>
          <ns0:t>run_001</ns0:t>
        </ns0:is>
      </ns0:c>
      <ns0:c r="C4" t="inlineStr">
        <ns0:is>
          <ns0:t>humantime</ns0:t>
        </ns0:is>
      </ns0:c>
      <ns0:c r="D4" t="inlineStr">
        <ns0:is>
          <ns0:t>claude-3-5-haiku-20241022</ns0:t>
        </ns0:is>
      </ns0:c>
      <ns0:c r="E4">
        <ns0:f>COUNTIF(Cases!$B$2:$B$1859,A4)</ns0:f>
        <ns0:v>6</ns0:v>
      </ns0:c>
      <ns0:c r="F4">
        <ns0:f>IF(COUNTIFS(Cases!$B$2:$B$1859,A4,Cases!$G$2:$G$1859,1)&gt;0,1,0)</ns0:f>
        <ns0:v>1</ns0:v>
      </ns0:c>
      <ns0:c r="G4">
        <ns0:f>IF(COUNTIFS(Cases!$B$2:$B$1859,A4,Cases!$L$2:$L$1859,1)&gt;0,1,0)</ns0:f>
        <ns0:v>1</ns0:v>
      </ns0:c>
      <ns0:c r="H4">
        <ns0:f>IF(COUNTIFS(Cases!$B$2:$B$1859,A4,Cases!$Q$2:$Q$1859,1)&gt;0,1,0)</ns0:f>
        <ns0:v>0</ns0:v>
      </ns0:c>
      <ns0:c r="I4">
        <ns0:f>IF(COUNTIFS(Cases!$B$2:$B$1859,A4,Cases!$R$2:$R$1859,1)&gt;0,1,0)</ns0:f>
        <ns0:v>1</ns0:v>
      </ns0:c>
    </ns0:row>
    <ns0:row r="5">
      <ns0:c r="A5" t="inlineStr">
        <ns0:is>
          <ns0:t>function_0004</ns0:t>
        </ns0:is>
      </ns0:c>
      <ns0:c r="B5" t="inlineStr">
        <ns0:is>
          <ns0:t>run_001</ns0:t>
        </ns0:is>
      </ns0:c>
      <ns0:c r="C5" t="inlineStr">
        <ns0:is>
          <ns0:t>humantime</ns0:t>
        </ns0:is>
      </ns0:c>
      <ns0:c r="D5" t="inlineStr">
        <ns0:is>
          <ns0:t>claude-3-5-haiku-20241022</ns0:t>
        </ns0:is>
      </ns0:c>
      <ns0:c r="E5">
        <ns0:f>COUNTIF(Cases!$B$2:$B$1859,A5)</ns0:f>
        <ns0:v>6</ns0:v>
      </ns0:c>
      <ns0:c r="F5">
        <ns0:f>IF(COUNTIFS(Cases!$B$2:$B$1859,A5,Cases!$G$2:$G$1859,1)&gt;0,1,0)</ns0:f>
        <ns0:v>1</ns0:v>
      </ns0:c>
      <ns0:c r="G5">
        <ns0:f>IF(COUNTIFS(Cases!$B$2:$B$1859,A5,Cases!$L$2:$L$1859,1)&gt;0,1,0)</ns0:f>
        <ns0:v>1</ns0:v>
      </ns0:c>
      <ns0:c r="H5">
        <ns0:f>IF(COUNTIFS(Cases!$B$2:$B$1859,A5,Cases!$Q$2:$Q$1859,1)&gt;0,1,0)</ns0:f>
        <ns0:v>1</ns0:v>
      </ns0:c>
      <ns0:c r="I5">
        <ns0:f>IF(COUNTIFS(Cases!$B$2:$B$1859,A5,Cases!$R$2:$R$1859,1)&gt;0,1,0)</ns0:f>
        <ns0:v>1</ns0:v>
      </ns0:c>
    </ns0:row>
    <ns0:row r="6">
      <ns0:c r="A6" t="inlineStr">
        <ns0:is>
          <ns0:t>function_0005</ns0:t>
        </ns0:is>
      </ns0:c>
      <ns0:c r="B6" t="inlineStr">
        <ns0:is>
          <ns0:t>run_001</ns0:t>
        </ns0:is>
      </ns0:c>
      <ns0:c r="C6" t="inlineStr">
        <ns0:is>
          <ns0:t>humantime</ns0:t>
        </ns0:is>
      </ns0:c>
      <ns0:c r="D6" t="inlineStr">
        <ns0:is>
          <ns0:t>claude-3-5-haiku-20241022</ns0:t>
        </ns0:is>
      </ns0:c>
      <ns0:c r="E6">
        <ns0:f>COUNTIF(Cases!$B$2:$B$1859,A6)</ns0:f>
        <ns0:v>3</ns0:v>
      </ns0:c>
      <ns0:c r="F6">
        <ns0:f>IF(COUNTIFS(Cases!$B$2:$B$1859,A6,Cases!$G$2:$G$1859,1)&gt;0,1,0)</ns0:f>
        <ns0:v>1</ns0:v>
      </ns0:c>
      <ns0:c r="G6">
        <ns0:f>IF(COUNTIFS(Cases!$B$2:$B$1859,A6,Cases!$L$2:$L$1859,1)&gt;0,1,0)</ns0:f>
        <ns0:v>1</ns0:v>
      </ns0:c>
      <ns0:c r="H6">
        <ns0:f>IF(COUNTIFS(Cases!$B$2:$B$1859,A6,Cases!$Q$2:$Q$1859,1)&gt;0,1,0)</ns0:f>
        <ns0:v>1</ns0:v>
      </ns0:c>
      <ns0:c r="I6">
        <ns0:f>IF(COUNTIFS(Cases!$B$2:$B$1859,A6,Cases!$R$2:$R$1859,1)&gt;0,1,0)</ns0:f>
        <ns0:v>1</ns0:v>
      </ns0:c>
    </ns0:row>
    <ns0:row r="7">
      <ns0:c r="A7" t="inlineStr">
        <ns0:is>
          <ns0:t>function_0006</ns0:t>
        </ns0:is>
      </ns0:c>
      <ns0:c r="B7" t="inlineStr">
        <ns0:is>
          <ns0:t>run_001</ns0:t>
        </ns0:is>
      </ns0:c>
      <ns0:c r="C7" t="inlineStr">
        <ns0:is>
          <ns0:t>humantime</ns0:t>
        </ns0:is>
      </ns0:c>
      <ns0:c r="D7" t="inlineStr">
        <ns0:is>
          <ns0:t>claude-3-5-haiku-20241022</ns0:t>
        </ns0:is>
      </ns0:c>
      <ns0:c r="E7">
        <ns0:f>COUNTIF(Cases!$B$2:$B$1859,A7)</ns0:f>
        <ns0:v>3</ns0:v>
      </ns0:c>
      <ns0:c r="F7">
        <ns0:f>IF(COUNTIFS(Cases!$B$2:$B$1859,A7,Cases!$G$2:$G$1859,1)&gt;0,1,0)</ns0:f>
        <ns0:v>1</ns0:v>
      </ns0:c>
      <ns0:c r="G7">
        <ns0:f>IF(COUNTIFS(Cases!$B$2:$B$1859,A7,Cases!$L$2:$L$1859,1)&gt;0,1,0)</ns0:f>
        <ns0:v>1</ns0:v>
      </ns0:c>
      <ns0:c r="H7">
        <ns0:f>IF(COUNTIFS(Cases!$B$2:$B$1859,A7,Cases!$Q$2:$Q$1859,1)&gt;0,1,0)</ns0:f>
        <ns0:v>1</ns0:v>
      </ns0:c>
      <ns0:c r="I7">
        <ns0:f>IF(COUNTIFS(Cases!$B$2:$B$1859,A7,Cases!$R$2:$R$1859,1)&gt;0,1,0)</ns0:f>
        <ns0:v>1</ns0:v>
      </ns0:c>
    </ns0:row>
    <ns0:row r="8">
      <ns0:c r="A8" t="inlineStr">
        <ns0:is>
          <ns0:t>function_0007</ns0:t>
        </ns0:is>
      </ns0:c>
      <ns0:c r="B8" t="inlineStr">
        <ns0:is>
          <ns0:t>run_001</ns0:t>
        </ns0:is>
      </ns0:c>
      <ns0:c r="C8" t="inlineStr">
        <ns0:is>
          <ns0:t>humantime</ns0:t>
        </ns0:is>
      </ns0:c>
      <ns0:c r="D8" t="inlineStr">
        <ns0:is>
          <ns0:t>claude-3-5-haiku-20241022</ns0:t>
        </ns0:is>
      </ns0:c>
      <ns0:c r="E8">
        <ns0:f>COUNTIF(Cases!$B$2:$B$1859,A8)</ns0:f>
        <ns0:v>3</ns0:v>
      </ns0:c>
      <ns0:c r="F8">
        <ns0:f>IF(COUNTIFS(Cases!$B$2:$B$1859,A8,Cases!$G$2:$G$1859,1)&gt;0,1,0)</ns0:f>
        <ns0:v>1</ns0:v>
      </ns0:c>
      <ns0:c r="G8">
        <ns0:f>IF(COUNTIFS(Cases!$B$2:$B$1859,A8,Cases!$L$2:$L$1859,1)&gt;0,1,0)</ns0:f>
        <ns0:v>1</ns0:v>
      </ns0:c>
      <ns0:c r="H8">
        <ns0:f>IF(COUNTIFS(Cases!$B$2:$B$1859,A8,Cases!$Q$2:$Q$1859,1)&gt;0,1,0)</ns0:f>
        <ns0:v>1</ns0:v>
      </ns0:c>
      <ns0:c r="I8">
        <ns0:f>IF(COUNTIFS(Cases!$B$2:$B$1859,A8,Cases!$R$2:$R$1859,1)&gt;0,1,0)</ns0:f>
        <ns0:v>1</ns0:v>
      </ns0:c>
    </ns0:row>
    <ns0:row r="9">
      <ns0:c r="A9" t="inlineStr">
        <ns0:is>
          <ns0:t>function_0008</ns0:t>
        </ns0:is>
      </ns0:c>
      <ns0:c r="B9" t="inlineStr">
        <ns0:is>
          <ns0:t>run_001</ns0:t>
        </ns0:is>
      </ns0:c>
      <ns0:c r="C9" t="inlineStr">
        <ns0:is>
          <ns0:t>humantime</ns0:t>
        </ns0:is>
      </ns0:c>
      <ns0:c r="D9" t="inlineStr">
        <ns0:is>
          <ns0:t>claude-3-5-haiku-20241022</ns0:t>
        </ns0:is>
      </ns0:c>
      <ns0:c r="E9">
        <ns0:f>COUNTIF(Cases!$B$2:$B$1859,A9)</ns0:f>
        <ns0:v>6</ns0:v>
      </ns0:c>
      <ns0:c r="F9">
        <ns0:f>IF(COUNTIFS(Cases!$B$2:$B$1859,A9,Cases!$G$2:$G$1859,1)&gt;0,1,0)</ns0:f>
        <ns0:v>1</ns0:v>
      </ns0:c>
      <ns0:c r="G9">
        <ns0:f>IF(COUNTIFS(Cases!$B$2:$B$1859,A9,Cases!$L$2:$L$1859,1)&gt;0,1,0)</ns0:f>
        <ns0:v>1</ns0:v>
      </ns0:c>
      <ns0:c r="H9">
        <ns0:f>IF(COUNTIFS(Cases!$B$2:$B$1859,A9,Cases!$Q$2:$Q$1859,1)&gt;0,1,0)</ns0:f>
        <ns0:v>0</ns0:v>
      </ns0:c>
      <ns0:c r="I9">
        <ns0:f>IF(COUNTIFS(Cases!$B$2:$B$1859,A9,Cases!$R$2:$R$1859,1)&gt;0,1,0)</ns0:f>
        <ns0:v>1</ns0:v>
      </ns0:c>
    </ns0:row>
    <ns0:row r="10">
      <ns0:c r="A10" t="inlineStr">
        <ns0:is>
          <ns0:t>function_0009</ns0:t>
        </ns0:is>
      </ns0:c>
      <ns0:c r="B10" t="inlineStr">
        <ns0:is>
          <ns0:t>run_001</ns0:t>
        </ns0:is>
      </ns0:c>
      <ns0:c r="C10" t="inlineStr">
        <ns0:is>
          <ns0:t>humantime</ns0:t>
        </ns0:is>
      </ns0:c>
      <ns0:c r="D10" t="inlineStr">
        <ns0:is>
          <ns0:t>claude-3-5-haiku-20241022</ns0:t>
        </ns0:is>
      </ns0:c>
      <ns0:c r="E10">
        <ns0:f>COUNTIF(Cases!$B$2:$B$1859,A10)</ns0:f>
        <ns0:v>6</ns0:v>
      </ns0:c>
      <ns0:c r="F10">
        <ns0:f>IF(COUNTIFS(Cases!$B$2:$B$1859,A10,Cases!$G$2:$G$1859,1)&gt;0,1,0)</ns0:f>
        <ns0:v>1</ns0:v>
      </ns0:c>
      <ns0:c r="G10">
        <ns0:f>IF(COUNTIFS(Cases!$B$2:$B$1859,A10,Cases!$L$2:$L$1859,1)&gt;0,1,0)</ns0:f>
        <ns0:v>1</ns0:v>
      </ns0:c>
      <ns0:c r="H10">
        <ns0:f>IF(COUNTIFS(Cases!$B$2:$B$1859,A10,Cases!$Q$2:$Q$1859,1)&gt;0,1,0)</ns0:f>
        <ns0:v>1</ns0:v>
      </ns0:c>
      <ns0:c r="I10">
        <ns0:f>IF(COUNTIFS(Cases!$B$2:$B$1859,A10,Cases!$R$2:$R$1859,1)&gt;0,1,0)</ns0:f>
        <ns0:v>1</ns0:v>
      </ns0:c>
    </ns0:row>
    <ns0:row r="11">
      <ns0:c r="A11" t="inlineStr">
        <ns0:is>
          <ns0:t>function_0010</ns0:t>
        </ns0:is>
      </ns0:c>
      <ns0:c r="B11" t="inlineStr">
        <ns0:is>
          <ns0:t>run_001</ns0:t>
        </ns0:is>
      </ns0:c>
      <ns0:c r="C11" t="inlineStr">
        <ns0:is>
          <ns0:t>humantime</ns0:t>
        </ns0:is>
      </ns0:c>
      <ns0:c r="D11" t="inlineStr">
        <ns0:is>
          <ns0:t>claude-3-5-haiku-20241022</ns0:t>
        </ns0:is>
      </ns0:c>
      <ns0:c r="E11">
        <ns0:f>COUNTIF(Cases!$B$2:$B$1859,A11)</ns0:f>
        <ns0:v>3</ns0:v>
      </ns0:c>
      <ns0:c r="F11">
        <ns0:f>IF(COUNTIFS(Cases!$B$2:$B$1859,A11,Cases!$G$2:$G$1859,1)&gt;0,1,0)</ns0:f>
        <ns0:v>1</ns0:v>
      </ns0:c>
      <ns0:c r="G11">
        <ns0:f>IF(COUNTIFS(Cases!$B$2:$B$1859,A11,Cases!$L$2:$L$1859,1)&gt;0,1,0)</ns0:f>
        <ns0:v>1</ns0:v>
      </ns0:c>
      <ns0:c r="H11">
        <ns0:f>IF(COUNTIFS(Cases!$B$2:$B$1859,A11,Cases!$Q$2:$Q$1859,1)&gt;0,1,0)</ns0:f>
        <ns0:v>1</ns0:v>
      </ns0:c>
      <ns0:c r="I11">
        <ns0:f>IF(COUNTIFS(Cases!$B$2:$B$1859,A11,Cases!$R$2:$R$1859,1)&gt;0,1,0)</ns0:f>
        <ns0:v>1</ns0:v>
      </ns0:c>
    </ns0:row>
    <ns0:row r="12">
      <ns0:c r="A12" t="inlineStr">
        <ns0:is>
          <ns0:t>function_0011</ns0:t>
        </ns0:is>
      </ns0:c>
      <ns0:c r="B12" t="inlineStr">
        <ns0:is>
          <ns0:t>run_001</ns0:t>
        </ns0:is>
      </ns0:c>
      <ns0:c r="C12" t="inlineStr">
        <ns0:is>
          <ns0:t>humantime</ns0:t>
        </ns0:is>
      </ns0:c>
      <ns0:c r="D12" t="inlineStr">
        <ns0:is>
          <ns0:t>claude-3-5-haiku-20241022</ns0:t>
        </ns0:is>
      </ns0:c>
      <ns0:c r="E12">
        <ns0:f>COUNTIF(Cases!$B$2:$B$1859,A12)</ns0:f>
        <ns0:v>12</ns0:v>
      </ns0:c>
      <ns0:c r="F12">
        <ns0:f>IF(COUNTIFS(Cases!$B$2:$B$1859,A12,Cases!$G$2:$G$1859,1)&gt;0,1,0)</ns0:f>
        <ns0:v>1</ns0:v>
      </ns0:c>
      <ns0:c r="G12">
        <ns0:f>IF(COUNTIFS(Cases!$B$2:$B$1859,A12,Cases!$L$2:$L$1859,1)&gt;0,1,0)</ns0:f>
        <ns0:v>1</ns0:v>
      </ns0:c>
      <ns0:c r="H12">
        <ns0:f>IF(COUNTIFS(Cases!$B$2:$B$1859,A12,Cases!$Q$2:$Q$1859,1)&gt;0,1,0)</ns0:f>
        <ns0:v>0</ns0:v>
      </ns0:c>
      <ns0:c r="I12">
        <ns0:f>IF(COUNTIFS(Cases!$B$2:$B$1859,A12,Cases!$R$2:$R$1859,1)&gt;0,1,0)</ns0:f>
        <ns0:v>1</ns0:v>
      </ns0:c>
    </ns0:row>
    <ns0:row r="13">
      <ns0:c r="A13" t="inlineStr">
        <ns0:is>
          <ns0:t>function_0012</ns0:t>
        </ns0:is>
      </ns0:c>
      <ns0:c r="B13" t="inlineStr">
        <ns0:is>
          <ns0:t>run_001</ns0:t>
        </ns0:is>
      </ns0:c>
      <ns0:c r="C13" t="inlineStr">
        <ns0:is>
          <ns0:t>humantime</ns0:t>
        </ns0:is>
      </ns0:c>
      <ns0:c r="D13" t="inlineStr">
        <ns0:is>
          <ns0:t>claude-3-5-haiku-20241022</ns0:t>
        </ns0:is>
      </ns0:c>
      <ns0:c r="E13">
        <ns0:f>COUNTIF(Cases!$B$2:$B$1859,A13)</ns0:f>
        <ns0:v>6</ns0:v>
      </ns0:c>
      <ns0:c r="F13">
        <ns0:f>IF(COUNTIFS(Cases!$B$2:$B$1859,A13,Cases!$G$2:$G$1859,1)&gt;0,1,0)</ns0:f>
        <ns0:v>1</ns0:v>
      </ns0:c>
      <ns0:c r="G13">
        <ns0:f>IF(COUNTIFS(Cases!$B$2:$B$1859,A13,Cases!$L$2:$L$1859,1)&gt;0,1,0)</ns0:f>
        <ns0:v>1</ns0:v>
      </ns0:c>
      <ns0:c r="H13">
        <ns0:f>IF(COUNTIFS(Cases!$B$2:$B$1859,A13,Cases!$Q$2:$Q$1859,1)&gt;0,1,0)</ns0:f>
        <ns0:v>0</ns0:v>
      </ns0:c>
      <ns0:c r="I13">
        <ns0:f>IF(COUNTIFS(Cases!$B$2:$B$1859,A13,Cases!$R$2:$R$1859,1)&gt;0,1,0)</ns0:f>
        <ns0:v>0</ns0:v>
      </ns0:c>
    </ns0:row>
    <ns0:row r="14">
      <ns0:c r="A14" t="inlineStr">
        <ns0:is>
          <ns0:t>function_0013</ns0:t>
        </ns0:is>
      </ns0:c>
      <ns0:c r="B14" t="inlineStr">
        <ns0:is>
          <ns0:t>run_001</ns0:t>
        </ns0:is>
      </ns0:c>
      <ns0:c r="C14" t="inlineStr">
        <ns0:is>
          <ns0:t>humantime</ns0:t>
        </ns0:is>
      </ns0:c>
      <ns0:c r="D14" t="inlineStr">
        <ns0:is>
          <ns0:t>claude-3-5-haiku-20241022</ns0:t>
        </ns0:is>
      </ns0:c>
      <ns0:c r="E14">
        <ns0:f>COUNTIF(Cases!$B$2:$B$1859,A14)</ns0:f>
        <ns0:v>3</ns0:v>
      </ns0:c>
      <ns0:c r="F14">
        <ns0:f>IF(COUNTIFS(Cases!$B$2:$B$1859,A14,Cases!$G$2:$G$1859,1)&gt;0,1,0)</ns0:f>
        <ns0:v>1</ns0:v>
      </ns0:c>
      <ns0:c r="G14">
        <ns0:f>IF(COUNTIFS(Cases!$B$2:$B$1859,A14,Cases!$L$2:$L$1859,1)&gt;0,1,0)</ns0:f>
        <ns0:v>1</ns0:v>
      </ns0:c>
      <ns0:c r="H14">
        <ns0:f>IF(COUNTIFS(Cases!$B$2:$B$1859,A14,Cases!$Q$2:$Q$1859,1)&gt;0,1,0)</ns0:f>
        <ns0:v>1</ns0:v>
      </ns0:c>
      <ns0:c r="I14">
        <ns0:f>IF(COUNTIFS(Cases!$B$2:$B$1859,A14,Cases!$R$2:$R$1859,1)&gt;0,1,0)</ns0:f>
        <ns0:v>1</ns0:v>
      </ns0:c>
    </ns0:row>
    <ns0:row r="15">
      <ns0:c r="A15" t="inlineStr">
        <ns0:is>
          <ns0:t>function_0014</ns0:t>
        </ns0:is>
      </ns0:c>
      <ns0:c r="B15" t="inlineStr">
        <ns0:is>
          <ns0:t>run_001</ns0:t>
        </ns0:is>
      </ns0:c>
      <ns0:c r="C15" t="inlineStr">
        <ns0:is>
          <ns0:t>humantime</ns0:t>
        </ns0:is>
      </ns0:c>
      <ns0:c r="D15" t="inlineStr">
        <ns0:is>
          <ns0:t>claude-3-5-haiku-20241022</ns0:t>
        </ns0:is>
      </ns0:c>
      <ns0:c r="E15">
        <ns0:f>COUNTIF(Cases!$B$2:$B$1859,A15)</ns0:f>
        <ns0:v>12</ns0:v>
      </ns0:c>
      <ns0:c r="F15">
        <ns0:f>IF(COUNTIFS(Cases!$B$2:$B$1859,A15,Cases!$G$2:$G$1859,1)&gt;0,1,0)</ns0:f>
        <ns0:v>1</ns0:v>
      </ns0:c>
      <ns0:c r="G15">
        <ns0:f>IF(COUNTIFS(Cases!$B$2:$B$1859,A15,Cases!$L$2:$L$1859,1)&gt;0,1,0)</ns0:f>
        <ns0:v>1</ns0:v>
      </ns0:c>
      <ns0:c r="H15">
        <ns0:f>IF(COUNTIFS(Cases!$B$2:$B$1859,A15,Cases!$Q$2:$Q$1859,1)&gt;0,1,0)</ns0:f>
        <ns0:v>0</ns0:v>
      </ns0:c>
      <ns0:c r="I15">
        <ns0:f>IF(COUNTIFS(Cases!$B$2:$B$1859,A15,Cases!$R$2:$R$1859,1)&gt;0,1,0)</ns0:f>
        <ns0:v>0</ns0:v>
      </ns0:c>
    </ns0:row>
    <ns0:row r="16">
      <ns0:c r="A16" t="inlineStr">
        <ns0:is>
          <ns0:t>function_0015</ns0:t>
        </ns0:is>
      </ns0:c>
      <ns0:c r="B16" t="inlineStr">
        <ns0:is>
          <ns0:t>run_001</ns0:t>
        </ns0:is>
      </ns0:c>
      <ns0:c r="C16" t="inlineStr">
        <ns0:is>
          <ns0:t>humantime</ns0:t>
        </ns0:is>
      </ns0:c>
      <ns0:c r="D16" t="inlineStr">
        <ns0:is>
          <ns0:t>claude-3-5-haiku-20241022</ns0:t>
        </ns0:is>
      </ns0:c>
      <ns0:c r="E16">
        <ns0:f>COUNTIF(Cases!$B$2:$B$1859,A16)</ns0:f>
        <ns0:v>12</ns0:v>
      </ns0:c>
      <ns0:c r="F16">
        <ns0:f>IF(COUNTIFS(Cases!$B$2:$B$1859,A16,Cases!$G$2:$G$1859,1)&gt;0,1,0)</ns0:f>
        <ns0:v>1</ns0:v>
      </ns0:c>
      <ns0:c r="G16">
        <ns0:f>IF(COUNTIFS(Cases!$B$2:$B$1859,A16,Cases!$L$2:$L$1859,1)&gt;0,1,0)</ns0:f>
        <ns0:v>1</ns0:v>
      </ns0:c>
      <ns0:c r="H16">
        <ns0:f>IF(COUNTIFS(Cases!$B$2:$B$1859,A16,Cases!$Q$2:$Q$1859,1)&gt;0,1,0)</ns0:f>
        <ns0:v>0</ns0:v>
      </ns0:c>
      <ns0:c r="I16">
        <ns0:f>IF(COUNTIFS(Cases!$B$2:$B$1859,A16,Cases!$R$2:$R$1859,1)&gt;0,1,0)</ns0:f>
        <ns0:v>0</ns0:v>
      </ns0:c>
    </ns0:row>
    <ns0:row r="17">
      <ns0:c r="A17" t="inlineStr">
        <ns0:is>
          <ns0:t>function_0016</ns0:t>
        </ns0:is>
      </ns0:c>
      <ns0:c r="B17" t="inlineStr">
        <ns0:is>
          <ns0:t>run_001</ns0:t>
        </ns0:is>
      </ns0:c>
      <ns0:c r="C17" t="inlineStr">
        <ns0:is>
          <ns0:t>humantime</ns0:t>
        </ns0:is>
      </ns0:c>
      <ns0:c r="D17" t="inlineStr">
        <ns0:is>
          <ns0:t>claude-3-5-haiku-20241022</ns0:t>
        </ns0:is>
      </ns0:c>
      <ns0:c r="E17">
        <ns0:f>COUNTIF(Cases!$B$2:$B$1859,A17)</ns0:f>
        <ns0:v>12</ns0:v>
      </ns0:c>
      <ns0:c r="F17">
        <ns0:f>IF(COUNTIFS(Cases!$B$2:$B$1859,A17,Cases!$G$2:$G$1859,1)&gt;0,1,0)</ns0:f>
        <ns0:v>1</ns0:v>
      </ns0:c>
      <ns0:c r="G17">
        <ns0:f>IF(COUNTIFS(Cases!$B$2:$B$1859,A17,Cases!$L$2:$L$1859,1)&gt;0,1,0)</ns0:f>
        <ns0:v>1</ns0:v>
      </ns0:c>
      <ns0:c r="H17">
        <ns0:f>IF(COUNTIFS(Cases!$B$2:$B$1859,A17,Cases!$Q$2:$Q$1859,1)&gt;0,1,0)</ns0:f>
        <ns0:v>0</ns0:v>
      </ns0:c>
      <ns0:c r="I17">
        <ns0:f>IF(COUNTIFS(Cases!$B$2:$B$1859,A17,Cases!$R$2:$R$1859,1)&gt;0,1,0)</ns0:f>
        <ns0:v>0</ns0:v>
      </ns0:c>
    </ns0:row>
    <ns0:row r="18">
      <ns0:c r="A18" t="inlineStr">
        <ns0:is>
          <ns0:t>function_0017</ns0:t>
        </ns0:is>
      </ns0:c>
      <ns0:c r="B18" t="inlineStr">
        <ns0:is>
          <ns0:t>run_001</ns0:t>
        </ns0:is>
      </ns0:c>
      <ns0:c r="C18" t="inlineStr">
        <ns0:is>
          <ns0:t>humantime</ns0:t>
        </ns0:is>
      </ns0:c>
      <ns0:c r="D18" t="inlineStr">
        <ns0:is>
          <ns0:t>claude-3-5-haiku-20241022</ns0:t>
        </ns0:is>
      </ns0:c>
      <ns0:c r="E18">
        <ns0:f>COUNTIF(Cases!$B$2:$B$1859,A18)</ns0:f>
        <ns0:v>12</ns0:v>
      </ns0:c>
      <ns0:c r="F18">
        <ns0:f>IF(COUNTIFS(Cases!$B$2:$B$1859,A18,Cases!$G$2:$G$1859,1)&gt;0,1,0)</ns0:f>
        <ns0:v>1</ns0:v>
      </ns0:c>
      <ns0:c r="G18">
        <ns0:f>IF(COUNTIFS(Cases!$B$2:$B$1859,A18,Cases!$L$2:$L$1859,1)&gt;0,1,0)</ns0:f>
        <ns0:v>1</ns0:v>
      </ns0:c>
      <ns0:c r="H18">
        <ns0:f>IF(COUNTIFS(Cases!$B$2:$B$1859,A18,Cases!$Q$2:$Q$1859,1)&gt;0,1,0)</ns0:f>
        <ns0:v>0</ns0:v>
      </ns0:c>
      <ns0:c r="I18">
        <ns0:f>IF(COUNTIFS(Cases!$B$2:$B$1859,A18,Cases!$R$2:$R$1859,1)&gt;0,1,0)</ns0:f>
        <ns0:v>0</ns0:v>
      </ns0:c>
    </ns0:row>
    <ns0:row r="19">
      <ns0:c r="A19" t="inlineStr">
        <ns0:is>
          <ns0:t>function_0018</ns0:t>
        </ns0:is>
      </ns0:c>
      <ns0:c r="B19" t="inlineStr">
        <ns0:is>
          <ns0:t>run_001</ns0:t>
        </ns0:is>
      </ns0:c>
      <ns0:c r="C19" t="inlineStr">
        <ns0:is>
          <ns0:t>humantime</ns0:t>
        </ns0:is>
      </ns0:c>
      <ns0:c r="D19" t="inlineStr">
        <ns0:is>
          <ns0:t>claude-3-5-haiku-20241022</ns0:t>
        </ns0:is>
      </ns0:c>
      <ns0:c r="E19">
        <ns0:f>COUNTIF(Cases!$B$2:$B$1859,A19)</ns0:f>
        <ns0:v>6</ns0:v>
      </ns0:c>
      <ns0:c r="F19">
        <ns0:f>IF(COUNTIFS(Cases!$B$2:$B$1859,A19,Cases!$G$2:$G$1859,1)&gt;0,1,0)</ns0:f>
        <ns0:v>1</ns0:v>
      </ns0:c>
      <ns0:c r="G19">
        <ns0:f>IF(COUNTIFS(Cases!$B$2:$B$1859,A19,Cases!$L$2:$L$1859,1)&gt;0,1,0)</ns0:f>
        <ns0:v>1</ns0:v>
      </ns0:c>
      <ns0:c r="H19">
        <ns0:f>IF(COUNTIFS(Cases!$B$2:$B$1859,A19,Cases!$Q$2:$Q$1859,1)&gt;0,1,0)</ns0:f>
        <ns0:v>0</ns0:v>
      </ns0:c>
      <ns0:c r="I19">
        <ns0:f>IF(COUNTIFS(Cases!$B$2:$B$1859,A19,Cases!$R$2:$R$1859,1)&gt;0,1,0)</ns0:f>
        <ns0:v>0</ns0:v>
      </ns0:c>
    </ns0:row>
    <ns0:row r="20">
      <ns0:c r="A20" t="inlineStr">
        <ns0:is>
          <ns0:t>function_0019</ns0:t>
        </ns0:is>
      </ns0:c>
      <ns0:c r="B20" t="inlineStr">
        <ns0:is>
          <ns0:t>run_001</ns0:t>
        </ns0:is>
      </ns0:c>
      <ns0:c r="C20" t="inlineStr">
        <ns0:is>
          <ns0:t>humantime</ns0:t>
        </ns0:is>
      </ns0:c>
      <ns0:c r="D20" t="inlineStr">
        <ns0:is>
          <ns0:t>claude-3-5-haiku-20241022</ns0:t>
        </ns0:is>
      </ns0:c>
      <ns0:c r="E20">
        <ns0:f>COUNTIF(Cases!$B$2:$B$1859,A20)</ns0:f>
        <ns0:v>6</ns0:v>
      </ns0:c>
      <ns0:c r="F20">
        <ns0:f>IF(COUNTIFS(Cases!$B$2:$B$1859,A20,Cases!$G$2:$G$1859,1)&gt;0,1,0)</ns0:f>
        <ns0:v>0</ns0:v>
      </ns0:c>
      <ns0:c r="G20">
        <ns0:f>IF(COUNTIFS(Cases!$B$2:$B$1859,A20,Cases!$L$2:$L$1859,1)&gt;0,1,0)</ns0:f>
        <ns0:v>0</ns0:v>
      </ns0:c>
      <ns0:c r="H20">
        <ns0:f>IF(COUNTIFS(Cases!$B$2:$B$1859,A20,Cases!$Q$2:$Q$1859,1)&gt;0,1,0)</ns0:f>
        <ns0:v>0</ns0:v>
      </ns0:c>
      <ns0:c r="I20">
        <ns0:f>IF(COUNTIFS(Cases!$B$2:$B$1859,A20,Cases!$R$2:$R$1859,1)&gt;0,1,0)</ns0:f>
        <ns0:v>0</ns0:v>
      </ns0:c>
    </ns0:row>
    <ns0:row r="21">
      <ns0:c r="A21" t="inlineStr">
        <ns0:is>
          <ns0:t>function_0020</ns0:t>
        </ns0:is>
      </ns0:c>
      <ns0:c r="B21" t="inlineStr">
        <ns0:is>
          <ns0:t>run_002</ns0:t>
        </ns0:is>
      </ns0:c>
      <ns0:c r="C21" t="inlineStr">
        <ns0:is>
          <ns0:t>humantime</ns0:t>
        </ns0:is>
      </ns0:c>
      <ns0:c r="D21" t="inlineStr">
        <ns0:is>
          <ns0:t>deepseek-v3</ns0:t>
        </ns0:is>
      </ns0:c>
      <ns0:c r="E21">
        <ns0:f>COUNTIF(Cases!$B$2:$B$1859,A21)</ns0:f>
        <ns0:v>3</ns0:v>
      </ns0:c>
      <ns0:c r="F21">
        <ns0:f>IF(COUNTIFS(Cases!$B$2:$B$1859,A21,Cases!$G$2:$G$1859,1)&gt;0,1,0)</ns0:f>
        <ns0:v>1</ns0:v>
      </ns0:c>
      <ns0:c r="G21">
        <ns0:f>IF(COUNTIFS(Cases!$B$2:$B$1859,A21,Cases!$L$2:$L$1859,1)&gt;0,1,0)</ns0:f>
        <ns0:v>1</ns0:v>
      </ns0:c>
      <ns0:c r="H21">
        <ns0:f>IF(COUNTIFS(Cases!$B$2:$B$1859,A21,Cases!$Q$2:$Q$1859,1)&gt;0,1,0)</ns0:f>
        <ns0:v>1</ns0:v>
      </ns0:c>
      <ns0:c r="I21">
        <ns0:f>IF(COUNTIFS(Cases!$B$2:$B$1859,A21,Cases!$R$2:$R$1859,1)&gt;0,1,0)</ns0:f>
        <ns0:v>1</ns0:v>
      </ns0:c>
    </ns0:row>
    <ns0:row r="22">
      <ns0:c r="A22" t="inlineStr">
        <ns0:is>
          <ns0:t>function_0021</ns0:t>
        </ns0:is>
      </ns0:c>
      <ns0:c r="B22" t="inlineStr">
        <ns0:is>
          <ns0:t>run_002</ns0:t>
        </ns0:is>
      </ns0:c>
      <ns0:c r="C22" t="inlineStr">
        <ns0:is>
          <ns0:t>humantime</ns0:t>
        </ns0:is>
      </ns0:c>
      <ns0:c r="D22" t="inlineStr">
        <ns0:is>
          <ns0:t>deepseek-v3</ns0:t>
        </ns0:is>
      </ns0:c>
      <ns0:c r="E22">
        <ns0:f>COUNTIF(Cases!$B$2:$B$1859,A22)</ns0:f>
        <ns0:v>3</ns0:v>
      </ns0:c>
      <ns0:c r="F22">
        <ns0:f>IF(COUNTIFS(Cases!$B$2:$B$1859,A22,Cases!$G$2:$G$1859,1)&gt;0,1,0)</ns0:f>
        <ns0:v>1</ns0:v>
      </ns0:c>
      <ns0:c r="G22">
        <ns0:f>IF(COUNTIFS(Cases!$B$2:$B$1859,A22,Cases!$L$2:$L$1859,1)&gt;0,1,0)</ns0:f>
        <ns0:v>1</ns0:v>
      </ns0:c>
      <ns0:c r="H22">
        <ns0:f>IF(COUNTIFS(Cases!$B$2:$B$1859,A22,Cases!$Q$2:$Q$1859,1)&gt;0,1,0)</ns0:f>
        <ns0:v>1</ns0:v>
      </ns0:c>
      <ns0:c r="I22">
        <ns0:f>IF(COUNTIFS(Cases!$B$2:$B$1859,A22,Cases!$R$2:$R$1859,1)&gt;0,1,0)</ns0:f>
        <ns0:v>1</ns0:v>
      </ns0:c>
    </ns0:row>
    <ns0:row r="23">
      <ns0:c r="A23" t="inlineStr">
        <ns0:is>
          <ns0:t>function_0022</ns0:t>
        </ns0:is>
      </ns0:c>
      <ns0:c r="B23" t="inlineStr">
        <ns0:is>
          <ns0:t>run_002</ns0:t>
        </ns0:is>
      </ns0:c>
      <ns0:c r="C23" t="inlineStr">
        <ns0:is>
          <ns0:t>humantime</ns0:t>
        </ns0:is>
      </ns0:c>
      <ns0:c r="D23" t="inlineStr">
        <ns0:is>
          <ns0:t>deepseek-v3</ns0:t>
        </ns0:is>
      </ns0:c>
      <ns0:c r="E23">
        <ns0:f>COUNTIF(Cases!$B$2:$B$1859,A23)</ns0:f>
        <ns0:v>1</ns0:v>
      </ns0:c>
      <ns0:c r="F23">
        <ns0:f>IF(COUNTIFS(Cases!$B$2:$B$1859,A23,Cases!$G$2:$G$1859,1)&gt;0,1,0)</ns0:f>
        <ns0:v>1</ns0:v>
      </ns0:c>
      <ns0:c r="G23">
        <ns0:f>IF(COUNTIFS(Cases!$B$2:$B$1859,A23,Cases!$L$2:$L$1859,1)&gt;0,1,0)</ns0:f>
        <ns0:v>1</ns0:v>
      </ns0:c>
      <ns0:c r="H23">
        <ns0:f>IF(COUNTIFS(Cases!$B$2:$B$1859,A23,Cases!$Q$2:$Q$1859,1)&gt;0,1,0)</ns0:f>
        <ns0:v>1</ns0:v>
      </ns0:c>
      <ns0:c r="I23">
        <ns0:f>IF(COUNTIFS(Cases!$B$2:$B$1859,A23,Cases!$R$2:$R$1859,1)&gt;0,1,0)</ns0:f>
        <ns0:v>1</ns0:v>
      </ns0:c>
    </ns0:row>
    <ns0:row r="24">
      <ns0:c r="A24" t="inlineStr">
        <ns0:is>
          <ns0:t>function_0023</ns0:t>
        </ns0:is>
      </ns0:c>
      <ns0:c r="B24" t="inlineStr">
        <ns0:is>
          <ns0:t>run_002</ns0:t>
        </ns0:is>
      </ns0:c>
      <ns0:c r="C24" t="inlineStr">
        <ns0:is>
          <ns0:t>humantime</ns0:t>
        </ns0:is>
      </ns0:c>
      <ns0:c r="D24" t="inlineStr">
        <ns0:is>
          <ns0:t>deepseek-v3</ns0:t>
        </ns0:is>
      </ns0:c>
      <ns0:c r="E24">
        <ns0:f>COUNTIF(Cases!$B$2:$B$1859,A24)</ns0:f>
        <ns0:v>3</ns0:v>
      </ns0:c>
      <ns0:c r="F24">
        <ns0:f>IF(COUNTIFS(Cases!$B$2:$B$1859,A24,Cases!$G$2:$G$1859,1)&gt;0,1,0)</ns0:f>
        <ns0:v>1</ns0:v>
      </ns0:c>
      <ns0:c r="G24">
        <ns0:f>IF(COUNTIFS(Cases!$B$2:$B$1859,A24,Cases!$L$2:$L$1859,1)&gt;0,1,0)</ns0:f>
        <ns0:v>1</ns0:v>
      </ns0:c>
      <ns0:c r="H24">
        <ns0:f>IF(COUNTIFS(Cases!$B$2:$B$1859,A24,Cases!$Q$2:$Q$1859,1)&gt;0,1,0)</ns0:f>
        <ns0:v>1</ns0:v>
      </ns0:c>
      <ns0:c r="I24">
        <ns0:f>IF(COUNTIFS(Cases!$B$2:$B$1859,A24,Cases!$R$2:$R$1859,1)&gt;0,1,0)</ns0:f>
        <ns0:v>1</ns0:v>
      </ns0:c>
    </ns0:row>
    <ns0:row r="25">
      <ns0:c r="A25" t="inlineStr">
        <ns0:is>
          <ns0:t>function_0024</ns0:t>
        </ns0:is>
      </ns0:c>
      <ns0:c r="B25" t="inlineStr">
        <ns0:is>
          <ns0:t>run_002</ns0:t>
        </ns0:is>
      </ns0:c>
      <ns0:c r="C25" t="inlineStr">
        <ns0:is>
          <ns0:t>humantime</ns0:t>
        </ns0:is>
      </ns0:c>
      <ns0:c r="D25" t="inlineStr">
        <ns0:is>
          <ns0:t>deepseek-v3</ns0:t>
        </ns0:is>
      </ns0:c>
      <ns0:c r="E25">
        <ns0:f>COUNTIF(Cases!$B$2:$B$1859,A25)</ns0:f>
        <ns0:v>1</ns0:v>
      </ns0:c>
      <ns0:c r="F25">
        <ns0:f>IF(COUNTIFS(Cases!$B$2:$B$1859,A25,Cases!$G$2:$G$1859,1)&gt;0,1,0)</ns0:f>
        <ns0:v>1</ns0:v>
      </ns0:c>
      <ns0:c r="G25">
        <ns0:f>IF(COUNTIFS(Cases!$B$2:$B$1859,A25,Cases!$L$2:$L$1859,1)&gt;0,1,0)</ns0:f>
        <ns0:v>1</ns0:v>
      </ns0:c>
      <ns0:c r="H25">
        <ns0:f>IF(COUNTIFS(Cases!$B$2:$B$1859,A25,Cases!$Q$2:$Q$1859,1)&gt;0,1,0)</ns0:f>
        <ns0:v>1</ns0:v>
      </ns0:c>
      <ns0:c r="I25">
        <ns0:f>IF(COUNTIFS(Cases!$B$2:$B$1859,A25,Cases!$R$2:$R$1859,1)&gt;0,1,0)</ns0:f>
        <ns0:v>1</ns0:v>
      </ns0:c>
    </ns0:row>
    <ns0:row r="26">
      <ns0:c r="A26" t="inlineStr">
        <ns0:is>
          <ns0:t>function_0025</ns0:t>
        </ns0:is>
      </ns0:c>
      <ns0:c r="B26" t="inlineStr">
        <ns0:is>
          <ns0:t>run_002</ns0:t>
        </ns0:is>
      </ns0:c>
      <ns0:c r="C26" t="inlineStr">
        <ns0:is>
          <ns0:t>humantime</ns0:t>
        </ns0:is>
      </ns0:c>
      <ns0:c r="D26" t="inlineStr">
        <ns0:is>
          <ns0:t>deepseek-v3</ns0:t>
        </ns0:is>
      </ns0:c>
      <ns0:c r="E26">
        <ns0:f>COUNTIF(Cases!$B$2:$B$1859,A26)</ns0:f>
        <ns0:v>3</ns0:v>
      </ns0:c>
      <ns0:c r="F26">
        <ns0:f>IF(COUNTIFS(Cases!$B$2:$B$1859,A26,Cases!$G$2:$G$1859,1)&gt;0,1,0)</ns0:f>
        <ns0:v>1</ns0:v>
      </ns0:c>
      <ns0:c r="G26">
        <ns0:f>IF(COUNTIFS(Cases!$B$2:$B$1859,A26,Cases!$L$2:$L$1859,1)&gt;0,1,0)</ns0:f>
        <ns0:v>1</ns0:v>
      </ns0:c>
      <ns0:c r="H26">
        <ns0:f>IF(COUNTIFS(Cases!$B$2:$B$1859,A26,Cases!$Q$2:$Q$1859,1)&gt;0,1,0)</ns0:f>
        <ns0:v>1</ns0:v>
      </ns0:c>
      <ns0:c r="I26">
        <ns0:f>IF(COUNTIFS(Cases!$B$2:$B$1859,A26,Cases!$R$2:$R$1859,1)&gt;0,1,0)</ns0:f>
        <ns0:v>1</ns0:v>
      </ns0:c>
    </ns0:row>
    <ns0:row r="27">
      <ns0:c r="A27" t="inlineStr">
        <ns0:is>
          <ns0:t>function_0026</ns0:t>
        </ns0:is>
      </ns0:c>
      <ns0:c r="B27" t="inlineStr">
        <ns0:is>
          <ns0:t>run_002</ns0:t>
        </ns0:is>
      </ns0:c>
      <ns0:c r="C27" t="inlineStr">
        <ns0:is>
          <ns0:t>humantime</ns0:t>
        </ns0:is>
      </ns0:c>
      <ns0:c r="D27" t="inlineStr">
        <ns0:is>
          <ns0:t>deepseek-v3</ns0:t>
        </ns0:is>
      </ns0:c>
      <ns0:c r="E27">
        <ns0:f>COUNTIF(Cases!$B$2:$B$1859,A27)</ns0:f>
        <ns0:v>6</ns0:v>
      </ns0:c>
      <ns0:c r="F27">
        <ns0:f>IF(COUNTIFS(Cases!$B$2:$B$1859,A27,Cases!$G$2:$G$1859,1)&gt;0,1,0)</ns0:f>
        <ns0:v>1</ns0:v>
      </ns0:c>
      <ns0:c r="G27">
        <ns0:f>IF(COUNTIFS(Cases!$B$2:$B$1859,A27,Cases!$L$2:$L$1859,1)&gt;0,1,0)</ns0:f>
        <ns0:v>1</ns0:v>
      </ns0:c>
      <ns0:c r="H27">
        <ns0:f>IF(COUNTIFS(Cases!$B$2:$B$1859,A27,Cases!$Q$2:$Q$1859,1)&gt;0,1,0)</ns0:f>
        <ns0:v>0</ns0:v>
      </ns0:c>
      <ns0:c r="I27">
        <ns0:f>IF(COUNTIFS(Cases!$B$2:$B$1859,A27,Cases!$R$2:$R$1859,1)&gt;0,1,0)</ns0:f>
        <ns0:v>0</ns0:v>
      </ns0:c>
    </ns0:row>
    <ns0:row r="28">
      <ns0:c r="A28" t="inlineStr">
        <ns0:is>
          <ns0:t>function_0027</ns0:t>
        </ns0:is>
      </ns0:c>
      <ns0:c r="B28" t="inlineStr">
        <ns0:is>
          <ns0:t>run_002</ns0:t>
        </ns0:is>
      </ns0:c>
      <ns0:c r="C28" t="inlineStr">
        <ns0:is>
          <ns0:t>humantime</ns0:t>
        </ns0:is>
      </ns0:c>
      <ns0:c r="D28" t="inlineStr">
        <ns0:is>
          <ns0:t>deepseek-v3</ns0:t>
        </ns0:is>
      </ns0:c>
      <ns0:c r="E28">
        <ns0:f>COUNTIF(Cases!$B$2:$B$1859,A28)</ns0:f>
        <ns0:v>12</ns0:v>
      </ns0:c>
      <ns0:c r="F28">
        <ns0:f>IF(COUNTIFS(Cases!$B$2:$B$1859,A28,Cases!$G$2:$G$1859,1)&gt;0,1,0)</ns0:f>
        <ns0:v>1</ns0:v>
      </ns0:c>
      <ns0:c r="G28">
        <ns0:f>IF(COUNTIFS(Cases!$B$2:$B$1859,A28,Cases!$L$2:$L$1859,1)&gt;0,1,0)</ns0:f>
        <ns0:v>1</ns0:v>
      </ns0:c>
      <ns0:c r="H28">
        <ns0:f>IF(COUNTIFS(Cases!$B$2:$B$1859,A28,Cases!$Q$2:$Q$1859,1)&gt;0,1,0)</ns0:f>
        <ns0:v>0</ns0:v>
      </ns0:c>
      <ns0:c r="I28">
        <ns0:f>IF(COUNTIFS(Cases!$B$2:$B$1859,A28,Cases!$R$2:$R$1859,1)&gt;0,1,0)</ns0:f>
        <ns0:v>1</ns0:v>
      </ns0:c>
    </ns0:row>
    <ns0:row r="29">
      <ns0:c r="A29" t="inlineStr">
        <ns0:is>
          <ns0:t>function_0028</ns0:t>
        </ns0:is>
      </ns0:c>
      <ns0:c r="B29" t="inlineStr">
        <ns0:is>
          <ns0:t>run_002</ns0:t>
        </ns0:is>
      </ns0:c>
      <ns0:c r="C29" t="inlineStr">
        <ns0:is>
          <ns0:t>humantime</ns0:t>
        </ns0:is>
      </ns0:c>
      <ns0:c r="D29" t="inlineStr">
        <ns0:is>
          <ns0:t>deepseek-v3</ns0:t>
        </ns0:is>
      </ns0:c>
      <ns0:c r="E29">
        <ns0:f>COUNTIF(Cases!$B$2:$B$1859,A29)</ns0:f>
        <ns0:v>12</ns0:v>
      </ns0:c>
      <ns0:c r="F29">
        <ns0:f>IF(COUNTIFS(Cases!$B$2:$B$1859,A29,Cases!$G$2:$G$1859,1)&gt;0,1,0)</ns0:f>
        <ns0:v>1</ns0:v>
      </ns0:c>
      <ns0:c r="G29">
        <ns0:f>IF(COUNTIFS(Cases!$B$2:$B$1859,A29,Cases!$L$2:$L$1859,1)&gt;0,1,0)</ns0:f>
        <ns0:v>1</ns0:v>
      </ns0:c>
      <ns0:c r="H29">
        <ns0:f>IF(COUNTIFS(Cases!$B$2:$B$1859,A29,Cases!$Q$2:$Q$1859,1)&gt;0,1,0)</ns0:f>
        <ns0:v>0</ns0:v>
      </ns0:c>
      <ns0:c r="I29">
        <ns0:f>IF(COUNTIFS(Cases!$B$2:$B$1859,A29,Cases!$R$2:$R$1859,1)&gt;0,1,0)</ns0:f>
        <ns0:v>1</ns0:v>
      </ns0:c>
    </ns0:row>
    <ns0:row r="30">
      <ns0:c r="A30" t="inlineStr">
        <ns0:is>
          <ns0:t>function_0029</ns0:t>
        </ns0:is>
      </ns0:c>
      <ns0:c r="B30" t="inlineStr">
        <ns0:is>
          <ns0:t>run_002</ns0:t>
        </ns0:is>
      </ns0:c>
      <ns0:c r="C30" t="inlineStr">
        <ns0:is>
          <ns0:t>humantime</ns0:t>
        </ns0:is>
      </ns0:c>
      <ns0:c r="D30" t="inlineStr">
        <ns0:is>
          <ns0:t>deepseek-v3</ns0:t>
        </ns0:is>
      </ns0:c>
      <ns0:c r="E30">
        <ns0:f>COUNTIF(Cases!$B$2:$B$1859,A30)</ns0:f>
        <ns0:v>12</ns0:v>
      </ns0:c>
      <ns0:c r="F30">
        <ns0:f>IF(COUNTIFS(Cases!$B$2:$B$1859,A30,Cases!$G$2:$G$1859,1)&gt;0,1,0)</ns0:f>
        <ns0:v>1</ns0:v>
      </ns0:c>
      <ns0:c r="G30">
        <ns0:f>IF(COUNTIFS(Cases!$B$2:$B$1859,A30,Cases!$L$2:$L$1859,1)&gt;0,1,0)</ns0:f>
        <ns0:v>1</ns0:v>
      </ns0:c>
      <ns0:c r="H30">
        <ns0:f>IF(COUNTIFS(Cases!$B$2:$B$1859,A30,Cases!$Q$2:$Q$1859,1)&gt;0,1,0)</ns0:f>
        <ns0:v>0</ns0:v>
      </ns0:c>
      <ns0:c r="I30">
        <ns0:f>IF(COUNTIFS(Cases!$B$2:$B$1859,A30,Cases!$R$2:$R$1859,1)&gt;0,1,0)</ns0:f>
        <ns0:v>1</ns0:v>
      </ns0:c>
    </ns0:row>
    <ns0:row r="31">
      <ns0:c r="A31" t="inlineStr">
        <ns0:is>
          <ns0:t>function_0030</ns0:t>
        </ns0:is>
      </ns0:c>
      <ns0:c r="B31" t="inlineStr">
        <ns0:is>
          <ns0:t>run_002</ns0:t>
        </ns0:is>
      </ns0:c>
      <ns0:c r="C31" t="inlineStr">
        <ns0:is>
          <ns0:t>humantime</ns0:t>
        </ns0:is>
      </ns0:c>
      <ns0:c r="D31" t="inlineStr">
        <ns0:is>
          <ns0:t>deepseek-v3</ns0:t>
        </ns0:is>
      </ns0:c>
      <ns0:c r="E31">
        <ns0:f>COUNTIF(Cases!$B$2:$B$1859,A31)</ns0:f>
        <ns0:v>12</ns0:v>
      </ns0:c>
      <ns0:c r="F31">
        <ns0:f>IF(COUNTIFS(Cases!$B$2:$B$1859,A31,Cases!$G$2:$G$1859,1)&gt;0,1,0)</ns0:f>
        <ns0:v>1</ns0:v>
      </ns0:c>
      <ns0:c r="G31">
        <ns0:f>IF(COUNTIFS(Cases!$B$2:$B$1859,A31,Cases!$L$2:$L$1859,1)&gt;0,1,0)</ns0:f>
        <ns0:v>1</ns0:v>
      </ns0:c>
      <ns0:c r="H31">
        <ns0:f>IF(COUNTIFS(Cases!$B$2:$B$1859,A31,Cases!$Q$2:$Q$1859,1)&gt;0,1,0)</ns0:f>
        <ns0:v>0</ns0:v>
      </ns0:c>
      <ns0:c r="I31">
        <ns0:f>IF(COUNTIFS(Cases!$B$2:$B$1859,A31,Cases!$R$2:$R$1859,1)&gt;0,1,0)</ns0:f>
        <ns0:v>1</ns0:v>
      </ns0:c>
    </ns0:row>
    <ns0:row r="32">
      <ns0:c r="A32" t="inlineStr">
        <ns0:is>
          <ns0:t>function_0031</ns0:t>
        </ns0:is>
      </ns0:c>
      <ns0:c r="B32" t="inlineStr">
        <ns0:is>
          <ns0:t>run_002</ns0:t>
        </ns0:is>
      </ns0:c>
      <ns0:c r="C32" t="inlineStr">
        <ns0:is>
          <ns0:t>humantime</ns0:t>
        </ns0:is>
      </ns0:c>
      <ns0:c r="D32" t="inlineStr">
        <ns0:is>
          <ns0:t>deepseek-v3</ns0:t>
        </ns0:is>
      </ns0:c>
      <ns0:c r="E32">
        <ns0:f>COUNTIF(Cases!$B$2:$B$1859,A32)</ns0:f>
        <ns0:v>6</ns0:v>
      </ns0:c>
      <ns0:c r="F32">
        <ns0:f>IF(COUNTIFS(Cases!$B$2:$B$1859,A32,Cases!$G$2:$G$1859,1)&gt;0,1,0)</ns0:f>
        <ns0:v>1</ns0:v>
      </ns0:c>
      <ns0:c r="G32">
        <ns0:f>IF(COUNTIFS(Cases!$B$2:$B$1859,A32,Cases!$L$2:$L$1859,1)&gt;0,1,0)</ns0:f>
        <ns0:v>1</ns0:v>
      </ns0:c>
      <ns0:c r="H32">
        <ns0:f>IF(COUNTIFS(Cases!$B$2:$B$1859,A32,Cases!$Q$2:$Q$1859,1)&gt;0,1,0)</ns0:f>
        <ns0:v>0</ns0:v>
      </ns0:c>
      <ns0:c r="I32">
        <ns0:f>IF(COUNTIFS(Cases!$B$2:$B$1859,A32,Cases!$R$2:$R$1859,1)&gt;0,1,0)</ns0:f>
        <ns0:v>1</ns0:v>
      </ns0:c>
    </ns0:row>
    <ns0:row r="33">
      <ns0:c r="A33" t="inlineStr">
        <ns0:is>
          <ns0:t>function_0032</ns0:t>
        </ns0:is>
      </ns0:c>
      <ns0:c r="B33" t="inlineStr">
        <ns0:is>
          <ns0:t>run_002</ns0:t>
        </ns0:is>
      </ns0:c>
      <ns0:c r="C33" t="inlineStr">
        <ns0:is>
          <ns0:t>humantime</ns0:t>
        </ns0:is>
      </ns0:c>
      <ns0:c r="D33" t="inlineStr">
        <ns0:is>
          <ns0:t>deepseek-v3</ns0:t>
        </ns0:is>
      </ns0:c>
      <ns0:c r="E33">
        <ns0:f>COUNTIF(Cases!$B$2:$B$1859,A33)</ns0:f>
        <ns0:v>6</ns0:v>
      </ns0:c>
      <ns0:c r="F33">
        <ns0:f>IF(COUNTIFS(Cases!$B$2:$B$1859,A33,Cases!$G$2:$G$1859,1)&gt;0,1,0)</ns0:f>
        <ns0:v>1</ns0:v>
      </ns0:c>
      <ns0:c r="G33">
        <ns0:f>IF(COUNTIFS(Cases!$B$2:$B$1859,A33,Cases!$L$2:$L$1859,1)&gt;0,1,0)</ns0:f>
        <ns0:v>1</ns0:v>
      </ns0:c>
      <ns0:c r="H33">
        <ns0:f>IF(COUNTIFS(Cases!$B$2:$B$1859,A33,Cases!$Q$2:$Q$1859,1)&gt;0,1,0)</ns0:f>
        <ns0:v>0</ns0:v>
      </ns0:c>
      <ns0:c r="I33">
        <ns0:f>IF(COUNTIFS(Cases!$B$2:$B$1859,A33,Cases!$R$2:$R$1859,1)&gt;0,1,0)</ns0:f>
        <ns0:v>0</ns0:v>
      </ns0:c>
    </ns0:row>
    <ns0:row r="34">
      <ns0:c r="A34" t="inlineStr">
        <ns0:is>
          <ns0:t>function_0033</ns0:t>
        </ns0:is>
      </ns0:c>
      <ns0:c r="B34" t="inlineStr">
        <ns0:is>
          <ns0:t>run_003</ns0:t>
        </ns0:is>
      </ns0:c>
      <ns0:c r="C34" t="inlineStr">
        <ns0:is>
          <ns0:t>humantime</ns0:t>
        </ns0:is>
      </ns0:c>
      <ns0:c r="D34" t="inlineStr">
        <ns0:is>
          <ns0:t>gemini-2.5-flash-nothinking</ns0:t>
        </ns0:is>
      </ns0:c>
      <ns0:c r="E34">
        <ns0:f>COUNTIF(Cases!$B$2:$B$1859,A34)</ns0:f>
        <ns0:v>2</ns0:v>
      </ns0:c>
      <ns0:c r="F34">
        <ns0:f>IF(COUNTIFS(Cases!$B$2:$B$1859,A34,Cases!$G$2:$G$1859,1)&gt;0,1,0)</ns0:f>
        <ns0:v>1</ns0:v>
      </ns0:c>
      <ns0:c r="G34">
        <ns0:f>IF(COUNTIFS(Cases!$B$2:$B$1859,A34,Cases!$L$2:$L$1859,1)&gt;0,1,0)</ns0:f>
        <ns0:v>1</ns0:v>
      </ns0:c>
      <ns0:c r="H34">
        <ns0:f>IF(COUNTIFS(Cases!$B$2:$B$1859,A34,Cases!$Q$2:$Q$1859,1)&gt;0,1,0)</ns0:f>
        <ns0:v>0</ns0:v>
      </ns0:c>
      <ns0:c r="I34">
        <ns0:f>IF(COUNTIFS(Cases!$B$2:$B$1859,A34,Cases!$R$2:$R$1859,1)&gt;0,1,0)</ns0:f>
        <ns0:v>1</ns0:v>
      </ns0:c>
    </ns0:row>
    <ns0:row r="35">
      <ns0:c r="A35" t="inlineStr">
        <ns0:is>
          <ns0:t>function_0034</ns0:t>
        </ns0:is>
      </ns0:c>
      <ns0:c r="B35" t="inlineStr">
        <ns0:is>
          <ns0:t>run_003</ns0:t>
        </ns0:is>
      </ns0:c>
      <ns0:c r="C35" t="inlineStr">
        <ns0:is>
          <ns0:t>humantime</ns0:t>
        </ns0:is>
      </ns0:c>
      <ns0:c r="D35" t="inlineStr">
        <ns0:is>
          <ns0:t>gemini-2.5-flash-nothinking</ns0:t>
        </ns0:is>
      </ns0:c>
      <ns0:c r="E35">
        <ns0:f>COUNTIF(Cases!$B$2:$B$1859,A35)</ns0:f>
        <ns0:v>1</ns0:v>
      </ns0:c>
      <ns0:c r="F35">
        <ns0:f>IF(COUNTIFS(Cases!$B$2:$B$1859,A35,Cases!$G$2:$G$1859,1)&gt;0,1,0)</ns0:f>
        <ns0:v>1</ns0:v>
      </ns0:c>
      <ns0:c r="G35">
        <ns0:f>IF(COUNTIFS(Cases!$B$2:$B$1859,A35,Cases!$L$2:$L$1859,1)&gt;0,1,0)</ns0:f>
        <ns0:v>1</ns0:v>
      </ns0:c>
      <ns0:c r="H35">
        <ns0:f>IF(COUNTIFS(Cases!$B$2:$B$1859,A35,Cases!$Q$2:$Q$1859,1)&gt;0,1,0)</ns0:f>
        <ns0:v>1</ns0:v>
      </ns0:c>
      <ns0:c r="I35">
        <ns0:f>IF(COUNTIFS(Cases!$B$2:$B$1859,A35,Cases!$R$2:$R$1859,1)&gt;0,1,0)</ns0:f>
        <ns0:v>1</ns0:v>
      </ns0:c>
    </ns0:row>
    <ns0:row r="36">
      <ns0:c r="A36" t="inlineStr">
        <ns0:is>
          <ns0:t>function_0035</ns0:t>
        </ns0:is>
      </ns0:c>
      <ns0:c r="B36" t="inlineStr">
        <ns0:is>
          <ns0:t>run_003</ns0:t>
        </ns0:is>
      </ns0:c>
      <ns0:c r="C36" t="inlineStr">
        <ns0:is>
          <ns0:t>humantime</ns0:t>
        </ns0:is>
      </ns0:c>
      <ns0:c r="D36" t="inlineStr">
        <ns0:is>
          <ns0:t>gemini-2.5-flash-nothinking</ns0:t>
        </ns0:is>
      </ns0:c>
      <ns0:c r="E36">
        <ns0:f>COUNTIF(Cases!$B$2:$B$1859,A36)</ns0:f>
        <ns0:v>3</ns0:v>
      </ns0:c>
      <ns0:c r="F36">
        <ns0:f>IF(COUNTIFS(Cases!$B$2:$B$1859,A36,Cases!$G$2:$G$1859,1)&gt;0,1,0)</ns0:f>
        <ns0:v>1</ns0:v>
      </ns0:c>
      <ns0:c r="G36">
        <ns0:f>IF(COUNTIFS(Cases!$B$2:$B$1859,A36,Cases!$L$2:$L$1859,1)&gt;0,1,0)</ns0:f>
        <ns0:v>1</ns0:v>
      </ns0:c>
      <ns0:c r="H36">
        <ns0:f>IF(COUNTIFS(Cases!$B$2:$B$1859,A36,Cases!$Q$2:$Q$1859,1)&gt;0,1,0)</ns0:f>
        <ns0:v>1</ns0:v>
      </ns0:c>
      <ns0:c r="I36">
        <ns0:f>IF(COUNTIFS(Cases!$B$2:$B$1859,A36,Cases!$R$2:$R$1859,1)&gt;0,1,0)</ns0:f>
        <ns0:v>1</ns0:v>
      </ns0:c>
    </ns0:row>
    <ns0:row r="37">
      <ns0:c r="A37" t="inlineStr">
        <ns0:is>
          <ns0:t>function_0036</ns0:t>
        </ns0:is>
      </ns0:c>
      <ns0:c r="B37" t="inlineStr">
        <ns0:is>
          <ns0:t>run_003</ns0:t>
        </ns0:is>
      </ns0:c>
      <ns0:c r="C37" t="inlineStr">
        <ns0:is>
          <ns0:t>humantime</ns0:t>
        </ns0:is>
      </ns0:c>
      <ns0:c r="D37" t="inlineStr">
        <ns0:is>
          <ns0:t>gemini-2.5-flash-nothinking</ns0:t>
        </ns0:is>
      </ns0:c>
      <ns0:c r="E37">
        <ns0:f>COUNTIF(Cases!$B$2:$B$1859,A37)</ns0:f>
        <ns0:v>2</ns0:v>
      </ns0:c>
      <ns0:c r="F37">
        <ns0:f>IF(COUNTIFS(Cases!$B$2:$B$1859,A37,Cases!$G$2:$G$1859,1)&gt;0,1,0)</ns0:f>
        <ns0:v>1</ns0:v>
      </ns0:c>
      <ns0:c r="G37">
        <ns0:f>IF(COUNTIFS(Cases!$B$2:$B$1859,A37,Cases!$L$2:$L$1859,1)&gt;0,1,0)</ns0:f>
        <ns0:v>1</ns0:v>
      </ns0:c>
      <ns0:c r="H37">
        <ns0:f>IF(COUNTIFS(Cases!$B$2:$B$1859,A37,Cases!$Q$2:$Q$1859,1)&gt;0,1,0)</ns0:f>
        <ns0:v>1</ns0:v>
      </ns0:c>
      <ns0:c r="I37">
        <ns0:f>IF(COUNTIFS(Cases!$B$2:$B$1859,A37,Cases!$R$2:$R$1859,1)&gt;0,1,0)</ns0:f>
        <ns0:v>1</ns0:v>
      </ns0:c>
    </ns0:row>
    <ns0:row r="38">
      <ns0:c r="A38" t="inlineStr">
        <ns0:is>
          <ns0:t>function_0037</ns0:t>
        </ns0:is>
      </ns0:c>
      <ns0:c r="B38" t="inlineStr">
        <ns0:is>
          <ns0:t>run_003</ns0:t>
        </ns0:is>
      </ns0:c>
      <ns0:c r="C38" t="inlineStr">
        <ns0:is>
          <ns0:t>humantime</ns0:t>
        </ns0:is>
      </ns0:c>
      <ns0:c r="D38" t="inlineStr">
        <ns0:is>
          <ns0:t>gemini-2.5-flash-nothinking</ns0:t>
        </ns0:is>
      </ns0:c>
      <ns0:c r="E38">
        <ns0:f>COUNTIF(Cases!$B$2:$B$1859,A38)</ns0:f>
        <ns0:v>2</ns0:v>
      </ns0:c>
      <ns0:c r="F38">
        <ns0:f>IF(COUNTIFS(Cases!$B$2:$B$1859,A38,Cases!$G$2:$G$1859,1)&gt;0,1,0)</ns0:f>
        <ns0:v>1</ns0:v>
      </ns0:c>
      <ns0:c r="G38">
        <ns0:f>IF(COUNTIFS(Cases!$B$2:$B$1859,A38,Cases!$L$2:$L$1859,1)&gt;0,1,0)</ns0:f>
        <ns0:v>1</ns0:v>
      </ns0:c>
      <ns0:c r="H38">
        <ns0:f>IF(COUNTIFS(Cases!$B$2:$B$1859,A38,Cases!$Q$2:$Q$1859,1)&gt;0,1,0)</ns0:f>
        <ns0:v>1</ns0:v>
      </ns0:c>
      <ns0:c r="I38">
        <ns0:f>IF(COUNTIFS(Cases!$B$2:$B$1859,A38,Cases!$R$2:$R$1859,1)&gt;0,1,0)</ns0:f>
        <ns0:v>1</ns0:v>
      </ns0:c>
    </ns0:row>
    <ns0:row r="39">
      <ns0:c r="A39" t="inlineStr">
        <ns0:is>
          <ns0:t>function_0038</ns0:t>
        </ns0:is>
      </ns0:c>
      <ns0:c r="B39" t="inlineStr">
        <ns0:is>
          <ns0:t>run_003</ns0:t>
        </ns0:is>
      </ns0:c>
      <ns0:c r="C39" t="inlineStr">
        <ns0:is>
          <ns0:t>humantime</ns0:t>
        </ns0:is>
      </ns0:c>
      <ns0:c r="D39" t="inlineStr">
        <ns0:is>
          <ns0:t>gemini-2.5-flash-nothinking</ns0:t>
        </ns0:is>
      </ns0:c>
      <ns0:c r="E39">
        <ns0:f>COUNTIF(Cases!$B$2:$B$1859,A39)</ns0:f>
        <ns0:v>3</ns0:v>
      </ns0:c>
      <ns0:c r="F39">
        <ns0:f>IF(COUNTIFS(Cases!$B$2:$B$1859,A39,Cases!$G$2:$G$1859,1)&gt;0,1,0)</ns0:f>
        <ns0:v>1</ns0:v>
      </ns0:c>
      <ns0:c r="G39">
        <ns0:f>IF(COUNTIFS(Cases!$B$2:$B$1859,A39,Cases!$L$2:$L$1859,1)&gt;0,1,0)</ns0:f>
        <ns0:v>1</ns0:v>
      </ns0:c>
      <ns0:c r="H39">
        <ns0:f>IF(COUNTIFS(Cases!$B$2:$B$1859,A39,Cases!$Q$2:$Q$1859,1)&gt;0,1,0)</ns0:f>
        <ns0:v>1</ns0:v>
      </ns0:c>
      <ns0:c r="I39">
        <ns0:f>IF(COUNTIFS(Cases!$B$2:$B$1859,A39,Cases!$R$2:$R$1859,1)&gt;0,1,0)</ns0:f>
        <ns0:v>1</ns0:v>
      </ns0:c>
    </ns0:row>
    <ns0:row r="40">
      <ns0:c r="A40" t="inlineStr">
        <ns0:is>
          <ns0:t>function_0039</ns0:t>
        </ns0:is>
      </ns0:c>
      <ns0:c r="B40" t="inlineStr">
        <ns0:is>
          <ns0:t>run_003</ns0:t>
        </ns0:is>
      </ns0:c>
      <ns0:c r="C40" t="inlineStr">
        <ns0:is>
          <ns0:t>humantime</ns0:t>
        </ns0:is>
      </ns0:c>
      <ns0:c r="D40" t="inlineStr">
        <ns0:is>
          <ns0:t>gemini-2.5-flash-nothinking</ns0:t>
        </ns0:is>
      </ns0:c>
      <ns0:c r="E40">
        <ns0:f>COUNTIF(Cases!$B$2:$B$1859,A40)</ns0:f>
        <ns0:v>2</ns0:v>
      </ns0:c>
      <ns0:c r="F40">
        <ns0:f>IF(COUNTIFS(Cases!$B$2:$B$1859,A40,Cases!$G$2:$G$1859,1)&gt;0,1,0)</ns0:f>
        <ns0:v>1</ns0:v>
      </ns0:c>
      <ns0:c r="G40">
        <ns0:f>IF(COUNTIFS(Cases!$B$2:$B$1859,A40,Cases!$L$2:$L$1859,1)&gt;0,1,0)</ns0:f>
        <ns0:v>1</ns0:v>
      </ns0:c>
      <ns0:c r="H40">
        <ns0:f>IF(COUNTIFS(Cases!$B$2:$B$1859,A40,Cases!$Q$2:$Q$1859,1)&gt;0,1,0)</ns0:f>
        <ns0:v>0</ns0:v>
      </ns0:c>
      <ns0:c r="I40">
        <ns0:f>IF(COUNTIFS(Cases!$B$2:$B$1859,A40,Cases!$R$2:$R$1859,1)&gt;0,1,0)</ns0:f>
        <ns0:v>1</ns0:v>
      </ns0:c>
    </ns0:row>
    <ns0:row r="41">
      <ns0:c r="A41" t="inlineStr">
        <ns0:is>
          <ns0:t>function_0040</ns0:t>
        </ns0:is>
      </ns0:c>
      <ns0:c r="B41" t="inlineStr">
        <ns0:is>
          <ns0:t>run_003</ns0:t>
        </ns0:is>
      </ns0:c>
      <ns0:c r="C41" t="inlineStr">
        <ns0:is>
          <ns0:t>humantime</ns0:t>
        </ns0:is>
      </ns0:c>
      <ns0:c r="D41" t="inlineStr">
        <ns0:is>
          <ns0:t>gemini-2.5-flash-nothinking</ns0:t>
        </ns0:is>
      </ns0:c>
      <ns0:c r="E41">
        <ns0:f>COUNTIF(Cases!$B$2:$B$1859,A41)</ns0:f>
        <ns0:v>2</ns0:v>
      </ns0:c>
      <ns0:c r="F41">
        <ns0:f>IF(COUNTIFS(Cases!$B$2:$B$1859,A41,Cases!$G$2:$G$1859,1)&gt;0,1,0)</ns0:f>
        <ns0:v>1</ns0:v>
      </ns0:c>
      <ns0:c r="G41">
        <ns0:f>IF(COUNTIFS(Cases!$B$2:$B$1859,A41,Cases!$L$2:$L$1859,1)&gt;0,1,0)</ns0:f>
        <ns0:v>1</ns0:v>
      </ns0:c>
      <ns0:c r="H41">
        <ns0:f>IF(COUNTIFS(Cases!$B$2:$B$1859,A41,Cases!$Q$2:$Q$1859,1)&gt;0,1,0)</ns0:f>
        <ns0:v>1</ns0:v>
      </ns0:c>
      <ns0:c r="I41">
        <ns0:f>IF(COUNTIFS(Cases!$B$2:$B$1859,A41,Cases!$R$2:$R$1859,1)&gt;0,1,0)</ns0:f>
        <ns0:v>1</ns0:v>
      </ns0:c>
    </ns0:row>
    <ns0:row r="42">
      <ns0:c r="A42" t="inlineStr">
        <ns0:is>
          <ns0:t>function_0041</ns0:t>
        </ns0:is>
      </ns0:c>
      <ns0:c r="B42" t="inlineStr">
        <ns0:is>
          <ns0:t>run_003</ns0:t>
        </ns0:is>
      </ns0:c>
      <ns0:c r="C42" t="inlineStr">
        <ns0:is>
          <ns0:t>humantime</ns0:t>
        </ns0:is>
      </ns0:c>
      <ns0:c r="D42" t="inlineStr">
        <ns0:is>
          <ns0:t>gemini-2.5-flash-nothinking</ns0:t>
        </ns0:is>
      </ns0:c>
      <ns0:c r="E42">
        <ns0:f>COUNTIF(Cases!$B$2:$B$1859,A42)</ns0:f>
        <ns0:v>6</ns0:v>
      </ns0:c>
      <ns0:c r="F42">
        <ns0:f>IF(COUNTIFS(Cases!$B$2:$B$1859,A42,Cases!$G$2:$G$1859,1)&gt;0,1,0)</ns0:f>
        <ns0:v>1</ns0:v>
      </ns0:c>
      <ns0:c r="G42">
        <ns0:f>IF(COUNTIFS(Cases!$B$2:$B$1859,A42,Cases!$L$2:$L$1859,1)&gt;0,1,0)</ns0:f>
        <ns0:v>1</ns0:v>
      </ns0:c>
      <ns0:c r="H42">
        <ns0:f>IF(COUNTIFS(Cases!$B$2:$B$1859,A42,Cases!$Q$2:$Q$1859,1)&gt;0,1,0)</ns0:f>
        <ns0:v>0</ns0:v>
      </ns0:c>
      <ns0:c r="I42">
        <ns0:f>IF(COUNTIFS(Cases!$B$2:$B$1859,A42,Cases!$R$2:$R$1859,1)&gt;0,1,0)</ns0:f>
        <ns0:v>0</ns0:v>
      </ns0:c>
    </ns0:row>
    <ns0:row r="43">
      <ns0:c r="A43" t="inlineStr">
        <ns0:is>
          <ns0:t>function_0042</ns0:t>
        </ns0:is>
      </ns0:c>
      <ns0:c r="B43" t="inlineStr">
        <ns0:is>
          <ns0:t>run_003</ns0:t>
        </ns0:is>
      </ns0:c>
      <ns0:c r="C43" t="inlineStr">
        <ns0:is>
          <ns0:t>humantime</ns0:t>
        </ns0:is>
      </ns0:c>
      <ns0:c r="D43" t="inlineStr">
        <ns0:is>
          <ns0:t>gemini-2.5-flash-nothinking</ns0:t>
        </ns0:is>
      </ns0:c>
      <ns0:c r="E43">
        <ns0:f>COUNTIF(Cases!$B$2:$B$1859,A43)</ns0:f>
        <ns0:v>2</ns0:v>
      </ns0:c>
      <ns0:c r="F43">
        <ns0:f>IF(COUNTIFS(Cases!$B$2:$B$1859,A43,Cases!$G$2:$G$1859,1)&gt;0,1,0)</ns0:f>
        <ns0:v>1</ns0:v>
      </ns0:c>
      <ns0:c r="G43">
        <ns0:f>IF(COUNTIFS(Cases!$B$2:$B$1859,A43,Cases!$L$2:$L$1859,1)&gt;0,1,0)</ns0:f>
        <ns0:v>1</ns0:v>
      </ns0:c>
      <ns0:c r="H43">
        <ns0:f>IF(COUNTIFS(Cases!$B$2:$B$1859,A43,Cases!$Q$2:$Q$1859,1)&gt;0,1,0)</ns0:f>
        <ns0:v>1</ns0:v>
      </ns0:c>
      <ns0:c r="I43">
        <ns0:f>IF(COUNTIFS(Cases!$B$2:$B$1859,A43,Cases!$R$2:$R$1859,1)&gt;0,1,0)</ns0:f>
        <ns0:v>1</ns0:v>
      </ns0:c>
    </ns0:row>
    <ns0:row r="44">
      <ns0:c r="A44" t="inlineStr">
        <ns0:is>
          <ns0:t>function_0043</ns0:t>
        </ns0:is>
      </ns0:c>
      <ns0:c r="B44" t="inlineStr">
        <ns0:is>
          <ns0:t>run_003</ns0:t>
        </ns0:is>
      </ns0:c>
      <ns0:c r="C44" t="inlineStr">
        <ns0:is>
          <ns0:t>humantime</ns0:t>
        </ns0:is>
      </ns0:c>
      <ns0:c r="D44" t="inlineStr">
        <ns0:is>
          <ns0:t>gemini-2.5-flash-nothinking</ns0:t>
        </ns0:is>
      </ns0:c>
      <ns0:c r="E44">
        <ns0:f>COUNTIF(Cases!$B$2:$B$1859,A44)</ns0:f>
        <ns0:v>12</ns0:v>
      </ns0:c>
      <ns0:c r="F44">
        <ns0:f>IF(COUNTIFS(Cases!$B$2:$B$1859,A44,Cases!$G$2:$G$1859,1)&gt;0,1,0)</ns0:f>
        <ns0:v>1</ns0:v>
      </ns0:c>
      <ns0:c r="G44">
        <ns0:f>IF(COUNTIFS(Cases!$B$2:$B$1859,A44,Cases!$L$2:$L$1859,1)&gt;0,1,0)</ns0:f>
        <ns0:v>1</ns0:v>
      </ns0:c>
      <ns0:c r="H44">
        <ns0:f>IF(COUNTIFS(Cases!$B$2:$B$1859,A44,Cases!$Q$2:$Q$1859,1)&gt;0,1,0)</ns0:f>
        <ns0:v>0</ns0:v>
      </ns0:c>
      <ns0:c r="I44">
        <ns0:f>IF(COUNTIFS(Cases!$B$2:$B$1859,A44,Cases!$R$2:$R$1859,1)&gt;0,1,0)</ns0:f>
        <ns0:v>0</ns0:v>
      </ns0:c>
    </ns0:row>
    <ns0:row r="45">
      <ns0:c r="A45" t="inlineStr">
        <ns0:is>
          <ns0:t>function_0044</ns0:t>
        </ns0:is>
      </ns0:c>
      <ns0:c r="B45" t="inlineStr">
        <ns0:is>
          <ns0:t>run_003</ns0:t>
        </ns0:is>
      </ns0:c>
      <ns0:c r="C45" t="inlineStr">
        <ns0:is>
          <ns0:t>humantime</ns0:t>
        </ns0:is>
      </ns0:c>
      <ns0:c r="D45" t="inlineStr">
        <ns0:is>
          <ns0:t>gemini-2.5-flash-nothinking</ns0:t>
        </ns0:is>
      </ns0:c>
      <ns0:c r="E45">
        <ns0:f>COUNTIF(Cases!$B$2:$B$1859,A45)</ns0:f>
        <ns0:v>12</ns0:v>
      </ns0:c>
      <ns0:c r="F45">
        <ns0:f>IF(COUNTIFS(Cases!$B$2:$B$1859,A45,Cases!$G$2:$G$1859,1)&gt;0,1,0)</ns0:f>
        <ns0:v>1</ns0:v>
      </ns0:c>
      <ns0:c r="G45">
        <ns0:f>IF(COUNTIFS(Cases!$B$2:$B$1859,A45,Cases!$L$2:$L$1859,1)&gt;0,1,0)</ns0:f>
        <ns0:v>1</ns0:v>
      </ns0:c>
      <ns0:c r="H45">
        <ns0:f>IF(COUNTIFS(Cases!$B$2:$B$1859,A45,Cases!$Q$2:$Q$1859,1)&gt;0,1,0)</ns0:f>
        <ns0:v>0</ns0:v>
      </ns0:c>
      <ns0:c r="I45">
        <ns0:f>IF(COUNTIFS(Cases!$B$2:$B$1859,A45,Cases!$R$2:$R$1859,1)&gt;0,1,0)</ns0:f>
        <ns0:v>0</ns0:v>
      </ns0:c>
    </ns0:row>
    <ns0:row r="46">
      <ns0:c r="A46" t="inlineStr">
        <ns0:is>
          <ns0:t>function_0045</ns0:t>
        </ns0:is>
      </ns0:c>
      <ns0:c r="B46" t="inlineStr">
        <ns0:is>
          <ns0:t>run_003</ns0:t>
        </ns0:is>
      </ns0:c>
      <ns0:c r="C46" t="inlineStr">
        <ns0:is>
          <ns0:t>humantime</ns0:t>
        </ns0:is>
      </ns0:c>
      <ns0:c r="D46" t="inlineStr">
        <ns0:is>
          <ns0:t>gemini-2.5-flash-nothinking</ns0:t>
        </ns0:is>
      </ns0:c>
      <ns0:c r="E46">
        <ns0:f>COUNTIF(Cases!$B$2:$B$1859,A46)</ns0:f>
        <ns0:v>12</ns0:v>
      </ns0:c>
      <ns0:c r="F46">
        <ns0:f>IF(COUNTIFS(Cases!$B$2:$B$1859,A46,Cases!$G$2:$G$1859,1)&gt;0,1,0)</ns0:f>
        <ns0:v>1</ns0:v>
      </ns0:c>
      <ns0:c r="G46">
        <ns0:f>IF(COUNTIFS(Cases!$B$2:$B$1859,A46,Cases!$L$2:$L$1859,1)&gt;0,1,0)</ns0:f>
        <ns0:v>1</ns0:v>
      </ns0:c>
      <ns0:c r="H46">
        <ns0:f>IF(COUNTIFS(Cases!$B$2:$B$1859,A46,Cases!$Q$2:$Q$1859,1)&gt;0,1,0)</ns0:f>
        <ns0:v>0</ns0:v>
      </ns0:c>
      <ns0:c r="I46">
        <ns0:f>IF(COUNTIFS(Cases!$B$2:$B$1859,A46,Cases!$R$2:$R$1859,1)&gt;0,1,0)</ns0:f>
        <ns0:v>0</ns0:v>
      </ns0:c>
    </ns0:row>
    <ns0:row r="47">
      <ns0:c r="A47" t="inlineStr">
        <ns0:is>
          <ns0:t>function_0046</ns0:t>
        </ns0:is>
      </ns0:c>
      <ns0:c r="B47" t="inlineStr">
        <ns0:is>
          <ns0:t>run_003</ns0:t>
        </ns0:is>
      </ns0:c>
      <ns0:c r="C47" t="inlineStr">
        <ns0:is>
          <ns0:t>humantime</ns0:t>
        </ns0:is>
      </ns0:c>
      <ns0:c r="D47" t="inlineStr">
        <ns0:is>
          <ns0:t>gemini-2.5-flash-nothinking</ns0:t>
        </ns0:is>
      </ns0:c>
      <ns0:c r="E47">
        <ns0:f>COUNTIF(Cases!$B$2:$B$1859,A47)</ns0:f>
        <ns0:v>12</ns0:v>
      </ns0:c>
      <ns0:c r="F47">
        <ns0:f>IF(COUNTIFS(Cases!$B$2:$B$1859,A47,Cases!$G$2:$G$1859,1)&gt;0,1,0)</ns0:f>
        <ns0:v>1</ns0:v>
      </ns0:c>
      <ns0:c r="G47">
        <ns0:f>IF(COUNTIFS(Cases!$B$2:$B$1859,A47,Cases!$L$2:$L$1859,1)&gt;0,1,0)</ns0:f>
        <ns0:v>1</ns0:v>
      </ns0:c>
      <ns0:c r="H47">
        <ns0:f>IF(COUNTIFS(Cases!$B$2:$B$1859,A47,Cases!$Q$2:$Q$1859,1)&gt;0,1,0)</ns0:f>
        <ns0:v>0</ns0:v>
      </ns0:c>
      <ns0:c r="I47">
        <ns0:f>IF(COUNTIFS(Cases!$B$2:$B$1859,A47,Cases!$R$2:$R$1859,1)&gt;0,1,0)</ns0:f>
        <ns0:v>1</ns0:v>
      </ns0:c>
    </ns0:row>
    <ns0:row r="48">
      <ns0:c r="A48" t="inlineStr">
        <ns0:is>
          <ns0:t>function_0047</ns0:t>
        </ns0:is>
      </ns0:c>
      <ns0:c r="B48" t="inlineStr">
        <ns0:is>
          <ns0:t>run_003</ns0:t>
        </ns0:is>
      </ns0:c>
      <ns0:c r="C48" t="inlineStr">
        <ns0:is>
          <ns0:t>humantime</ns0:t>
        </ns0:is>
      </ns0:c>
      <ns0:c r="D48" t="inlineStr">
        <ns0:is>
          <ns0:t>gemini-2.5-flash-nothinking</ns0:t>
        </ns0:is>
      </ns0:c>
      <ns0:c r="E48">
        <ns0:f>COUNTIF(Cases!$B$2:$B$1859,A48)</ns0:f>
        <ns0:v>6</ns0:v>
      </ns0:c>
      <ns0:c r="F48">
        <ns0:f>IF(COUNTIFS(Cases!$B$2:$B$1859,A48,Cases!$G$2:$G$1859,1)&gt;0,1,0)</ns0:f>
        <ns0:v>0</ns0:v>
      </ns0:c>
      <ns0:c r="G48">
        <ns0:f>IF(COUNTIFS(Cases!$B$2:$B$1859,A48,Cases!$L$2:$L$1859,1)&gt;0,1,0)</ns0:f>
        <ns0:v>1</ns0:v>
      </ns0:c>
      <ns0:c r="H48">
        <ns0:f>IF(COUNTIFS(Cases!$B$2:$B$1859,A48,Cases!$Q$2:$Q$1859,1)&gt;0,1,0)</ns0:f>
        <ns0:v>0</ns0:v>
      </ns0:c>
      <ns0:c r="I48">
        <ns0:f>IF(COUNTIFS(Cases!$B$2:$B$1859,A48,Cases!$R$2:$R$1859,1)&gt;0,1,0)</ns0:f>
        <ns0:v>0</ns0:v>
      </ns0:c>
    </ns0:row>
    <ns0:row r="49">
      <ns0:c r="A49" t="inlineStr">
        <ns0:is>
          <ns0:t>function_0048</ns0:t>
        </ns0:is>
      </ns0:c>
      <ns0:c r="B49" t="inlineStr">
        <ns0:is>
          <ns0:t>run_003</ns0:t>
        </ns0:is>
      </ns0:c>
      <ns0:c r="C49" t="inlineStr">
        <ns0:is>
          <ns0:t>humantime</ns0:t>
        </ns0:is>
      </ns0:c>
      <ns0:c r="D49" t="inlineStr">
        <ns0:is>
          <ns0:t>gemini-2.5-flash-nothinking</ns0:t>
        </ns0:is>
      </ns0:c>
      <ns0:c r="E49">
        <ns0:f>COUNTIF(Cases!$B$2:$B$1859,A49)</ns0:f>
        <ns0:v>6</ns0:v>
      </ns0:c>
      <ns0:c r="F49">
        <ns0:f>IF(COUNTIFS(Cases!$B$2:$B$1859,A49,Cases!$G$2:$G$1859,1)&gt;0,1,0)</ns0:f>
        <ns0:v>0</ns0:v>
      </ns0:c>
      <ns0:c r="G49">
        <ns0:f>IF(COUNTIFS(Cases!$B$2:$B$1859,A49,Cases!$L$2:$L$1859,1)&gt;0,1,0)</ns0:f>
        <ns0:v>1</ns0:v>
      </ns0:c>
      <ns0:c r="H49">
        <ns0:f>IF(COUNTIFS(Cases!$B$2:$B$1859,A49,Cases!$Q$2:$Q$1859,1)&gt;0,1,0)</ns0:f>
        <ns0:v>0</ns0:v>
      </ns0:c>
      <ns0:c r="I49">
        <ns0:f>IF(COUNTIFS(Cases!$B$2:$B$1859,A49,Cases!$R$2:$R$1859,1)&gt;0,1,0)</ns0:f>
        <ns0:v>0</ns0:v>
      </ns0:c>
    </ns0:row>
    <ns0:row r="50">
      <ns0:c r="A50" t="inlineStr">
        <ns0:is>
          <ns0:t>function_0049</ns0:t>
        </ns0:is>
      </ns0:c>
      <ns0:c r="B50" t="inlineStr">
        <ns0:is>
          <ns0:t>run_004</ns0:t>
        </ns0:is>
      </ns0:c>
      <ns0:c r="C50" t="inlineStr">
        <ns0:is>
          <ns0:t>humantime</ns0:t>
        </ns0:is>
      </ns0:c>
      <ns0:c r="D50" t="inlineStr">
        <ns0:is>
          <ns0:t>gemini-2.5-flash-thinking</ns0:t>
        </ns0:is>
      </ns0:c>
      <ns0:c r="E50">
        <ns0:f>COUNTIF(Cases!$B$2:$B$1859,A50)</ns0:f>
        <ns0:v>3</ns0:v>
      </ns0:c>
      <ns0:c r="F50">
        <ns0:f>IF(COUNTIFS(Cases!$B$2:$B$1859,A50,Cases!$G$2:$G$1859,1)&gt;0,1,0)</ns0:f>
        <ns0:v>1</ns0:v>
      </ns0:c>
      <ns0:c r="G50">
        <ns0:f>IF(COUNTIFS(Cases!$B$2:$B$1859,A50,Cases!$L$2:$L$1859,1)&gt;0,1,0)</ns0:f>
        <ns0:v>1</ns0:v>
      </ns0:c>
      <ns0:c r="H50">
        <ns0:f>IF(COUNTIFS(Cases!$B$2:$B$1859,A50,Cases!$Q$2:$Q$1859,1)&gt;0,1,0)</ns0:f>
        <ns0:v>1</ns0:v>
      </ns0:c>
      <ns0:c r="I50">
        <ns0:f>IF(COUNTIFS(Cases!$B$2:$B$1859,A50,Cases!$R$2:$R$1859,1)&gt;0,1,0)</ns0:f>
        <ns0:v>1</ns0:v>
      </ns0:c>
    </ns0:row>
    <ns0:row r="51">
      <ns0:c r="A51" t="inlineStr">
        <ns0:is>
          <ns0:t>function_0050</ns0:t>
        </ns0:is>
      </ns0:c>
      <ns0:c r="B51" t="inlineStr">
        <ns0:is>
          <ns0:t>run_004</ns0:t>
        </ns0:is>
      </ns0:c>
      <ns0:c r="C51" t="inlineStr">
        <ns0:is>
          <ns0:t>humantime</ns0:t>
        </ns0:is>
      </ns0:c>
      <ns0:c r="D51" t="inlineStr">
        <ns0:is>
          <ns0:t>gemini-2.5-flash-thinking</ns0:t>
        </ns0:is>
      </ns0:c>
      <ns0:c r="E51">
        <ns0:f>COUNTIF(Cases!$B$2:$B$1859,A51)</ns0:f>
        <ns0:v>3</ns0:v>
      </ns0:c>
      <ns0:c r="F51">
        <ns0:f>IF(COUNTIFS(Cases!$B$2:$B$1859,A51,Cases!$G$2:$G$1859,1)&gt;0,1,0)</ns0:f>
        <ns0:v>1</ns0:v>
      </ns0:c>
      <ns0:c r="G51">
        <ns0:f>IF(COUNTIFS(Cases!$B$2:$B$1859,A51,Cases!$L$2:$L$1859,1)&gt;0,1,0)</ns0:f>
        <ns0:v>1</ns0:v>
      </ns0:c>
      <ns0:c r="H51">
        <ns0:f>IF(COUNTIFS(Cases!$B$2:$B$1859,A51,Cases!$Q$2:$Q$1859,1)&gt;0,1,0)</ns0:f>
        <ns0:v>1</ns0:v>
      </ns0:c>
      <ns0:c r="I51">
        <ns0:f>IF(COUNTIFS(Cases!$B$2:$B$1859,A51,Cases!$R$2:$R$1859,1)&gt;0,1,0)</ns0:f>
        <ns0:v>1</ns0:v>
      </ns0:c>
    </ns0:row>
    <ns0:row r="52">
      <ns0:c r="A52" t="inlineStr">
        <ns0:is>
          <ns0:t>function_0051</ns0:t>
        </ns0:is>
      </ns0:c>
      <ns0:c r="B52" t="inlineStr">
        <ns0:is>
          <ns0:t>run_004</ns0:t>
        </ns0:is>
      </ns0:c>
      <ns0:c r="C52" t="inlineStr">
        <ns0:is>
          <ns0:t>humantime</ns0:t>
        </ns0:is>
      </ns0:c>
      <ns0:c r="D52" t="inlineStr">
        <ns0:is>
          <ns0:t>gemini-2.5-flash-thinking</ns0:t>
        </ns0:is>
      </ns0:c>
      <ns0:c r="E52">
        <ns0:f>COUNTIF(Cases!$B$2:$B$1859,A52)</ns0:f>
        <ns0:v>2</ns0:v>
      </ns0:c>
      <ns0:c r="F52">
        <ns0:f>IF(COUNTIFS(Cases!$B$2:$B$1859,A52,Cases!$G$2:$G$1859,1)&gt;0,1,0)</ns0:f>
        <ns0:v>1</ns0:v>
      </ns0:c>
      <ns0:c r="G52">
        <ns0:f>IF(COUNTIFS(Cases!$B$2:$B$1859,A52,Cases!$L$2:$L$1859,1)&gt;0,1,0)</ns0:f>
        <ns0:v>1</ns0:v>
      </ns0:c>
      <ns0:c r="H52">
        <ns0:f>IF(COUNTIFS(Cases!$B$2:$B$1859,A52,Cases!$Q$2:$Q$1859,1)&gt;0,1,0)</ns0:f>
        <ns0:v>1</ns0:v>
      </ns0:c>
      <ns0:c r="I52">
        <ns0:f>IF(COUNTIFS(Cases!$B$2:$B$1859,A52,Cases!$R$2:$R$1859,1)&gt;0,1,0)</ns0:f>
        <ns0:v>1</ns0:v>
      </ns0:c>
    </ns0:row>
    <ns0:row r="53">
      <ns0:c r="A53" t="inlineStr">
        <ns0:is>
          <ns0:t>function_0052</ns0:t>
        </ns0:is>
      </ns0:c>
      <ns0:c r="B53" t="inlineStr">
        <ns0:is>
          <ns0:t>run_004</ns0:t>
        </ns0:is>
      </ns0:c>
      <ns0:c r="C53" t="inlineStr">
        <ns0:is>
          <ns0:t>humantime</ns0:t>
        </ns0:is>
      </ns0:c>
      <ns0:c r="D53" t="inlineStr">
        <ns0:is>
          <ns0:t>gemini-2.5-flash-thinking</ns0:t>
        </ns0:is>
      </ns0:c>
      <ns0:c r="E53">
        <ns0:f>COUNTIF(Cases!$B$2:$B$1859,A53)</ns0:f>
        <ns0:v>4</ns0:v>
      </ns0:c>
      <ns0:c r="F53">
        <ns0:f>IF(COUNTIFS(Cases!$B$2:$B$1859,A53,Cases!$G$2:$G$1859,1)&gt;0,1,0)</ns0:f>
        <ns0:v>1</ns0:v>
      </ns0:c>
      <ns0:c r="G53">
        <ns0:f>IF(COUNTIFS(Cases!$B$2:$B$1859,A53,Cases!$L$2:$L$1859,1)&gt;0,1,0)</ns0:f>
        <ns0:v>1</ns0:v>
      </ns0:c>
      <ns0:c r="H53">
        <ns0:f>IF(COUNTIFS(Cases!$B$2:$B$1859,A53,Cases!$Q$2:$Q$1859,1)&gt;0,1,0)</ns0:f>
        <ns0:v>0</ns0:v>
      </ns0:c>
      <ns0:c r="I53">
        <ns0:f>IF(COUNTIFS(Cases!$B$2:$B$1859,A53,Cases!$R$2:$R$1859,1)&gt;0,1,0)</ns0:f>
        <ns0:v>1</ns0:v>
      </ns0:c>
    </ns0:row>
    <ns0:row r="54">
      <ns0:c r="A54" t="inlineStr">
        <ns0:is>
          <ns0:t>function_0053</ns0:t>
        </ns0:is>
      </ns0:c>
      <ns0:c r="B54" t="inlineStr">
        <ns0:is>
          <ns0:t>run_004</ns0:t>
        </ns0:is>
      </ns0:c>
      <ns0:c r="C54" t="inlineStr">
        <ns0:is>
          <ns0:t>humantime</ns0:t>
        </ns0:is>
      </ns0:c>
      <ns0:c r="D54" t="inlineStr">
        <ns0:is>
          <ns0:t>gemini-2.5-flash-thinking</ns0:t>
        </ns0:is>
      </ns0:c>
      <ns0:c r="E54">
        <ns0:f>COUNTIF(Cases!$B$2:$B$1859,A54)</ns0:f>
        <ns0:v>3</ns0:v>
      </ns0:c>
      <ns0:c r="F54">
        <ns0:f>IF(COUNTIFS(Cases!$B$2:$B$1859,A54,Cases!$G$2:$G$1859,1)&gt;0,1,0)</ns0:f>
        <ns0:v>1</ns0:v>
      </ns0:c>
      <ns0:c r="G54">
        <ns0:f>IF(COUNTIFS(Cases!$B$2:$B$1859,A54,Cases!$L$2:$L$1859,1)&gt;0,1,0)</ns0:f>
        <ns0:v>1</ns0:v>
      </ns0:c>
      <ns0:c r="H54">
        <ns0:f>IF(COUNTIFS(Cases!$B$2:$B$1859,A54,Cases!$Q$2:$Q$1859,1)&gt;0,1,0)</ns0:f>
        <ns0:v>1</ns0:v>
      </ns0:c>
      <ns0:c r="I54">
        <ns0:f>IF(COUNTIFS(Cases!$B$2:$B$1859,A54,Cases!$R$2:$R$1859,1)&gt;0,1,0)</ns0:f>
        <ns0:v>1</ns0:v>
      </ns0:c>
    </ns0:row>
    <ns0:row r="55">
      <ns0:c r="A55" t="inlineStr">
        <ns0:is>
          <ns0:t>function_0054</ns0:t>
        </ns0:is>
      </ns0:c>
      <ns0:c r="B55" t="inlineStr">
        <ns0:is>
          <ns0:t>run_004</ns0:t>
        </ns0:is>
      </ns0:c>
      <ns0:c r="C55" t="inlineStr">
        <ns0:is>
          <ns0:t>humantime</ns0:t>
        </ns0:is>
      </ns0:c>
      <ns0:c r="D55" t="inlineStr">
        <ns0:is>
          <ns0:t>gemini-2.5-flash-thinking</ns0:t>
        </ns0:is>
      </ns0:c>
      <ns0:c r="E55">
        <ns0:f>COUNTIF(Cases!$B$2:$B$1859,A55)</ns0:f>
        <ns0:v>1</ns0:v>
      </ns0:c>
      <ns0:c r="F55">
        <ns0:f>IF(COUNTIFS(Cases!$B$2:$B$1859,A55,Cases!$G$2:$G$1859,1)&gt;0,1,0)</ns0:f>
        <ns0:v>1</ns0:v>
      </ns0:c>
      <ns0:c r="G55">
        <ns0:f>IF(COUNTIFS(Cases!$B$2:$B$1859,A55,Cases!$L$2:$L$1859,1)&gt;0,1,0)</ns0:f>
        <ns0:v>1</ns0:v>
      </ns0:c>
      <ns0:c r="H55">
        <ns0:f>IF(COUNTIFS(Cases!$B$2:$B$1859,A55,Cases!$Q$2:$Q$1859,1)&gt;0,1,0)</ns0:f>
        <ns0:v>1</ns0:v>
      </ns0:c>
      <ns0:c r="I55">
        <ns0:f>IF(COUNTIFS(Cases!$B$2:$B$1859,A55,Cases!$R$2:$R$1859,1)&gt;0,1,0)</ns0:f>
        <ns0:v>1</ns0:v>
      </ns0:c>
    </ns0:row>
    <ns0:row r="56">
      <ns0:c r="A56" t="inlineStr">
        <ns0:is>
          <ns0:t>function_0055</ns0:t>
        </ns0:is>
      </ns0:c>
      <ns0:c r="B56" t="inlineStr">
        <ns0:is>
          <ns0:t>run_004</ns0:t>
        </ns0:is>
      </ns0:c>
      <ns0:c r="C56" t="inlineStr">
        <ns0:is>
          <ns0:t>humantime</ns0:t>
        </ns0:is>
      </ns0:c>
      <ns0:c r="D56" t="inlineStr">
        <ns0:is>
          <ns0:t>gemini-2.5-flash-thinking</ns0:t>
        </ns0:is>
      </ns0:c>
      <ns0:c r="E56">
        <ns0:f>COUNTIF(Cases!$B$2:$B$1859,A56)</ns0:f>
        <ns0:v>6</ns0:v>
      </ns0:c>
      <ns0:c r="F56">
        <ns0:f>IF(COUNTIFS(Cases!$B$2:$B$1859,A56,Cases!$G$2:$G$1859,1)&gt;0,1,0)</ns0:f>
        <ns0:v>1</ns0:v>
      </ns0:c>
      <ns0:c r="G56">
        <ns0:f>IF(COUNTIFS(Cases!$B$2:$B$1859,A56,Cases!$L$2:$L$1859,1)&gt;0,1,0)</ns0:f>
        <ns0:v>1</ns0:v>
      </ns0:c>
      <ns0:c r="H56">
        <ns0:f>IF(COUNTIFS(Cases!$B$2:$B$1859,A56,Cases!$Q$2:$Q$1859,1)&gt;0,1,0)</ns0:f>
        <ns0:v>0</ns0:v>
      </ns0:c>
      <ns0:c r="I56">
        <ns0:f>IF(COUNTIFS(Cases!$B$2:$B$1859,A56,Cases!$R$2:$R$1859,1)&gt;0,1,0)</ns0:f>
        <ns0:v>0</ns0:v>
      </ns0:c>
    </ns0:row>
    <ns0:row r="57">
      <ns0:c r="A57" t="inlineStr">
        <ns0:is>
          <ns0:t>function_0056</ns0:t>
        </ns0:is>
      </ns0:c>
      <ns0:c r="B57" t="inlineStr">
        <ns0:is>
          <ns0:t>run_004</ns0:t>
        </ns0:is>
      </ns0:c>
      <ns0:c r="C57" t="inlineStr">
        <ns0:is>
          <ns0:t>humantime</ns0:t>
        </ns0:is>
      </ns0:c>
      <ns0:c r="D57" t="inlineStr">
        <ns0:is>
          <ns0:t>gemini-2.5-flash-thinking</ns0:t>
        </ns0:is>
      </ns0:c>
      <ns0:c r="E57">
        <ns0:f>COUNTIF(Cases!$B$2:$B$1859,A57)</ns0:f>
        <ns0:v>12</ns0:v>
      </ns0:c>
      <ns0:c r="F57">
        <ns0:f>IF(COUNTIFS(Cases!$B$2:$B$1859,A57,Cases!$G$2:$G$1859,1)&gt;0,1,0)</ns0:f>
        <ns0:v>1</ns0:v>
      </ns0:c>
      <ns0:c r="G57">
        <ns0:f>IF(COUNTIFS(Cases!$B$2:$B$1859,A57,Cases!$L$2:$L$1859,1)&gt;0,1,0)</ns0:f>
        <ns0:v>1</ns0:v>
      </ns0:c>
      <ns0:c r="H57">
        <ns0:f>IF(COUNTIFS(Cases!$B$2:$B$1859,A57,Cases!$Q$2:$Q$1859,1)&gt;0,1,0)</ns0:f>
        <ns0:v>0</ns0:v>
      </ns0:c>
      <ns0:c r="I57">
        <ns0:f>IF(COUNTIFS(Cases!$B$2:$B$1859,A57,Cases!$R$2:$R$1859,1)&gt;0,1,0)</ns0:f>
        <ns0:v>1</ns0:v>
      </ns0:c>
    </ns0:row>
    <ns0:row r="58">
      <ns0:c r="A58" t="inlineStr">
        <ns0:is>
          <ns0:t>function_0057</ns0:t>
        </ns0:is>
      </ns0:c>
      <ns0:c r="B58" t="inlineStr">
        <ns0:is>
          <ns0:t>run_004</ns0:t>
        </ns0:is>
      </ns0:c>
      <ns0:c r="C58" t="inlineStr">
        <ns0:is>
          <ns0:t>humantime</ns0:t>
        </ns0:is>
      </ns0:c>
      <ns0:c r="D58" t="inlineStr">
        <ns0:is>
          <ns0:t>gemini-2.5-flash-thinking</ns0:t>
        </ns0:is>
      </ns0:c>
      <ns0:c r="E58">
        <ns0:f>COUNTIF(Cases!$B$2:$B$1859,A58)</ns0:f>
        <ns0:v>12</ns0:v>
      </ns0:c>
      <ns0:c r="F58">
        <ns0:f>IF(COUNTIFS(Cases!$B$2:$B$1859,A58,Cases!$G$2:$G$1859,1)&gt;0,1,0)</ns0:f>
        <ns0:v>1</ns0:v>
      </ns0:c>
      <ns0:c r="G58">
        <ns0:f>IF(COUNTIFS(Cases!$B$2:$B$1859,A58,Cases!$L$2:$L$1859,1)&gt;0,1,0)</ns0:f>
        <ns0:v>1</ns0:v>
      </ns0:c>
      <ns0:c r="H58">
        <ns0:f>IF(COUNTIFS(Cases!$B$2:$B$1859,A58,Cases!$Q$2:$Q$1859,1)&gt;0,1,0)</ns0:f>
        <ns0:v>0</ns0:v>
      </ns0:c>
      <ns0:c r="I58">
        <ns0:f>IF(COUNTIFS(Cases!$B$2:$B$1859,A58,Cases!$R$2:$R$1859,1)&gt;0,1,0)</ns0:f>
        <ns0:v>1</ns0:v>
      </ns0:c>
    </ns0:row>
    <ns0:row r="59">
      <ns0:c r="A59" t="inlineStr">
        <ns0:is>
          <ns0:t>function_0058</ns0:t>
        </ns0:is>
      </ns0:c>
      <ns0:c r="B59" t="inlineStr">
        <ns0:is>
          <ns0:t>run_004</ns0:t>
        </ns0:is>
      </ns0:c>
      <ns0:c r="C59" t="inlineStr">
        <ns0:is>
          <ns0:t>humantime</ns0:t>
        </ns0:is>
      </ns0:c>
      <ns0:c r="D59" t="inlineStr">
        <ns0:is>
          <ns0:t>gemini-2.5-flash-thinking</ns0:t>
        </ns0:is>
      </ns0:c>
      <ns0:c r="E59">
        <ns0:f>COUNTIF(Cases!$B$2:$B$1859,A59)</ns0:f>
        <ns0:v>12</ns0:v>
      </ns0:c>
      <ns0:c r="F59">
        <ns0:f>IF(COUNTIFS(Cases!$B$2:$B$1859,A59,Cases!$G$2:$G$1859,1)&gt;0,1,0)</ns0:f>
        <ns0:v>1</ns0:v>
      </ns0:c>
      <ns0:c r="G59">
        <ns0:f>IF(COUNTIFS(Cases!$B$2:$B$1859,A59,Cases!$L$2:$L$1859,1)&gt;0,1,0)</ns0:f>
        <ns0:v>1</ns0:v>
      </ns0:c>
      <ns0:c r="H59">
        <ns0:f>IF(COUNTIFS(Cases!$B$2:$B$1859,A59,Cases!$Q$2:$Q$1859,1)&gt;0,1,0)</ns0:f>
        <ns0:v>0</ns0:v>
      </ns0:c>
      <ns0:c r="I59">
        <ns0:f>IF(COUNTIFS(Cases!$B$2:$B$1859,A59,Cases!$R$2:$R$1859,1)&gt;0,1,0)</ns0:f>
        <ns0:v>0</ns0:v>
      </ns0:c>
    </ns0:row>
    <ns0:row r="60">
      <ns0:c r="A60" t="inlineStr">
        <ns0:is>
          <ns0:t>function_0059</ns0:t>
        </ns0:is>
      </ns0:c>
      <ns0:c r="B60" t="inlineStr">
        <ns0:is>
          <ns0:t>run_004</ns0:t>
        </ns0:is>
      </ns0:c>
      <ns0:c r="C60" t="inlineStr">
        <ns0:is>
          <ns0:t>humantime</ns0:t>
        </ns0:is>
      </ns0:c>
      <ns0:c r="D60" t="inlineStr">
        <ns0:is>
          <ns0:t>gemini-2.5-flash-thinking</ns0:t>
        </ns0:is>
      </ns0:c>
      <ns0:c r="E60">
        <ns0:f>COUNTIF(Cases!$B$2:$B$1859,A60)</ns0:f>
        <ns0:v>12</ns0:v>
      </ns0:c>
      <ns0:c r="F60">
        <ns0:f>IF(COUNTIFS(Cases!$B$2:$B$1859,A60,Cases!$G$2:$G$1859,1)&gt;0,1,0)</ns0:f>
        <ns0:v>1</ns0:v>
      </ns0:c>
      <ns0:c r="G60">
        <ns0:f>IF(COUNTIFS(Cases!$B$2:$B$1859,A60,Cases!$L$2:$L$1859,1)&gt;0,1,0)</ns0:f>
        <ns0:v>1</ns0:v>
      </ns0:c>
      <ns0:c r="H60">
        <ns0:f>IF(COUNTIFS(Cases!$B$2:$B$1859,A60,Cases!$Q$2:$Q$1859,1)&gt;0,1,0)</ns0:f>
        <ns0:v>0</ns0:v>
      </ns0:c>
      <ns0:c r="I60">
        <ns0:f>IF(COUNTIFS(Cases!$B$2:$B$1859,A60,Cases!$R$2:$R$1859,1)&gt;0,1,0)</ns0:f>
        <ns0:v>1</ns0:v>
      </ns0:c>
    </ns0:row>
    <ns0:row r="61">
      <ns0:c r="A61" t="inlineStr">
        <ns0:is>
          <ns0:t>function_0060</ns0:t>
        </ns0:is>
      </ns0:c>
      <ns0:c r="B61" t="inlineStr">
        <ns0:is>
          <ns0:t>run_005</ns0:t>
        </ns0:is>
      </ns0:c>
      <ns0:c r="C61" t="inlineStr">
        <ns0:is>
          <ns0:t>humantime</ns0:t>
        </ns0:is>
      </ns0:c>
      <ns0:c r="D61" t="inlineStr">
        <ns0:is>
          <ns0:t>gpt-3.5-turbo</ns0:t>
        </ns0:is>
      </ns0:c>
      <ns0:c r="E61">
        <ns0:f>COUNTIF(Cases!$B$2:$B$1859,A61)</ns0:f>
        <ns0:v>3</ns0:v>
      </ns0:c>
      <ns0:c r="F61">
        <ns0:f>IF(COUNTIFS(Cases!$B$2:$B$1859,A61,Cases!$G$2:$G$1859,1)&gt;0,1,0)</ns0:f>
        <ns0:v>1</ns0:v>
      </ns0:c>
      <ns0:c r="G61">
        <ns0:f>IF(COUNTIFS(Cases!$B$2:$B$1859,A61,Cases!$L$2:$L$1859,1)&gt;0,1,0)</ns0:f>
        <ns0:v>1</ns0:v>
      </ns0:c>
      <ns0:c r="H61">
        <ns0:f>IF(COUNTIFS(Cases!$B$2:$B$1859,A61,Cases!$Q$2:$Q$1859,1)&gt;0,1,0)</ns0:f>
        <ns0:v>1</ns0:v>
      </ns0:c>
      <ns0:c r="I61">
        <ns0:f>IF(COUNTIFS(Cases!$B$2:$B$1859,A61,Cases!$R$2:$R$1859,1)&gt;0,1,0)</ns0:f>
        <ns0:v>1</ns0:v>
      </ns0:c>
    </ns0:row>
    <ns0:row r="62">
      <ns0:c r="A62" t="inlineStr">
        <ns0:is>
          <ns0:t>function_0061</ns0:t>
        </ns0:is>
      </ns0:c>
      <ns0:c r="B62" t="inlineStr">
        <ns0:is>
          <ns0:t>run_005</ns0:t>
        </ns0:is>
      </ns0:c>
      <ns0:c r="C62" t="inlineStr">
        <ns0:is>
          <ns0:t>humantime</ns0:t>
        </ns0:is>
      </ns0:c>
      <ns0:c r="D62" t="inlineStr">
        <ns0:is>
          <ns0:t>gpt-3.5-turbo</ns0:t>
        </ns0:is>
      </ns0:c>
      <ns0:c r="E62">
        <ns0:f>COUNTIF(Cases!$B$2:$B$1859,A62)</ns0:f>
        <ns0:v>4</ns0:v>
      </ns0:c>
      <ns0:c r="F62">
        <ns0:f>IF(COUNTIFS(Cases!$B$2:$B$1859,A62,Cases!$G$2:$G$1859,1)&gt;0,1,0)</ns0:f>
        <ns0:v>1</ns0:v>
      </ns0:c>
      <ns0:c r="G62">
        <ns0:f>IF(COUNTIFS(Cases!$B$2:$B$1859,A62,Cases!$L$2:$L$1859,1)&gt;0,1,0)</ns0:f>
        <ns0:v>1</ns0:v>
      </ns0:c>
      <ns0:c r="H62">
        <ns0:f>IF(COUNTIFS(Cases!$B$2:$B$1859,A62,Cases!$Q$2:$Q$1859,1)&gt;0,1,0)</ns0:f>
        <ns0:v>1</ns0:v>
      </ns0:c>
      <ns0:c r="I62">
        <ns0:f>IF(COUNTIFS(Cases!$B$2:$B$1859,A62,Cases!$R$2:$R$1859,1)&gt;0,1,0)</ns0:f>
        <ns0:v>1</ns0:v>
      </ns0:c>
    </ns0:row>
    <ns0:row r="63">
      <ns0:c r="A63" t="inlineStr">
        <ns0:is>
          <ns0:t>function_0062</ns0:t>
        </ns0:is>
      </ns0:c>
      <ns0:c r="B63" t="inlineStr">
        <ns0:is>
          <ns0:t>run_005</ns0:t>
        </ns0:is>
      </ns0:c>
      <ns0:c r="C63" t="inlineStr">
        <ns0:is>
          <ns0:t>humantime</ns0:t>
        </ns0:is>
      </ns0:c>
      <ns0:c r="D63" t="inlineStr">
        <ns0:is>
          <ns0:t>gpt-3.5-turbo</ns0:t>
        </ns0:is>
      </ns0:c>
      <ns0:c r="E63">
        <ns0:f>COUNTIF(Cases!$B$2:$B$1859,A63)</ns0:f>
        <ns0:v>3</ns0:v>
      </ns0:c>
      <ns0:c r="F63">
        <ns0:f>IF(COUNTIFS(Cases!$B$2:$B$1859,A63,Cases!$G$2:$G$1859,1)&gt;0,1,0)</ns0:f>
        <ns0:v>1</ns0:v>
      </ns0:c>
      <ns0:c r="G63">
        <ns0:f>IF(COUNTIFS(Cases!$B$2:$B$1859,A63,Cases!$L$2:$L$1859,1)&gt;0,1,0)</ns0:f>
        <ns0:v>1</ns0:v>
      </ns0:c>
      <ns0:c r="H63">
        <ns0:f>IF(COUNTIFS(Cases!$B$2:$B$1859,A63,Cases!$Q$2:$Q$1859,1)&gt;0,1,0)</ns0:f>
        <ns0:v>0</ns0:v>
      </ns0:c>
      <ns0:c r="I63">
        <ns0:f>IF(COUNTIFS(Cases!$B$2:$B$1859,A63,Cases!$R$2:$R$1859,1)&gt;0,1,0)</ns0:f>
        <ns0:v>1</ns0:v>
      </ns0:c>
    </ns0:row>
    <ns0:row r="64">
      <ns0:c r="A64" t="inlineStr">
        <ns0:is>
          <ns0:t>function_0063</ns0:t>
        </ns0:is>
      </ns0:c>
      <ns0:c r="B64" t="inlineStr">
        <ns0:is>
          <ns0:t>run_005</ns0:t>
        </ns0:is>
      </ns0:c>
      <ns0:c r="C64" t="inlineStr">
        <ns0:is>
          <ns0:t>humantime</ns0:t>
        </ns0:is>
      </ns0:c>
      <ns0:c r="D64" t="inlineStr">
        <ns0:is>
          <ns0:t>gpt-3.5-turbo</ns0:t>
        </ns0:is>
      </ns0:c>
      <ns0:c r="E64">
        <ns0:f>COUNTIF(Cases!$B$2:$B$1859,A64)</ns0:f>
        <ns0:v>6</ns0:v>
      </ns0:c>
      <ns0:c r="F64">
        <ns0:f>IF(COUNTIFS(Cases!$B$2:$B$1859,A64,Cases!$G$2:$G$1859,1)&gt;0,1,0)</ns0:f>
        <ns0:v>1</ns0:v>
      </ns0:c>
      <ns0:c r="G64">
        <ns0:f>IF(COUNTIFS(Cases!$B$2:$B$1859,A64,Cases!$L$2:$L$1859,1)&gt;0,1,0)</ns0:f>
        <ns0:v>1</ns0:v>
      </ns0:c>
      <ns0:c r="H64">
        <ns0:f>IF(COUNTIFS(Cases!$B$2:$B$1859,A64,Cases!$Q$2:$Q$1859,1)&gt;0,1,0)</ns0:f>
        <ns0:v>0</ns0:v>
      </ns0:c>
      <ns0:c r="I64">
        <ns0:f>IF(COUNTIFS(Cases!$B$2:$B$1859,A64,Cases!$R$2:$R$1859,1)&gt;0,1,0)</ns0:f>
        <ns0:v>0</ns0:v>
      </ns0:c>
    </ns0:row>
    <ns0:row r="65">
      <ns0:c r="A65" t="inlineStr">
        <ns0:is>
          <ns0:t>function_0064</ns0:t>
        </ns0:is>
      </ns0:c>
      <ns0:c r="B65" t="inlineStr">
        <ns0:is>
          <ns0:t>run_005</ns0:t>
        </ns0:is>
      </ns0:c>
      <ns0:c r="C65" t="inlineStr">
        <ns0:is>
          <ns0:t>humantime</ns0:t>
        </ns0:is>
      </ns0:c>
      <ns0:c r="D65" t="inlineStr">
        <ns0:is>
          <ns0:t>gpt-3.5-turbo</ns0:t>
        </ns0:is>
      </ns0:c>
      <ns0:c r="E65">
        <ns0:f>COUNTIF(Cases!$B$2:$B$1859,A65)</ns0:f>
        <ns0:v>6</ns0:v>
      </ns0:c>
      <ns0:c r="F65">
        <ns0:f>IF(COUNTIFS(Cases!$B$2:$B$1859,A65,Cases!$G$2:$G$1859,1)&gt;0,1,0)</ns0:f>
        <ns0:v>1</ns0:v>
      </ns0:c>
      <ns0:c r="G65">
        <ns0:f>IF(COUNTIFS(Cases!$B$2:$B$1859,A65,Cases!$L$2:$L$1859,1)&gt;0,1,0)</ns0:f>
        <ns0:v>1</ns0:v>
      </ns0:c>
      <ns0:c r="H65">
        <ns0:f>IF(COUNTIFS(Cases!$B$2:$B$1859,A65,Cases!$Q$2:$Q$1859,1)&gt;0,1,0)</ns0:f>
        <ns0:v>0</ns0:v>
      </ns0:c>
      <ns0:c r="I65">
        <ns0:f>IF(COUNTIFS(Cases!$B$2:$B$1859,A65,Cases!$R$2:$R$1859,1)&gt;0,1,0)</ns0:f>
        <ns0:v>1</ns0:v>
      </ns0:c>
    </ns0:row>
    <ns0:row r="66">
      <ns0:c r="A66" t="inlineStr">
        <ns0:is>
          <ns0:t>function_0065</ns0:t>
        </ns0:is>
      </ns0:c>
      <ns0:c r="B66" t="inlineStr">
        <ns0:is>
          <ns0:t>run_005</ns0:t>
        </ns0:is>
      </ns0:c>
      <ns0:c r="C66" t="inlineStr">
        <ns0:is>
          <ns0:t>humantime</ns0:t>
        </ns0:is>
      </ns0:c>
      <ns0:c r="D66" t="inlineStr">
        <ns0:is>
          <ns0:t>gpt-3.5-turbo</ns0:t>
        </ns0:is>
      </ns0:c>
      <ns0:c r="E66">
        <ns0:f>COUNTIF(Cases!$B$2:$B$1859,A66)</ns0:f>
        <ns0:v>3</ns0:v>
      </ns0:c>
      <ns0:c r="F66">
        <ns0:f>IF(COUNTIFS(Cases!$B$2:$B$1859,A66,Cases!$G$2:$G$1859,1)&gt;0,1,0)</ns0:f>
        <ns0:v>1</ns0:v>
      </ns0:c>
      <ns0:c r="G66">
        <ns0:f>IF(COUNTIFS(Cases!$B$2:$B$1859,A66,Cases!$L$2:$L$1859,1)&gt;0,1,0)</ns0:f>
        <ns0:v>1</ns0:v>
      </ns0:c>
      <ns0:c r="H66">
        <ns0:f>IF(COUNTIFS(Cases!$B$2:$B$1859,A66,Cases!$Q$2:$Q$1859,1)&gt;0,1,0)</ns0:f>
        <ns0:v>1</ns0:v>
      </ns0:c>
      <ns0:c r="I66">
        <ns0:f>IF(COUNTIFS(Cases!$B$2:$B$1859,A66,Cases!$R$2:$R$1859,1)&gt;0,1,0)</ns0:f>
        <ns0:v>1</ns0:v>
      </ns0:c>
    </ns0:row>
    <ns0:row r="67">
      <ns0:c r="A67" t="inlineStr">
        <ns0:is>
          <ns0:t>function_0066</ns0:t>
        </ns0:is>
      </ns0:c>
      <ns0:c r="B67" t="inlineStr">
        <ns0:is>
          <ns0:t>run_005</ns0:t>
        </ns0:is>
      </ns0:c>
      <ns0:c r="C67" t="inlineStr">
        <ns0:is>
          <ns0:t>humantime</ns0:t>
        </ns0:is>
      </ns0:c>
      <ns0:c r="D67" t="inlineStr">
        <ns0:is>
          <ns0:t>gpt-3.5-turbo</ns0:t>
        </ns0:is>
      </ns0:c>
      <ns0:c r="E67">
        <ns0:f>COUNTIF(Cases!$B$2:$B$1859,A67)</ns0:f>
        <ns0:v>6</ns0:v>
      </ns0:c>
      <ns0:c r="F67">
        <ns0:f>IF(COUNTIFS(Cases!$B$2:$B$1859,A67,Cases!$G$2:$G$1859,1)&gt;0,1,0)</ns0:f>
        <ns0:v>1</ns0:v>
      </ns0:c>
      <ns0:c r="G67">
        <ns0:f>IF(COUNTIFS(Cases!$B$2:$B$1859,A67,Cases!$L$2:$L$1859,1)&gt;0,1,0)</ns0:f>
        <ns0:v>1</ns0:v>
      </ns0:c>
      <ns0:c r="H67">
        <ns0:f>IF(COUNTIFS(Cases!$B$2:$B$1859,A67,Cases!$Q$2:$Q$1859,1)&gt;0,1,0)</ns0:f>
        <ns0:v>1</ns0:v>
      </ns0:c>
      <ns0:c r="I67">
        <ns0:f>IF(COUNTIFS(Cases!$B$2:$B$1859,A67,Cases!$R$2:$R$1859,1)&gt;0,1,0)</ns0:f>
        <ns0:v>1</ns0:v>
      </ns0:c>
    </ns0:row>
    <ns0:row r="68">
      <ns0:c r="A68" t="inlineStr">
        <ns0:is>
          <ns0:t>function_0067</ns0:t>
        </ns0:is>
      </ns0:c>
      <ns0:c r="B68" t="inlineStr">
        <ns0:is>
          <ns0:t>run_005</ns0:t>
        </ns0:is>
      </ns0:c>
      <ns0:c r="C68" t="inlineStr">
        <ns0:is>
          <ns0:t>humantime</ns0:t>
        </ns0:is>
      </ns0:c>
      <ns0:c r="D68" t="inlineStr">
        <ns0:is>
          <ns0:t>gpt-3.5-turbo</ns0:t>
        </ns0:is>
      </ns0:c>
      <ns0:c r="E68">
        <ns0:f>COUNTIF(Cases!$B$2:$B$1859,A68)</ns0:f>
        <ns0:v>3</ns0:v>
      </ns0:c>
      <ns0:c r="F68">
        <ns0:f>IF(COUNTIFS(Cases!$B$2:$B$1859,A68,Cases!$G$2:$G$1859,1)&gt;0,1,0)</ns0:f>
        <ns0:v>1</ns0:v>
      </ns0:c>
      <ns0:c r="G68">
        <ns0:f>IF(COUNTIFS(Cases!$B$2:$B$1859,A68,Cases!$L$2:$L$1859,1)&gt;0,1,0)</ns0:f>
        <ns0:v>1</ns0:v>
      </ns0:c>
      <ns0:c r="H68">
        <ns0:f>IF(COUNTIFS(Cases!$B$2:$B$1859,A68,Cases!$Q$2:$Q$1859,1)&gt;0,1,0)</ns0:f>
        <ns0:v>1</ns0:v>
      </ns0:c>
      <ns0:c r="I68">
        <ns0:f>IF(COUNTIFS(Cases!$B$2:$B$1859,A68,Cases!$R$2:$R$1859,1)&gt;0,1,0)</ns0:f>
        <ns0:v>1</ns0:v>
      </ns0:c>
    </ns0:row>
    <ns0:row r="69">
      <ns0:c r="A69" t="inlineStr">
        <ns0:is>
          <ns0:t>function_0068</ns0:t>
        </ns0:is>
      </ns0:c>
      <ns0:c r="B69" t="inlineStr">
        <ns0:is>
          <ns0:t>run_005</ns0:t>
        </ns0:is>
      </ns0:c>
      <ns0:c r="C69" t="inlineStr">
        <ns0:is>
          <ns0:t>humantime</ns0:t>
        </ns0:is>
      </ns0:c>
      <ns0:c r="D69" t="inlineStr">
        <ns0:is>
          <ns0:t>gpt-3.5-turbo</ns0:t>
        </ns0:is>
      </ns0:c>
      <ns0:c r="E69">
        <ns0:f>COUNTIF(Cases!$B$2:$B$1859,A69)</ns0:f>
        <ns0:v>1</ns0:v>
      </ns0:c>
      <ns0:c r="F69">
        <ns0:f>IF(COUNTIFS(Cases!$B$2:$B$1859,A69,Cases!$G$2:$G$1859,1)&gt;0,1,0)</ns0:f>
        <ns0:v>0</ns0:v>
      </ns0:c>
      <ns0:c r="G69">
        <ns0:f>IF(COUNTIFS(Cases!$B$2:$B$1859,A69,Cases!$L$2:$L$1859,1)&gt;0,1,0)</ns0:f>
        <ns0:v>1</ns0:v>
      </ns0:c>
      <ns0:c r="H69">
        <ns0:f>IF(COUNTIFS(Cases!$B$2:$B$1859,A69,Cases!$Q$2:$Q$1859,1)&gt;0,1,0)</ns0:f>
        <ns0:v>0</ns0:v>
      </ns0:c>
      <ns0:c r="I69">
        <ns0:f>IF(COUNTIFS(Cases!$B$2:$B$1859,A69,Cases!$R$2:$R$1859,1)&gt;0,1,0)</ns0:f>
        <ns0:v>0</ns0:v>
      </ns0:c>
    </ns0:row>
    <ns0:row r="70">
      <ns0:c r="A70" t="inlineStr">
        <ns0:is>
          <ns0:t>function_0069</ns0:t>
        </ns0:is>
      </ns0:c>
      <ns0:c r="B70" t="inlineStr">
        <ns0:is>
          <ns0:t>run_005</ns0:t>
        </ns0:is>
      </ns0:c>
      <ns0:c r="C70" t="inlineStr">
        <ns0:is>
          <ns0:t>humantime</ns0:t>
        </ns0:is>
      </ns0:c>
      <ns0:c r="D70" t="inlineStr">
        <ns0:is>
          <ns0:t>gpt-3.5-turbo</ns0:t>
        </ns0:is>
      </ns0:c>
      <ns0:c r="E70">
        <ns0:f>COUNTIF(Cases!$B$2:$B$1859,A70)</ns0:f>
        <ns0:v>1</ns0:v>
      </ns0:c>
      <ns0:c r="F70">
        <ns0:f>IF(COUNTIFS(Cases!$B$2:$B$1859,A70,Cases!$G$2:$G$1859,1)&gt;0,1,0)</ns0:f>
        <ns0:v>1</ns0:v>
      </ns0:c>
      <ns0:c r="G70">
        <ns0:f>IF(COUNTIFS(Cases!$B$2:$B$1859,A70,Cases!$L$2:$L$1859,1)&gt;0,1,0)</ns0:f>
        <ns0:v>1</ns0:v>
      </ns0:c>
      <ns0:c r="H70">
        <ns0:f>IF(COUNTIFS(Cases!$B$2:$B$1859,A70,Cases!$Q$2:$Q$1859,1)&gt;0,1,0)</ns0:f>
        <ns0:v>0</ns0:v>
      </ns0:c>
      <ns0:c r="I70">
        <ns0:f>IF(COUNTIFS(Cases!$B$2:$B$1859,A70,Cases!$R$2:$R$1859,1)&gt;0,1,0)</ns0:f>
        <ns0:v>1</ns0:v>
      </ns0:c>
    </ns0:row>
    <ns0:row r="71">
      <ns0:c r="A71" t="inlineStr">
        <ns0:is>
          <ns0:t>function_0070</ns0:t>
        </ns0:is>
      </ns0:c>
      <ns0:c r="B71" t="inlineStr">
        <ns0:is>
          <ns0:t>run_005</ns0:t>
        </ns0:is>
      </ns0:c>
      <ns0:c r="C71" t="inlineStr">
        <ns0:is>
          <ns0:t>humantime</ns0:t>
        </ns0:is>
      </ns0:c>
      <ns0:c r="D71" t="inlineStr">
        <ns0:is>
          <ns0:t>gpt-3.5-turbo</ns0:t>
        </ns0:is>
      </ns0:c>
      <ns0:c r="E71">
        <ns0:f>COUNTIF(Cases!$B$2:$B$1859,A71)</ns0:f>
        <ns0:v>3</ns0:v>
      </ns0:c>
      <ns0:c r="F71">
        <ns0:f>IF(COUNTIFS(Cases!$B$2:$B$1859,A71,Cases!$G$2:$G$1859,1)&gt;0,1,0)</ns0:f>
        <ns0:v>1</ns0:v>
      </ns0:c>
      <ns0:c r="G71">
        <ns0:f>IF(COUNTIFS(Cases!$B$2:$B$1859,A71,Cases!$L$2:$L$1859,1)&gt;0,1,0)</ns0:f>
        <ns0:v>1</ns0:v>
      </ns0:c>
      <ns0:c r="H71">
        <ns0:f>IF(COUNTIFS(Cases!$B$2:$B$1859,A71,Cases!$Q$2:$Q$1859,1)&gt;0,1,0)</ns0:f>
        <ns0:v>1</ns0:v>
      </ns0:c>
      <ns0:c r="I71">
        <ns0:f>IF(COUNTIFS(Cases!$B$2:$B$1859,A71,Cases!$R$2:$R$1859,1)&gt;0,1,0)</ns0:f>
        <ns0:v>1</ns0:v>
      </ns0:c>
    </ns0:row>
    <ns0:row r="72">
      <ns0:c r="A72" t="inlineStr">
        <ns0:is>
          <ns0:t>function_0071</ns0:t>
        </ns0:is>
      </ns0:c>
      <ns0:c r="B72" t="inlineStr">
        <ns0:is>
          <ns0:t>run_005</ns0:t>
        </ns0:is>
      </ns0:c>
      <ns0:c r="C72" t="inlineStr">
        <ns0:is>
          <ns0:t>humantime</ns0:t>
        </ns0:is>
      </ns0:c>
      <ns0:c r="D72" t="inlineStr">
        <ns0:is>
          <ns0:t>gpt-3.5-turbo</ns0:t>
        </ns0:is>
      </ns0:c>
      <ns0:c r="E72">
        <ns0:f>COUNTIF(Cases!$B$2:$B$1859,A72)</ns0:f>
        <ns0:v>6</ns0:v>
      </ns0:c>
      <ns0:c r="F72">
        <ns0:f>IF(COUNTIFS(Cases!$B$2:$B$1859,A72,Cases!$G$2:$G$1859,1)&gt;0,1,0)</ns0:f>
        <ns0:v>1</ns0:v>
      </ns0:c>
      <ns0:c r="G72">
        <ns0:f>IF(COUNTIFS(Cases!$B$2:$B$1859,A72,Cases!$L$2:$L$1859,1)&gt;0,1,0)</ns0:f>
        <ns0:v>1</ns0:v>
      </ns0:c>
      <ns0:c r="H72">
        <ns0:f>IF(COUNTIFS(Cases!$B$2:$B$1859,A72,Cases!$Q$2:$Q$1859,1)&gt;0,1,0)</ns0:f>
        <ns0:v>0</ns0:v>
      </ns0:c>
      <ns0:c r="I72">
        <ns0:f>IF(COUNTIFS(Cases!$B$2:$B$1859,A72,Cases!$R$2:$R$1859,1)&gt;0,1,0)</ns0:f>
        <ns0:v>0</ns0:v>
      </ns0:c>
    </ns0:row>
    <ns0:row r="73">
      <ns0:c r="A73" t="inlineStr">
        <ns0:is>
          <ns0:t>function_0072</ns0:t>
        </ns0:is>
      </ns0:c>
      <ns0:c r="B73" t="inlineStr">
        <ns0:is>
          <ns0:t>run_005</ns0:t>
        </ns0:is>
      </ns0:c>
      <ns0:c r="C73" t="inlineStr">
        <ns0:is>
          <ns0:t>humantime</ns0:t>
        </ns0:is>
      </ns0:c>
      <ns0:c r="D73" t="inlineStr">
        <ns0:is>
          <ns0:t>gpt-3.5-turbo</ns0:t>
        </ns0:is>
      </ns0:c>
      <ns0:c r="E73">
        <ns0:f>COUNTIF(Cases!$B$2:$B$1859,A73)</ns0:f>
        <ns0:v>3</ns0:v>
      </ns0:c>
      <ns0:c r="F73">
        <ns0:f>IF(COUNTIFS(Cases!$B$2:$B$1859,A73,Cases!$G$2:$G$1859,1)&gt;0,1,0)</ns0:f>
        <ns0:v>1</ns0:v>
      </ns0:c>
      <ns0:c r="G73">
        <ns0:f>IF(COUNTIFS(Cases!$B$2:$B$1859,A73,Cases!$L$2:$L$1859,1)&gt;0,1,0)</ns0:f>
        <ns0:v>1</ns0:v>
      </ns0:c>
      <ns0:c r="H73">
        <ns0:f>IF(COUNTIFS(Cases!$B$2:$B$1859,A73,Cases!$Q$2:$Q$1859,1)&gt;0,1,0)</ns0:f>
        <ns0:v>1</ns0:v>
      </ns0:c>
      <ns0:c r="I73">
        <ns0:f>IF(COUNTIFS(Cases!$B$2:$B$1859,A73,Cases!$R$2:$R$1859,1)&gt;0,1,0)</ns0:f>
        <ns0:v>1</ns0:v>
      </ns0:c>
    </ns0:row>
    <ns0:row r="74">
      <ns0:c r="A74" t="inlineStr">
        <ns0:is>
          <ns0:t>function_0073</ns0:t>
        </ns0:is>
      </ns0:c>
      <ns0:c r="B74" t="inlineStr">
        <ns0:is>
          <ns0:t>run_005</ns0:t>
        </ns0:is>
      </ns0:c>
      <ns0:c r="C74" t="inlineStr">
        <ns0:is>
          <ns0:t>humantime</ns0:t>
        </ns0:is>
      </ns0:c>
      <ns0:c r="D74" t="inlineStr">
        <ns0:is>
          <ns0:t>gpt-3.5-turbo</ns0:t>
        </ns0:is>
      </ns0:c>
      <ns0:c r="E74">
        <ns0:f>COUNTIF(Cases!$B$2:$B$1859,A74)</ns0:f>
        <ns0:v>12</ns0:v>
      </ns0:c>
      <ns0:c r="F74">
        <ns0:f>IF(COUNTIFS(Cases!$B$2:$B$1859,A74,Cases!$G$2:$G$1859,1)&gt;0,1,0)</ns0:f>
        <ns0:v>1</ns0:v>
      </ns0:c>
      <ns0:c r="G74">
        <ns0:f>IF(COUNTIFS(Cases!$B$2:$B$1859,A74,Cases!$L$2:$L$1859,1)&gt;0,1,0)</ns0:f>
        <ns0:v>1</ns0:v>
      </ns0:c>
      <ns0:c r="H74">
        <ns0:f>IF(COUNTIFS(Cases!$B$2:$B$1859,A74,Cases!$Q$2:$Q$1859,1)&gt;0,1,0)</ns0:f>
        <ns0:v>0</ns0:v>
      </ns0:c>
      <ns0:c r="I74">
        <ns0:f>IF(COUNTIFS(Cases!$B$2:$B$1859,A74,Cases!$R$2:$R$1859,1)&gt;0,1,0)</ns0:f>
        <ns0:v>1</ns0:v>
      </ns0:c>
    </ns0:row>
    <ns0:row r="75">
      <ns0:c r="A75" t="inlineStr">
        <ns0:is>
          <ns0:t>function_0074</ns0:t>
        </ns0:is>
      </ns0:c>
      <ns0:c r="B75" t="inlineStr">
        <ns0:is>
          <ns0:t>run_005</ns0:t>
        </ns0:is>
      </ns0:c>
      <ns0:c r="C75" t="inlineStr">
        <ns0:is>
          <ns0:t>humantime</ns0:t>
        </ns0:is>
      </ns0:c>
      <ns0:c r="D75" t="inlineStr">
        <ns0:is>
          <ns0:t>gpt-3.5-turbo</ns0:t>
        </ns0:is>
      </ns0:c>
      <ns0:c r="E75">
        <ns0:f>COUNTIF(Cases!$B$2:$B$1859,A75)</ns0:f>
        <ns0:v>12</ns0:v>
      </ns0:c>
      <ns0:c r="F75">
        <ns0:f>IF(COUNTIFS(Cases!$B$2:$B$1859,A75,Cases!$G$2:$G$1859,1)&gt;0,1,0)</ns0:f>
        <ns0:v>1</ns0:v>
      </ns0:c>
      <ns0:c r="G75">
        <ns0:f>IF(COUNTIFS(Cases!$B$2:$B$1859,A75,Cases!$L$2:$L$1859,1)&gt;0,1,0)</ns0:f>
        <ns0:v>1</ns0:v>
      </ns0:c>
      <ns0:c r="H75">
        <ns0:f>IF(COUNTIFS(Cases!$B$2:$B$1859,A75,Cases!$Q$2:$Q$1859,1)&gt;0,1,0)</ns0:f>
        <ns0:v>0</ns0:v>
      </ns0:c>
      <ns0:c r="I75">
        <ns0:f>IF(COUNTIFS(Cases!$B$2:$B$1859,A75,Cases!$R$2:$R$1859,1)&gt;0,1,0)</ns0:f>
        <ns0:v>1</ns0:v>
      </ns0:c>
    </ns0:row>
    <ns0:row r="76">
      <ns0:c r="A76" t="inlineStr">
        <ns0:is>
          <ns0:t>function_0075</ns0:t>
        </ns0:is>
      </ns0:c>
      <ns0:c r="B76" t="inlineStr">
        <ns0:is>
          <ns0:t>run_005</ns0:t>
        </ns0:is>
      </ns0:c>
      <ns0:c r="C76" t="inlineStr">
        <ns0:is>
          <ns0:t>humantime</ns0:t>
        </ns0:is>
      </ns0:c>
      <ns0:c r="D76" t="inlineStr">
        <ns0:is>
          <ns0:t>gpt-3.5-turbo</ns0:t>
        </ns0:is>
      </ns0:c>
      <ns0:c r="E76">
        <ns0:f>COUNTIF(Cases!$B$2:$B$1859,A76)</ns0:f>
        <ns0:v>12</ns0:v>
      </ns0:c>
      <ns0:c r="F76">
        <ns0:f>IF(COUNTIFS(Cases!$B$2:$B$1859,A76,Cases!$G$2:$G$1859,1)&gt;0,1,0)</ns0:f>
        <ns0:v>1</ns0:v>
      </ns0:c>
      <ns0:c r="G76">
        <ns0:f>IF(COUNTIFS(Cases!$B$2:$B$1859,A76,Cases!$L$2:$L$1859,1)&gt;0,1,0)</ns0:f>
        <ns0:v>1</ns0:v>
      </ns0:c>
      <ns0:c r="H76">
        <ns0:f>IF(COUNTIFS(Cases!$B$2:$B$1859,A76,Cases!$Q$2:$Q$1859,1)&gt;0,1,0)</ns0:f>
        <ns0:v>0</ns0:v>
      </ns0:c>
      <ns0:c r="I76">
        <ns0:f>IF(COUNTIFS(Cases!$B$2:$B$1859,A76,Cases!$R$2:$R$1859,1)&gt;0,1,0)</ns0:f>
        <ns0:v>1</ns0:v>
      </ns0:c>
    </ns0:row>
    <ns0:row r="77">
      <ns0:c r="A77" t="inlineStr">
        <ns0:is>
          <ns0:t>function_0076</ns0:t>
        </ns0:is>
      </ns0:c>
      <ns0:c r="B77" t="inlineStr">
        <ns0:is>
          <ns0:t>run_005</ns0:t>
        </ns0:is>
      </ns0:c>
      <ns0:c r="C77" t="inlineStr">
        <ns0:is>
          <ns0:t>humantime</ns0:t>
        </ns0:is>
      </ns0:c>
      <ns0:c r="D77" t="inlineStr">
        <ns0:is>
          <ns0:t>gpt-3.5-turbo</ns0:t>
        </ns0:is>
      </ns0:c>
      <ns0:c r="E77">
        <ns0:f>COUNTIF(Cases!$B$2:$B$1859,A77)</ns0:f>
        <ns0:v>12</ns0:v>
      </ns0:c>
      <ns0:c r="F77">
        <ns0:f>IF(COUNTIFS(Cases!$B$2:$B$1859,A77,Cases!$G$2:$G$1859,1)&gt;0,1,0)</ns0:f>
        <ns0:v>1</ns0:v>
      </ns0:c>
      <ns0:c r="G77">
        <ns0:f>IF(COUNTIFS(Cases!$B$2:$B$1859,A77,Cases!$L$2:$L$1859,1)&gt;0,1,0)</ns0:f>
        <ns0:v>1</ns0:v>
      </ns0:c>
      <ns0:c r="H77">
        <ns0:f>IF(COUNTIFS(Cases!$B$2:$B$1859,A77,Cases!$Q$2:$Q$1859,1)&gt;0,1,0)</ns0:f>
        <ns0:v>0</ns0:v>
      </ns0:c>
      <ns0:c r="I77">
        <ns0:f>IF(COUNTIFS(Cases!$B$2:$B$1859,A77,Cases!$R$2:$R$1859,1)&gt;0,1,0)</ns0:f>
        <ns0:v>0</ns0:v>
      </ns0:c>
    </ns0:row>
    <ns0:row r="78">
      <ns0:c r="A78" t="inlineStr">
        <ns0:is>
          <ns0:t>function_0077</ns0:t>
        </ns0:is>
      </ns0:c>
      <ns0:c r="B78" t="inlineStr">
        <ns0:is>
          <ns0:t>run_005</ns0:t>
        </ns0:is>
      </ns0:c>
      <ns0:c r="C78" t="inlineStr">
        <ns0:is>
          <ns0:t>humantime</ns0:t>
        </ns0:is>
      </ns0:c>
      <ns0:c r="D78" t="inlineStr">
        <ns0:is>
          <ns0:t>gpt-3.5-turbo</ns0:t>
        </ns0:is>
      </ns0:c>
      <ns0:c r="E78">
        <ns0:f>COUNTIF(Cases!$B$2:$B$1859,A78)</ns0:f>
        <ns0:v>6</ns0:v>
      </ns0:c>
      <ns0:c r="F78">
        <ns0:f>IF(COUNTIFS(Cases!$B$2:$B$1859,A78,Cases!$G$2:$G$1859,1)&gt;0,1,0)</ns0:f>
        <ns0:v>0</ns0:v>
      </ns0:c>
      <ns0:c r="G78">
        <ns0:f>IF(COUNTIFS(Cases!$B$2:$B$1859,A78,Cases!$L$2:$L$1859,1)&gt;0,1,0)</ns0:f>
        <ns0:v>1</ns0:v>
      </ns0:c>
      <ns0:c r="H78">
        <ns0:f>IF(COUNTIFS(Cases!$B$2:$B$1859,A78,Cases!$Q$2:$Q$1859,1)&gt;0,1,0)</ns0:f>
        <ns0:v>0</ns0:v>
      </ns0:c>
      <ns0:c r="I78">
        <ns0:f>IF(COUNTIFS(Cases!$B$2:$B$1859,A78,Cases!$R$2:$R$1859,1)&gt;0,1,0)</ns0:f>
        <ns0:v>0</ns0:v>
      </ns0:c>
    </ns0:row>
    <ns0:row r="79">
      <ns0:c r="A79" t="inlineStr">
        <ns0:is>
          <ns0:t>function_0078</ns0:t>
        </ns0:is>
      </ns0:c>
      <ns0:c r="B79" t="inlineStr">
        <ns0:is>
          <ns0:t>run_005</ns0:t>
        </ns0:is>
      </ns0:c>
      <ns0:c r="C79" t="inlineStr">
        <ns0:is>
          <ns0:t>humantime</ns0:t>
        </ns0:is>
      </ns0:c>
      <ns0:c r="D79" t="inlineStr">
        <ns0:is>
          <ns0:t>gpt-3.5-turbo</ns0:t>
        </ns0:is>
      </ns0:c>
      <ns0:c r="E79">
        <ns0:f>COUNTIF(Cases!$B$2:$B$1859,A79)</ns0:f>
        <ns0:v>6</ns0:v>
      </ns0:c>
      <ns0:c r="F79">
        <ns0:f>IF(COUNTIFS(Cases!$B$2:$B$1859,A79,Cases!$G$2:$G$1859,1)&gt;0,1,0)</ns0:f>
        <ns0:v>1</ns0:v>
      </ns0:c>
      <ns0:c r="G79">
        <ns0:f>IF(COUNTIFS(Cases!$B$2:$B$1859,A79,Cases!$L$2:$L$1859,1)&gt;0,1,0)</ns0:f>
        <ns0:v>0</ns0:v>
      </ns0:c>
      <ns0:c r="H79">
        <ns0:f>IF(COUNTIFS(Cases!$B$2:$B$1859,A79,Cases!$Q$2:$Q$1859,1)&gt;0,1,0)</ns0:f>
        <ns0:v>0</ns0:v>
      </ns0:c>
      <ns0:c r="I79">
        <ns0:f>IF(COUNTIFS(Cases!$B$2:$B$1859,A79,Cases!$R$2:$R$1859,1)&gt;0,1,0)</ns0:f>
        <ns0:v>0</ns0:v>
      </ns0:c>
    </ns0:row>
    <ns0:row r="80">
      <ns0:c r="A80" t="inlineStr">
        <ns0:is>
          <ns0:t>function_0079</ns0:t>
        </ns0:is>
      </ns0:c>
      <ns0:c r="B80" t="inlineStr">
        <ns0:is>
          <ns0:t>run_005</ns0:t>
        </ns0:is>
      </ns0:c>
      <ns0:c r="C80" t="inlineStr">
        <ns0:is>
          <ns0:t>humantime</ns0:t>
        </ns0:is>
      </ns0:c>
      <ns0:c r="D80" t="inlineStr">
        <ns0:is>
          <ns0:t>gpt-3.5-turbo</ns0:t>
        </ns0:is>
      </ns0:c>
      <ns0:c r="E80">
        <ns0:f>COUNTIF(Cases!$B$2:$B$1859,A80)</ns0:f>
        <ns0:v>6</ns0:v>
      </ns0:c>
      <ns0:c r="F80">
        <ns0:f>IF(COUNTIFS(Cases!$B$2:$B$1859,A80,Cases!$G$2:$G$1859,1)&gt;0,1,0)</ns0:f>
        <ns0:v>1</ns0:v>
      </ns0:c>
      <ns0:c r="G80">
        <ns0:f>IF(COUNTIFS(Cases!$B$2:$B$1859,A80,Cases!$L$2:$L$1859,1)&gt;0,1,0)</ns0:f>
        <ns0:v>1</ns0:v>
      </ns0:c>
      <ns0:c r="H80">
        <ns0:f>IF(COUNTIFS(Cases!$B$2:$B$1859,A80,Cases!$Q$2:$Q$1859,1)&gt;0,1,0)</ns0:f>
        <ns0:v>1</ns0:v>
      </ns0:c>
      <ns0:c r="I80">
        <ns0:f>IF(COUNTIFS(Cases!$B$2:$B$1859,A80,Cases!$R$2:$R$1859,1)&gt;0,1,0)</ns0:f>
        <ns0:v>1</ns0:v>
      </ns0:c>
    </ns0:row>
    <ns0:row r="81">
      <ns0:c r="A81" t="inlineStr">
        <ns0:is>
          <ns0:t>function_0080</ns0:t>
        </ns0:is>
      </ns0:c>
      <ns0:c r="B81" t="inlineStr">
        <ns0:is>
          <ns0:t>run_006</ns0:t>
        </ns0:is>
      </ns0:c>
      <ns0:c r="C81" t="inlineStr">
        <ns0:is>
          <ns0:t>humantime</ns0:t>
        </ns0:is>
      </ns0:c>
      <ns0:c r="D81" t="inlineStr">
        <ns0:is>
          <ns0:t>gpt-4.1-mini</ns0:t>
        </ns0:is>
      </ns0:c>
      <ns0:c r="E81">
        <ns0:f>COUNTIF(Cases!$B$2:$B$1859,A81)</ns0:f>
        <ns0:v>4</ns0:v>
      </ns0:c>
      <ns0:c r="F81">
        <ns0:f>IF(COUNTIFS(Cases!$B$2:$B$1859,A81,Cases!$G$2:$G$1859,1)&gt;0,1,0)</ns0:f>
        <ns0:v>1</ns0:v>
      </ns0:c>
      <ns0:c r="G81">
        <ns0:f>IF(COUNTIFS(Cases!$B$2:$B$1859,A81,Cases!$L$2:$L$1859,1)&gt;0,1,0)</ns0:f>
        <ns0:v>1</ns0:v>
      </ns0:c>
      <ns0:c r="H81">
        <ns0:f>IF(COUNTIFS(Cases!$B$2:$B$1859,A81,Cases!$Q$2:$Q$1859,1)&gt;0,1,0)</ns0:f>
        <ns0:v>0</ns0:v>
      </ns0:c>
      <ns0:c r="I81">
        <ns0:f>IF(COUNTIFS(Cases!$B$2:$B$1859,A81,Cases!$R$2:$R$1859,1)&gt;0,1,0)</ns0:f>
        <ns0:v>1</ns0:v>
      </ns0:c>
    </ns0:row>
    <ns0:row r="82">
      <ns0:c r="A82" t="inlineStr">
        <ns0:is>
          <ns0:t>function_0081</ns0:t>
        </ns0:is>
      </ns0:c>
      <ns0:c r="B82" t="inlineStr">
        <ns0:is>
          <ns0:t>run_006</ns0:t>
        </ns0:is>
      </ns0:c>
      <ns0:c r="C82" t="inlineStr">
        <ns0:is>
          <ns0:t>humantime</ns0:t>
        </ns0:is>
      </ns0:c>
      <ns0:c r="D82" t="inlineStr">
        <ns0:is>
          <ns0:t>gpt-4.1-mini</ns0:t>
        </ns0:is>
      </ns0:c>
      <ns0:c r="E82">
        <ns0:f>COUNTIF(Cases!$B$2:$B$1859,A82)</ns0:f>
        <ns0:v>3</ns0:v>
      </ns0:c>
      <ns0:c r="F82">
        <ns0:f>IF(COUNTIFS(Cases!$B$2:$B$1859,A82,Cases!$G$2:$G$1859,1)&gt;0,1,0)</ns0:f>
        <ns0:v>1</ns0:v>
      </ns0:c>
      <ns0:c r="G82">
        <ns0:f>IF(COUNTIFS(Cases!$B$2:$B$1859,A82,Cases!$L$2:$L$1859,1)&gt;0,1,0)</ns0:f>
        <ns0:v>1</ns0:v>
      </ns0:c>
      <ns0:c r="H82">
        <ns0:f>IF(COUNTIFS(Cases!$B$2:$B$1859,A82,Cases!$Q$2:$Q$1859,1)&gt;0,1,0)</ns0:f>
        <ns0:v>0</ns0:v>
      </ns0:c>
      <ns0:c r="I82">
        <ns0:f>IF(COUNTIFS(Cases!$B$2:$B$1859,A82,Cases!$R$2:$R$1859,1)&gt;0,1,0)</ns0:f>
        <ns0:v>1</ns0:v>
      </ns0:c>
    </ns0:row>
    <ns0:row r="83">
      <ns0:c r="A83" t="inlineStr">
        <ns0:is>
          <ns0:t>function_0082</ns0:t>
        </ns0:is>
      </ns0:c>
      <ns0:c r="B83" t="inlineStr">
        <ns0:is>
          <ns0:t>run_006</ns0:t>
        </ns0:is>
      </ns0:c>
      <ns0:c r="C83" t="inlineStr">
        <ns0:is>
          <ns0:t>humantime</ns0:t>
        </ns0:is>
      </ns0:c>
      <ns0:c r="D83" t="inlineStr">
        <ns0:is>
          <ns0:t>gpt-4.1-mini</ns0:t>
        </ns0:is>
      </ns0:c>
      <ns0:c r="E83">
        <ns0:f>COUNTIF(Cases!$B$2:$B$1859,A83)</ns0:f>
        <ns0:v>6</ns0:v>
      </ns0:c>
      <ns0:c r="F83">
        <ns0:f>IF(COUNTIFS(Cases!$B$2:$B$1859,A83,Cases!$G$2:$G$1859,1)&gt;0,1,0)</ns0:f>
        <ns0:v>1</ns0:v>
      </ns0:c>
      <ns0:c r="G83">
        <ns0:f>IF(COUNTIFS(Cases!$B$2:$B$1859,A83,Cases!$L$2:$L$1859,1)&gt;0,1,0)</ns0:f>
        <ns0:v>1</ns0:v>
      </ns0:c>
      <ns0:c r="H83">
        <ns0:f>IF(COUNTIFS(Cases!$B$2:$B$1859,A83,Cases!$Q$2:$Q$1859,1)&gt;0,1,0)</ns0:f>
        <ns0:v>1</ns0:v>
      </ns0:c>
      <ns0:c r="I83">
        <ns0:f>IF(COUNTIFS(Cases!$B$2:$B$1859,A83,Cases!$R$2:$R$1859,1)&gt;0,1,0)</ns0:f>
        <ns0:v>1</ns0:v>
      </ns0:c>
    </ns0:row>
    <ns0:row r="84">
      <ns0:c r="A84" t="inlineStr">
        <ns0:is>
          <ns0:t>function_0083</ns0:t>
        </ns0:is>
      </ns0:c>
      <ns0:c r="B84" t="inlineStr">
        <ns0:is>
          <ns0:t>run_006</ns0:t>
        </ns0:is>
      </ns0:c>
      <ns0:c r="C84" t="inlineStr">
        <ns0:is>
          <ns0:t>humantime</ns0:t>
        </ns0:is>
      </ns0:c>
      <ns0:c r="D84" t="inlineStr">
        <ns0:is>
          <ns0:t>gpt-4.1-mini</ns0:t>
        </ns0:is>
      </ns0:c>
      <ns0:c r="E84">
        <ns0:f>COUNTIF(Cases!$B$2:$B$1859,A84)</ns0:f>
        <ns0:v>4</ns0:v>
      </ns0:c>
      <ns0:c r="F84">
        <ns0:f>IF(COUNTIFS(Cases!$B$2:$B$1859,A84,Cases!$G$2:$G$1859,1)&gt;0,1,0)</ns0:f>
        <ns0:v>1</ns0:v>
      </ns0:c>
      <ns0:c r="G84">
        <ns0:f>IF(COUNTIFS(Cases!$B$2:$B$1859,A84,Cases!$L$2:$L$1859,1)&gt;0,1,0)</ns0:f>
        <ns0:v>1</ns0:v>
      </ns0:c>
      <ns0:c r="H84">
        <ns0:f>IF(COUNTIFS(Cases!$B$2:$B$1859,A84,Cases!$Q$2:$Q$1859,1)&gt;0,1,0)</ns0:f>
        <ns0:v>1</ns0:v>
      </ns0:c>
      <ns0:c r="I84">
        <ns0:f>IF(COUNTIFS(Cases!$B$2:$B$1859,A84,Cases!$R$2:$R$1859,1)&gt;0,1,0)</ns0:f>
        <ns0:v>1</ns0:v>
      </ns0:c>
    </ns0:row>
    <ns0:row r="85">
      <ns0:c r="A85" t="inlineStr">
        <ns0:is>
          <ns0:t>function_0084</ns0:t>
        </ns0:is>
      </ns0:c>
      <ns0:c r="B85" t="inlineStr">
        <ns0:is>
          <ns0:t>run_006</ns0:t>
        </ns0:is>
      </ns0:c>
      <ns0:c r="C85" t="inlineStr">
        <ns0:is>
          <ns0:t>humantime</ns0:t>
        </ns0:is>
      </ns0:c>
      <ns0:c r="D85" t="inlineStr">
        <ns0:is>
          <ns0:t>gpt-4.1-mini</ns0:t>
        </ns0:is>
      </ns0:c>
      <ns0:c r="E85">
        <ns0:f>COUNTIF(Cases!$B$2:$B$1859,A85)</ns0:f>
        <ns0:v>3</ns0:v>
      </ns0:c>
      <ns0:c r="F85">
        <ns0:f>IF(COUNTIFS(Cases!$B$2:$B$1859,A85,Cases!$G$2:$G$1859,1)&gt;0,1,0)</ns0:f>
        <ns0:v>1</ns0:v>
      </ns0:c>
      <ns0:c r="G85">
        <ns0:f>IF(COUNTIFS(Cases!$B$2:$B$1859,A85,Cases!$L$2:$L$1859,1)&gt;0,1,0)</ns0:f>
        <ns0:v>1</ns0:v>
      </ns0:c>
      <ns0:c r="H85">
        <ns0:f>IF(COUNTIFS(Cases!$B$2:$B$1859,A85,Cases!$Q$2:$Q$1859,1)&gt;0,1,0)</ns0:f>
        <ns0:v>0</ns0:v>
      </ns0:c>
      <ns0:c r="I85">
        <ns0:f>IF(COUNTIFS(Cases!$B$2:$B$1859,A85,Cases!$R$2:$R$1859,1)&gt;0,1,0)</ns0:f>
        <ns0:v>1</ns0:v>
      </ns0:c>
    </ns0:row>
    <ns0:row r="86">
      <ns0:c r="A86" t="inlineStr">
        <ns0:is>
          <ns0:t>function_0085</ns0:t>
        </ns0:is>
      </ns0:c>
      <ns0:c r="B86" t="inlineStr">
        <ns0:is>
          <ns0:t>run_006</ns0:t>
        </ns0:is>
      </ns0:c>
      <ns0:c r="C86" t="inlineStr">
        <ns0:is>
          <ns0:t>humantime</ns0:t>
        </ns0:is>
      </ns0:c>
      <ns0:c r="D86" t="inlineStr">
        <ns0:is>
          <ns0:t>gpt-4.1-mini</ns0:t>
        </ns0:is>
      </ns0:c>
      <ns0:c r="E86">
        <ns0:f>COUNTIF(Cases!$B$2:$B$1859,A86)</ns0:f>
        <ns0:v>4</ns0:v>
      </ns0:c>
      <ns0:c r="F86">
        <ns0:f>IF(COUNTIFS(Cases!$B$2:$B$1859,A86,Cases!$G$2:$G$1859,1)&gt;0,1,0)</ns0:f>
        <ns0:v>1</ns0:v>
      </ns0:c>
      <ns0:c r="G86">
        <ns0:f>IF(COUNTIFS(Cases!$B$2:$B$1859,A86,Cases!$L$2:$L$1859,1)&gt;0,1,0)</ns0:f>
        <ns0:v>1</ns0:v>
      </ns0:c>
      <ns0:c r="H86">
        <ns0:f>IF(COUNTIFS(Cases!$B$2:$B$1859,A86,Cases!$Q$2:$Q$1859,1)&gt;0,1,0)</ns0:f>
        <ns0:v>1</ns0:v>
      </ns0:c>
      <ns0:c r="I86">
        <ns0:f>IF(COUNTIFS(Cases!$B$2:$B$1859,A86,Cases!$R$2:$R$1859,1)&gt;0,1,0)</ns0:f>
        <ns0:v>1</ns0:v>
      </ns0:c>
    </ns0:row>
    <ns0:row r="87">
      <ns0:c r="A87" t="inlineStr">
        <ns0:is>
          <ns0:t>function_0086</ns0:t>
        </ns0:is>
      </ns0:c>
      <ns0:c r="B87" t="inlineStr">
        <ns0:is>
          <ns0:t>run_006</ns0:t>
        </ns0:is>
      </ns0:c>
      <ns0:c r="C87" t="inlineStr">
        <ns0:is>
          <ns0:t>humantime</ns0:t>
        </ns0:is>
      </ns0:c>
      <ns0:c r="D87" t="inlineStr">
        <ns0:is>
          <ns0:t>gpt-4.1-mini</ns0:t>
        </ns0:is>
      </ns0:c>
      <ns0:c r="E87">
        <ns0:f>COUNTIF(Cases!$B$2:$B$1859,A87)</ns0:f>
        <ns0:v>3</ns0:v>
      </ns0:c>
      <ns0:c r="F87">
        <ns0:f>IF(COUNTIFS(Cases!$B$2:$B$1859,A87,Cases!$G$2:$G$1859,1)&gt;0,1,0)</ns0:f>
        <ns0:v>1</ns0:v>
      </ns0:c>
      <ns0:c r="G87">
        <ns0:f>IF(COUNTIFS(Cases!$B$2:$B$1859,A87,Cases!$L$2:$L$1859,1)&gt;0,1,0)</ns0:f>
        <ns0:v>1</ns0:v>
      </ns0:c>
      <ns0:c r="H87">
        <ns0:f>IF(COUNTIFS(Cases!$B$2:$B$1859,A87,Cases!$Q$2:$Q$1859,1)&gt;0,1,0)</ns0:f>
        <ns0:v>1</ns0:v>
      </ns0:c>
      <ns0:c r="I87">
        <ns0:f>IF(COUNTIFS(Cases!$B$2:$B$1859,A87,Cases!$R$2:$R$1859,1)&gt;0,1,0)</ns0:f>
        <ns0:v>1</ns0:v>
      </ns0:c>
    </ns0:row>
    <ns0:row r="88">
      <ns0:c r="A88" t="inlineStr">
        <ns0:is>
          <ns0:t>function_0087</ns0:t>
        </ns0:is>
      </ns0:c>
      <ns0:c r="B88" t="inlineStr">
        <ns0:is>
          <ns0:t>run_006</ns0:t>
        </ns0:is>
      </ns0:c>
      <ns0:c r="C88" t="inlineStr">
        <ns0:is>
          <ns0:t>humantime</ns0:t>
        </ns0:is>
      </ns0:c>
      <ns0:c r="D88" t="inlineStr">
        <ns0:is>
          <ns0:t>gpt-4.1-mini</ns0:t>
        </ns0:is>
      </ns0:c>
      <ns0:c r="E88">
        <ns0:f>COUNTIF(Cases!$B$2:$B$1859,A88)</ns0:f>
        <ns0:v>1</ns0:v>
      </ns0:c>
      <ns0:c r="F88">
        <ns0:f>IF(COUNTIFS(Cases!$B$2:$B$1859,A88,Cases!$G$2:$G$1859,1)&gt;0,1,0)</ns0:f>
        <ns0:v>1</ns0:v>
      </ns0:c>
      <ns0:c r="G88">
        <ns0:f>IF(COUNTIFS(Cases!$B$2:$B$1859,A88,Cases!$L$2:$L$1859,1)&gt;0,1,0)</ns0:f>
        <ns0:v>1</ns0:v>
      </ns0:c>
      <ns0:c r="H88">
        <ns0:f>IF(COUNTIFS(Cases!$B$2:$B$1859,A88,Cases!$Q$2:$Q$1859,1)&gt;0,1,0)</ns0:f>
        <ns0:v>1</ns0:v>
      </ns0:c>
      <ns0:c r="I88">
        <ns0:f>IF(COUNTIFS(Cases!$B$2:$B$1859,A88,Cases!$R$2:$R$1859,1)&gt;0,1,0)</ns0:f>
        <ns0:v>1</ns0:v>
      </ns0:c>
    </ns0:row>
    <ns0:row r="89">
      <ns0:c r="A89" t="inlineStr">
        <ns0:is>
          <ns0:t>function_0088</ns0:t>
        </ns0:is>
      </ns0:c>
      <ns0:c r="B89" t="inlineStr">
        <ns0:is>
          <ns0:t>run_006</ns0:t>
        </ns0:is>
      </ns0:c>
      <ns0:c r="C89" t="inlineStr">
        <ns0:is>
          <ns0:t>humantime</ns0:t>
        </ns0:is>
      </ns0:c>
      <ns0:c r="D89" t="inlineStr">
        <ns0:is>
          <ns0:t>gpt-4.1-mini</ns0:t>
        </ns0:is>
      </ns0:c>
      <ns0:c r="E89">
        <ns0:f>COUNTIF(Cases!$B$2:$B$1859,A89)</ns0:f>
        <ns0:v>4</ns0:v>
      </ns0:c>
      <ns0:c r="F89">
        <ns0:f>IF(COUNTIFS(Cases!$B$2:$B$1859,A89,Cases!$G$2:$G$1859,1)&gt;0,1,0)</ns0:f>
        <ns0:v>1</ns0:v>
      </ns0:c>
      <ns0:c r="G89">
        <ns0:f>IF(COUNTIFS(Cases!$B$2:$B$1859,A89,Cases!$L$2:$L$1859,1)&gt;0,1,0)</ns0:f>
        <ns0:v>1</ns0:v>
      </ns0:c>
      <ns0:c r="H89">
        <ns0:f>IF(COUNTIFS(Cases!$B$2:$B$1859,A89,Cases!$Q$2:$Q$1859,1)&gt;0,1,0)</ns0:f>
        <ns0:v>1</ns0:v>
      </ns0:c>
      <ns0:c r="I89">
        <ns0:f>IF(COUNTIFS(Cases!$B$2:$B$1859,A89,Cases!$R$2:$R$1859,1)&gt;0,1,0)</ns0:f>
        <ns0:v>1</ns0:v>
      </ns0:c>
    </ns0:row>
    <ns0:row r="90">
      <ns0:c r="A90" t="inlineStr">
        <ns0:is>
          <ns0:t>function_0089</ns0:t>
        </ns0:is>
      </ns0:c>
      <ns0:c r="B90" t="inlineStr">
        <ns0:is>
          <ns0:t>run_006</ns0:t>
        </ns0:is>
      </ns0:c>
      <ns0:c r="C90" t="inlineStr">
        <ns0:is>
          <ns0:t>humantime</ns0:t>
        </ns0:is>
      </ns0:c>
      <ns0:c r="D90" t="inlineStr">
        <ns0:is>
          <ns0:t>gpt-4.1-mini</ns0:t>
        </ns0:is>
      </ns0:c>
      <ns0:c r="E90">
        <ns0:f>COUNTIF(Cases!$B$2:$B$1859,A90)</ns0:f>
        <ns0:v>3</ns0:v>
      </ns0:c>
      <ns0:c r="F90">
        <ns0:f>IF(COUNTIFS(Cases!$B$2:$B$1859,A90,Cases!$G$2:$G$1859,1)&gt;0,1,0)</ns0:f>
        <ns0:v>1</ns0:v>
      </ns0:c>
      <ns0:c r="G90">
        <ns0:f>IF(COUNTIFS(Cases!$B$2:$B$1859,A90,Cases!$L$2:$L$1859,1)&gt;0,1,0)</ns0:f>
        <ns0:v>1</ns0:v>
      </ns0:c>
      <ns0:c r="H90">
        <ns0:f>IF(COUNTIFS(Cases!$B$2:$B$1859,A90,Cases!$Q$2:$Q$1859,1)&gt;0,1,0)</ns0:f>
        <ns0:v>1</ns0:v>
      </ns0:c>
      <ns0:c r="I90">
        <ns0:f>IF(COUNTIFS(Cases!$B$2:$B$1859,A90,Cases!$R$2:$R$1859,1)&gt;0,1,0)</ns0:f>
        <ns0:v>1</ns0:v>
      </ns0:c>
    </ns0:row>
    <ns0:row r="91">
      <ns0:c r="A91" t="inlineStr">
        <ns0:is>
          <ns0:t>function_0090</ns0:t>
        </ns0:is>
      </ns0:c>
      <ns0:c r="B91" t="inlineStr">
        <ns0:is>
          <ns0:t>run_006</ns0:t>
        </ns0:is>
      </ns0:c>
      <ns0:c r="C91" t="inlineStr">
        <ns0:is>
          <ns0:t>humantime</ns0:t>
        </ns0:is>
      </ns0:c>
      <ns0:c r="D91" t="inlineStr">
        <ns0:is>
          <ns0:t>gpt-4.1-mini</ns0:t>
        </ns0:is>
      </ns0:c>
      <ns0:c r="E91">
        <ns0:f>COUNTIF(Cases!$B$2:$B$1859,A91)</ns0:f>
        <ns0:v>1</ns0:v>
      </ns0:c>
      <ns0:c r="F91">
        <ns0:f>IF(COUNTIFS(Cases!$B$2:$B$1859,A91,Cases!$G$2:$G$1859,1)&gt;0,1,0)</ns0:f>
        <ns0:v>1</ns0:v>
      </ns0:c>
      <ns0:c r="G91">
        <ns0:f>IF(COUNTIFS(Cases!$B$2:$B$1859,A91,Cases!$L$2:$L$1859,1)&gt;0,1,0)</ns0:f>
        <ns0:v>1</ns0:v>
      </ns0:c>
      <ns0:c r="H91">
        <ns0:f>IF(COUNTIFS(Cases!$B$2:$B$1859,A91,Cases!$Q$2:$Q$1859,1)&gt;0,1,0)</ns0:f>
        <ns0:v>0</ns0:v>
      </ns0:c>
      <ns0:c r="I91">
        <ns0:f>IF(COUNTIFS(Cases!$B$2:$B$1859,A91,Cases!$R$2:$R$1859,1)&gt;0,1,0)</ns0:f>
        <ns0:v>0</ns0:v>
      </ns0:c>
    </ns0:row>
    <ns0:row r="92">
      <ns0:c r="A92" t="inlineStr">
        <ns0:is>
          <ns0:t>function_0091</ns0:t>
        </ns0:is>
      </ns0:c>
      <ns0:c r="B92" t="inlineStr">
        <ns0:is>
          <ns0:t>run_006</ns0:t>
        </ns0:is>
      </ns0:c>
      <ns0:c r="C92" t="inlineStr">
        <ns0:is>
          <ns0:t>humantime</ns0:t>
        </ns0:is>
      </ns0:c>
      <ns0:c r="D92" t="inlineStr">
        <ns0:is>
          <ns0:t>gpt-4.1-mini</ns0:t>
        </ns0:is>
      </ns0:c>
      <ns0:c r="E92">
        <ns0:f>COUNTIF(Cases!$B$2:$B$1859,A92)</ns0:f>
        <ns0:v>6</ns0:v>
      </ns0:c>
      <ns0:c r="F92">
        <ns0:f>IF(COUNTIFS(Cases!$B$2:$B$1859,A92,Cases!$G$2:$G$1859,1)&gt;0,1,0)</ns0:f>
        <ns0:v>1</ns0:v>
      </ns0:c>
      <ns0:c r="G92">
        <ns0:f>IF(COUNTIFS(Cases!$B$2:$B$1859,A92,Cases!$L$2:$L$1859,1)&gt;0,1,0)</ns0:f>
        <ns0:v>1</ns0:v>
      </ns0:c>
      <ns0:c r="H92">
        <ns0:f>IF(COUNTIFS(Cases!$B$2:$B$1859,A92,Cases!$Q$2:$Q$1859,1)&gt;0,1,0)</ns0:f>
        <ns0:v>0</ns0:v>
      </ns0:c>
      <ns0:c r="I92">
        <ns0:f>IF(COUNTIFS(Cases!$B$2:$B$1859,A92,Cases!$R$2:$R$1859,1)&gt;0,1,0)</ns0:f>
        <ns0:v>1</ns0:v>
      </ns0:c>
    </ns0:row>
    <ns0:row r="93">
      <ns0:c r="A93" t="inlineStr">
        <ns0:is>
          <ns0:t>function_0092</ns0:t>
        </ns0:is>
      </ns0:c>
      <ns0:c r="B93" t="inlineStr">
        <ns0:is>
          <ns0:t>run_006</ns0:t>
        </ns0:is>
      </ns0:c>
      <ns0:c r="C93" t="inlineStr">
        <ns0:is>
          <ns0:t>humantime</ns0:t>
        </ns0:is>
      </ns0:c>
      <ns0:c r="D93" t="inlineStr">
        <ns0:is>
          <ns0:t>gpt-4.1-mini</ns0:t>
        </ns0:is>
      </ns0:c>
      <ns0:c r="E93">
        <ns0:f>COUNTIF(Cases!$B$2:$B$1859,A93)</ns0:f>
        <ns0:v>1</ns0:v>
      </ns0:c>
      <ns0:c r="F93">
        <ns0:f>IF(COUNTIFS(Cases!$B$2:$B$1859,A93,Cases!$G$2:$G$1859,1)&gt;0,1,0)</ns0:f>
        <ns0:v>1</ns0:v>
      </ns0:c>
      <ns0:c r="G93">
        <ns0:f>IF(COUNTIFS(Cases!$B$2:$B$1859,A93,Cases!$L$2:$L$1859,1)&gt;0,1,0)</ns0:f>
        <ns0:v>1</ns0:v>
      </ns0:c>
      <ns0:c r="H93">
        <ns0:f>IF(COUNTIFS(Cases!$B$2:$B$1859,A93,Cases!$Q$2:$Q$1859,1)&gt;0,1,0)</ns0:f>
        <ns0:v>1</ns0:v>
      </ns0:c>
      <ns0:c r="I93">
        <ns0:f>IF(COUNTIFS(Cases!$B$2:$B$1859,A93,Cases!$R$2:$R$1859,1)&gt;0,1,0)</ns0:f>
        <ns0:v>1</ns0:v>
      </ns0:c>
    </ns0:row>
    <ns0:row r="94">
      <ns0:c r="A94" t="inlineStr">
        <ns0:is>
          <ns0:t>function_0093</ns0:t>
        </ns0:is>
      </ns0:c>
      <ns0:c r="B94" t="inlineStr">
        <ns0:is>
          <ns0:t>run_006</ns0:t>
        </ns0:is>
      </ns0:c>
      <ns0:c r="C94" t="inlineStr">
        <ns0:is>
          <ns0:t>humantime</ns0:t>
        </ns0:is>
      </ns0:c>
      <ns0:c r="D94" t="inlineStr">
        <ns0:is>
          <ns0:t>gpt-4.1-mini</ns0:t>
        </ns0:is>
      </ns0:c>
      <ns0:c r="E94">
        <ns0:f>COUNTIF(Cases!$B$2:$B$1859,A94)</ns0:f>
        <ns0:v>12</ns0:v>
      </ns0:c>
      <ns0:c r="F94">
        <ns0:f>IF(COUNTIFS(Cases!$B$2:$B$1859,A94,Cases!$G$2:$G$1859,1)&gt;0,1,0)</ns0:f>
        <ns0:v>1</ns0:v>
      </ns0:c>
      <ns0:c r="G94">
        <ns0:f>IF(COUNTIFS(Cases!$B$2:$B$1859,A94,Cases!$L$2:$L$1859,1)&gt;0,1,0)</ns0:f>
        <ns0:v>1</ns0:v>
      </ns0:c>
      <ns0:c r="H94">
        <ns0:f>IF(COUNTIFS(Cases!$B$2:$B$1859,A94,Cases!$Q$2:$Q$1859,1)&gt;0,1,0)</ns0:f>
        <ns0:v>0</ns0:v>
      </ns0:c>
      <ns0:c r="I94">
        <ns0:f>IF(COUNTIFS(Cases!$B$2:$B$1859,A94,Cases!$R$2:$R$1859,1)&gt;0,1,0)</ns0:f>
        <ns0:v>1</ns0:v>
      </ns0:c>
    </ns0:row>
    <ns0:row r="95">
      <ns0:c r="A95" t="inlineStr">
        <ns0:is>
          <ns0:t>function_0094</ns0:t>
        </ns0:is>
      </ns0:c>
      <ns0:c r="B95" t="inlineStr">
        <ns0:is>
          <ns0:t>run_006</ns0:t>
        </ns0:is>
      </ns0:c>
      <ns0:c r="C95" t="inlineStr">
        <ns0:is>
          <ns0:t>humantime</ns0:t>
        </ns0:is>
      </ns0:c>
      <ns0:c r="D95" t="inlineStr">
        <ns0:is>
          <ns0:t>gpt-4.1-mini</ns0:t>
        </ns0:is>
      </ns0:c>
      <ns0:c r="E95">
        <ns0:f>COUNTIF(Cases!$B$2:$B$1859,A95)</ns0:f>
        <ns0:v>12</ns0:v>
      </ns0:c>
      <ns0:c r="F95">
        <ns0:f>IF(COUNTIFS(Cases!$B$2:$B$1859,A95,Cases!$G$2:$G$1859,1)&gt;0,1,0)</ns0:f>
        <ns0:v>1</ns0:v>
      </ns0:c>
      <ns0:c r="G95">
        <ns0:f>IF(COUNTIFS(Cases!$B$2:$B$1859,A95,Cases!$L$2:$L$1859,1)&gt;0,1,0)</ns0:f>
        <ns0:v>1</ns0:v>
      </ns0:c>
      <ns0:c r="H95">
        <ns0:f>IF(COUNTIFS(Cases!$B$2:$B$1859,A95,Cases!$Q$2:$Q$1859,1)&gt;0,1,0)</ns0:f>
        <ns0:v>0</ns0:v>
      </ns0:c>
      <ns0:c r="I95">
        <ns0:f>IF(COUNTIFS(Cases!$B$2:$B$1859,A95,Cases!$R$2:$R$1859,1)&gt;0,1,0)</ns0:f>
        <ns0:v>0</ns0:v>
      </ns0:c>
    </ns0:row>
    <ns0:row r="96">
      <ns0:c r="A96" t="inlineStr">
        <ns0:is>
          <ns0:t>function_0095</ns0:t>
        </ns0:is>
      </ns0:c>
      <ns0:c r="B96" t="inlineStr">
        <ns0:is>
          <ns0:t>run_006</ns0:t>
        </ns0:is>
      </ns0:c>
      <ns0:c r="C96" t="inlineStr">
        <ns0:is>
          <ns0:t>humantime</ns0:t>
        </ns0:is>
      </ns0:c>
      <ns0:c r="D96" t="inlineStr">
        <ns0:is>
          <ns0:t>gpt-4.1-mini</ns0:t>
        </ns0:is>
      </ns0:c>
      <ns0:c r="E96">
        <ns0:f>COUNTIF(Cases!$B$2:$B$1859,A96)</ns0:f>
        <ns0:v>10</ns0:v>
      </ns0:c>
      <ns0:c r="F96">
        <ns0:f>IF(COUNTIFS(Cases!$B$2:$B$1859,A96,Cases!$G$2:$G$1859,1)&gt;0,1,0)</ns0:f>
        <ns0:v>1</ns0:v>
      </ns0:c>
      <ns0:c r="G96">
        <ns0:f>IF(COUNTIFS(Cases!$B$2:$B$1859,A96,Cases!$L$2:$L$1859,1)&gt;0,1,0)</ns0:f>
        <ns0:v>1</ns0:v>
      </ns0:c>
      <ns0:c r="H96">
        <ns0:f>IF(COUNTIFS(Cases!$B$2:$B$1859,A96,Cases!$Q$2:$Q$1859,1)&gt;0,1,0)</ns0:f>
        <ns0:v>0</ns0:v>
      </ns0:c>
      <ns0:c r="I96">
        <ns0:f>IF(COUNTIFS(Cases!$B$2:$B$1859,A96,Cases!$R$2:$R$1859,1)&gt;0,1,0)</ns0:f>
        <ns0:v>1</ns0:v>
      </ns0:c>
    </ns0:row>
    <ns0:row r="97">
      <ns0:c r="A97" t="inlineStr">
        <ns0:is>
          <ns0:t>function_0096</ns0:t>
        </ns0:is>
      </ns0:c>
      <ns0:c r="B97" t="inlineStr">
        <ns0:is>
          <ns0:t>run_006</ns0:t>
        </ns0:is>
      </ns0:c>
      <ns0:c r="C97" t="inlineStr">
        <ns0:is>
          <ns0:t>humantime</ns0:t>
        </ns0:is>
      </ns0:c>
      <ns0:c r="D97" t="inlineStr">
        <ns0:is>
          <ns0:t>gpt-4.1-mini</ns0:t>
        </ns0:is>
      </ns0:c>
      <ns0:c r="E97">
        <ns0:f>COUNTIF(Cases!$B$2:$B$1859,A97)</ns0:f>
        <ns0:v>12</ns0:v>
      </ns0:c>
      <ns0:c r="F97">
        <ns0:f>IF(COUNTIFS(Cases!$B$2:$B$1859,A97,Cases!$G$2:$G$1859,1)&gt;0,1,0)</ns0:f>
        <ns0:v>1</ns0:v>
      </ns0:c>
      <ns0:c r="G97">
        <ns0:f>IF(COUNTIFS(Cases!$B$2:$B$1859,A97,Cases!$L$2:$L$1859,1)&gt;0,1,0)</ns0:f>
        <ns0:v>1</ns0:v>
      </ns0:c>
      <ns0:c r="H97">
        <ns0:f>IF(COUNTIFS(Cases!$B$2:$B$1859,A97,Cases!$Q$2:$Q$1859,1)&gt;0,1,0)</ns0:f>
        <ns0:v>0</ns0:v>
      </ns0:c>
      <ns0:c r="I97">
        <ns0:f>IF(COUNTIFS(Cases!$B$2:$B$1859,A97,Cases!$R$2:$R$1859,1)&gt;0,1,0)</ns0:f>
        <ns0:v>1</ns0:v>
      </ns0:c>
    </ns0:row>
    <ns0:row r="98">
      <ns0:c r="A98" t="inlineStr">
        <ns0:is>
          <ns0:t>function_0097</ns0:t>
        </ns0:is>
      </ns0:c>
      <ns0:c r="B98" t="inlineStr">
        <ns0:is>
          <ns0:t>run_006</ns0:t>
        </ns0:is>
      </ns0:c>
      <ns0:c r="C98" t="inlineStr">
        <ns0:is>
          <ns0:t>humantime</ns0:t>
        </ns0:is>
      </ns0:c>
      <ns0:c r="D98" t="inlineStr">
        <ns0:is>
          <ns0:t>gpt-4.1-mini</ns0:t>
        </ns0:is>
      </ns0:c>
      <ns0:c r="E98">
        <ns0:f>COUNTIF(Cases!$B$2:$B$1859,A98)</ns0:f>
        <ns0:v>6</ns0:v>
      </ns0:c>
      <ns0:c r="F98">
        <ns0:f>IF(COUNTIFS(Cases!$B$2:$B$1859,A98,Cases!$G$2:$G$1859,1)&gt;0,1,0)</ns0:f>
        <ns0:v>1</ns0:v>
      </ns0:c>
      <ns0:c r="G98">
        <ns0:f>IF(COUNTIFS(Cases!$B$2:$B$1859,A98,Cases!$L$2:$L$1859,1)&gt;0,1,0)</ns0:f>
        <ns0:v>1</ns0:v>
      </ns0:c>
      <ns0:c r="H98">
        <ns0:f>IF(COUNTIFS(Cases!$B$2:$B$1859,A98,Cases!$Q$2:$Q$1859,1)&gt;0,1,0)</ns0:f>
        <ns0:v>0</ns0:v>
      </ns0:c>
      <ns0:c r="I98">
        <ns0:f>IF(COUNTIFS(Cases!$B$2:$B$1859,A98,Cases!$R$2:$R$1859,1)&gt;0,1,0)</ns0:f>
        <ns0:v>1</ns0:v>
      </ns0:c>
    </ns0:row>
    <ns0:row r="99">
      <ns0:c r="A99" t="inlineStr">
        <ns0:is>
          <ns0:t>function_0098</ns0:t>
        </ns0:is>
      </ns0:c>
      <ns0:c r="B99" t="inlineStr">
        <ns0:is>
          <ns0:t>run_006</ns0:t>
        </ns0:is>
      </ns0:c>
      <ns0:c r="C99" t="inlineStr">
        <ns0:is>
          <ns0:t>humantime</ns0:t>
        </ns0:is>
      </ns0:c>
      <ns0:c r="D99" t="inlineStr">
        <ns0:is>
          <ns0:t>gpt-4.1-mini</ns0:t>
        </ns0:is>
      </ns0:c>
      <ns0:c r="E99">
        <ns0:f>COUNTIF(Cases!$B$2:$B$1859,A99)</ns0:f>
        <ns0:v>6</ns0:v>
      </ns0:c>
      <ns0:c r="F99">
        <ns0:f>IF(COUNTIFS(Cases!$B$2:$B$1859,A99,Cases!$G$2:$G$1859,1)&gt;0,1,0)</ns0:f>
        <ns0:v>1</ns0:v>
      </ns0:c>
      <ns0:c r="G99">
        <ns0:f>IF(COUNTIFS(Cases!$B$2:$B$1859,A99,Cases!$L$2:$L$1859,1)&gt;0,1,0)</ns0:f>
        <ns0:v>1</ns0:v>
      </ns0:c>
      <ns0:c r="H99">
        <ns0:f>IF(COUNTIFS(Cases!$B$2:$B$1859,A99,Cases!$Q$2:$Q$1859,1)&gt;0,1,0)</ns0:f>
        <ns0:v>0</ns0:v>
      </ns0:c>
      <ns0:c r="I99">
        <ns0:f>IF(COUNTIFS(Cases!$B$2:$B$1859,A99,Cases!$R$2:$R$1859,1)&gt;0,1,0)</ns0:f>
        <ns0:v>1</ns0:v>
      </ns0:c>
    </ns0:row>
    <ns0:row r="100">
      <ns0:c r="A100" t="inlineStr">
        <ns0:is>
          <ns0:t>function_0099</ns0:t>
        </ns0:is>
      </ns0:c>
      <ns0:c r="B100" t="inlineStr">
        <ns0:is>
          <ns0:t>run_007</ns0:t>
        </ns0:is>
      </ns0:c>
      <ns0:c r="C100" t="inlineStr">
        <ns0:is>
          <ns0:t>humantime</ns0:t>
        </ns0:is>
      </ns0:c>
      <ns0:c r="D100" t="inlineStr">
        <ns0:is>
          <ns0:t>gpt-4.1-nano</ns0:t>
        </ns0:is>
      </ns0:c>
      <ns0:c r="E100">
        <ns0:f>COUNTIF(Cases!$B$2:$B$1859,A100)</ns0:f>
        <ns0:v>1</ns0:v>
      </ns0:c>
      <ns0:c r="F100">
        <ns0:f>IF(COUNTIFS(Cases!$B$2:$B$1859,A100,Cases!$G$2:$G$1859,1)&gt;0,1,0)</ns0:f>
        <ns0:v>1</ns0:v>
      </ns0:c>
      <ns0:c r="G100">
        <ns0:f>IF(COUNTIFS(Cases!$B$2:$B$1859,A100,Cases!$L$2:$L$1859,1)&gt;0,1,0)</ns0:f>
        <ns0:v>1</ns0:v>
      </ns0:c>
      <ns0:c r="H100">
        <ns0:f>IF(COUNTIFS(Cases!$B$2:$B$1859,A100,Cases!$Q$2:$Q$1859,1)&gt;0,1,0)</ns0:f>
        <ns0:v>0</ns0:v>
      </ns0:c>
      <ns0:c r="I100">
        <ns0:f>IF(COUNTIFS(Cases!$B$2:$B$1859,A100,Cases!$R$2:$R$1859,1)&gt;0,1,0)</ns0:f>
        <ns0:v>0</ns0:v>
      </ns0:c>
    </ns0:row>
    <ns0:row r="101">
      <ns0:c r="A101" t="inlineStr">
        <ns0:is>
          <ns0:t>function_0100</ns0:t>
        </ns0:is>
      </ns0:c>
      <ns0:c r="B101" t="inlineStr">
        <ns0:is>
          <ns0:t>run_007</ns0:t>
        </ns0:is>
      </ns0:c>
      <ns0:c r="C101" t="inlineStr">
        <ns0:is>
          <ns0:t>humantime</ns0:t>
        </ns0:is>
      </ns0:c>
      <ns0:c r="D101" t="inlineStr">
        <ns0:is>
          <ns0:t>gpt-4.1-nano</ns0:t>
        </ns0:is>
      </ns0:c>
      <ns0:c r="E101">
        <ns0:f>COUNTIF(Cases!$B$2:$B$1859,A101)</ns0:f>
        <ns0:v>3</ns0:v>
      </ns0:c>
      <ns0:c r="F101">
        <ns0:f>IF(COUNTIFS(Cases!$B$2:$B$1859,A101,Cases!$G$2:$G$1859,1)&gt;0,1,0)</ns0:f>
        <ns0:v>1</ns0:v>
      </ns0:c>
      <ns0:c r="G101">
        <ns0:f>IF(COUNTIFS(Cases!$B$2:$B$1859,A101,Cases!$L$2:$L$1859,1)&gt;0,1,0)</ns0:f>
        <ns0:v>1</ns0:v>
      </ns0:c>
      <ns0:c r="H101">
        <ns0:f>IF(COUNTIFS(Cases!$B$2:$B$1859,A101,Cases!$Q$2:$Q$1859,1)&gt;0,1,0)</ns0:f>
        <ns0:v>1</ns0:v>
      </ns0:c>
      <ns0:c r="I101">
        <ns0:f>IF(COUNTIFS(Cases!$B$2:$B$1859,A101,Cases!$R$2:$R$1859,1)&gt;0,1,0)</ns0:f>
        <ns0:v>1</ns0:v>
      </ns0:c>
    </ns0:row>
    <ns0:row r="102">
      <ns0:c r="A102" t="inlineStr">
        <ns0:is>
          <ns0:t>function_0101</ns0:t>
        </ns0:is>
      </ns0:c>
      <ns0:c r="B102" t="inlineStr">
        <ns0:is>
          <ns0:t>run_007</ns0:t>
        </ns0:is>
      </ns0:c>
      <ns0:c r="C102" t="inlineStr">
        <ns0:is>
          <ns0:t>humantime</ns0:t>
        </ns0:is>
      </ns0:c>
      <ns0:c r="D102" t="inlineStr">
        <ns0:is>
          <ns0:t>gpt-4.1-nano</ns0:t>
        </ns0:is>
      </ns0:c>
      <ns0:c r="E102">
        <ns0:f>COUNTIF(Cases!$B$2:$B$1859,A102)</ns0:f>
        <ns0:v>5</ns0:v>
      </ns0:c>
      <ns0:c r="F102">
        <ns0:f>IF(COUNTIFS(Cases!$B$2:$B$1859,A102,Cases!$G$2:$G$1859,1)&gt;0,1,0)</ns0:f>
        <ns0:v>1</ns0:v>
      </ns0:c>
      <ns0:c r="G102">
        <ns0:f>IF(COUNTIFS(Cases!$B$2:$B$1859,A102,Cases!$L$2:$L$1859,1)&gt;0,1,0)</ns0:f>
        <ns0:v>1</ns0:v>
      </ns0:c>
      <ns0:c r="H102">
        <ns0:f>IF(COUNTIFS(Cases!$B$2:$B$1859,A102,Cases!$Q$2:$Q$1859,1)&gt;0,1,0)</ns0:f>
        <ns0:v>0</ns0:v>
      </ns0:c>
      <ns0:c r="I102">
        <ns0:f>IF(COUNTIFS(Cases!$B$2:$B$1859,A102,Cases!$R$2:$R$1859,1)&gt;0,1,0)</ns0:f>
        <ns0:v>1</ns0:v>
      </ns0:c>
    </ns0:row>
    <ns0:row r="103">
      <ns0:c r="A103" t="inlineStr">
        <ns0:is>
          <ns0:t>function_0102</ns0:t>
        </ns0:is>
      </ns0:c>
      <ns0:c r="B103" t="inlineStr">
        <ns0:is>
          <ns0:t>run_007</ns0:t>
        </ns0:is>
      </ns0:c>
      <ns0:c r="C103" t="inlineStr">
        <ns0:is>
          <ns0:t>humantime</ns0:t>
        </ns0:is>
      </ns0:c>
      <ns0:c r="D103" t="inlineStr">
        <ns0:is>
          <ns0:t>gpt-4.1-nano</ns0:t>
        </ns0:is>
      </ns0:c>
      <ns0:c r="E103">
        <ns0:f>COUNTIF(Cases!$B$2:$B$1859,A103)</ns0:f>
        <ns0:v>3</ns0:v>
      </ns0:c>
      <ns0:c r="F103">
        <ns0:f>IF(COUNTIFS(Cases!$B$2:$B$1859,A103,Cases!$G$2:$G$1859,1)&gt;0,1,0)</ns0:f>
        <ns0:v>1</ns0:v>
      </ns0:c>
      <ns0:c r="G103">
        <ns0:f>IF(COUNTIFS(Cases!$B$2:$B$1859,A103,Cases!$L$2:$L$1859,1)&gt;0,1,0)</ns0:f>
        <ns0:v>1</ns0:v>
      </ns0:c>
      <ns0:c r="H103">
        <ns0:f>IF(COUNTIFS(Cases!$B$2:$B$1859,A103,Cases!$Q$2:$Q$1859,1)&gt;0,1,0)</ns0:f>
        <ns0:v>1</ns0:v>
      </ns0:c>
      <ns0:c r="I103">
        <ns0:f>IF(COUNTIFS(Cases!$B$2:$B$1859,A103,Cases!$R$2:$R$1859,1)&gt;0,1,0)</ns0:f>
        <ns0:v>1</ns0:v>
      </ns0:c>
    </ns0:row>
    <ns0:row r="104">
      <ns0:c r="A104" t="inlineStr">
        <ns0:is>
          <ns0:t>function_0103</ns0:t>
        </ns0:is>
      </ns0:c>
      <ns0:c r="B104" t="inlineStr">
        <ns0:is>
          <ns0:t>run_007</ns0:t>
        </ns0:is>
      </ns0:c>
      <ns0:c r="C104" t="inlineStr">
        <ns0:is>
          <ns0:t>humantime</ns0:t>
        </ns0:is>
      </ns0:c>
      <ns0:c r="D104" t="inlineStr">
        <ns0:is>
          <ns0:t>gpt-4.1-nano</ns0:t>
        </ns0:is>
      </ns0:c>
      <ns0:c r="E104">
        <ns0:f>COUNTIF(Cases!$B$2:$B$1859,A104)</ns0:f>
        <ns0:v>6</ns0:v>
      </ns0:c>
      <ns0:c r="F104">
        <ns0:f>IF(COUNTIFS(Cases!$B$2:$B$1859,A104,Cases!$G$2:$G$1859,1)&gt;0,1,0)</ns0:f>
        <ns0:v>1</ns0:v>
      </ns0:c>
      <ns0:c r="G104">
        <ns0:f>IF(COUNTIFS(Cases!$B$2:$B$1859,A104,Cases!$L$2:$L$1859,1)&gt;0,1,0)</ns0:f>
        <ns0:v>1</ns0:v>
      </ns0:c>
      <ns0:c r="H104">
        <ns0:f>IF(COUNTIFS(Cases!$B$2:$B$1859,A104,Cases!$Q$2:$Q$1859,1)&gt;0,1,0)</ns0:f>
        <ns0:v>1</ns0:v>
      </ns0:c>
      <ns0:c r="I104">
        <ns0:f>IF(COUNTIFS(Cases!$B$2:$B$1859,A104,Cases!$R$2:$R$1859,1)&gt;0,1,0)</ns0:f>
        <ns0:v>1</ns0:v>
      </ns0:c>
    </ns0:row>
    <ns0:row r="105">
      <ns0:c r="A105" t="inlineStr">
        <ns0:is>
          <ns0:t>function_0104</ns0:t>
        </ns0:is>
      </ns0:c>
      <ns0:c r="B105" t="inlineStr">
        <ns0:is>
          <ns0:t>run_007</ns0:t>
        </ns0:is>
      </ns0:c>
      <ns0:c r="C105" t="inlineStr">
        <ns0:is>
          <ns0:t>humantime</ns0:t>
        </ns0:is>
      </ns0:c>
      <ns0:c r="D105" t="inlineStr">
        <ns0:is>
          <ns0:t>gpt-4.1-nano</ns0:t>
        </ns0:is>
      </ns0:c>
      <ns0:c r="E105">
        <ns0:f>COUNTIF(Cases!$B$2:$B$1859,A105)</ns0:f>
        <ns0:v>5</ns0:v>
      </ns0:c>
      <ns0:c r="F105">
        <ns0:f>IF(COUNTIFS(Cases!$B$2:$B$1859,A105,Cases!$G$2:$G$1859,1)&gt;0,1,0)</ns0:f>
        <ns0:v>1</ns0:v>
      </ns0:c>
      <ns0:c r="G105">
        <ns0:f>IF(COUNTIFS(Cases!$B$2:$B$1859,A105,Cases!$L$2:$L$1859,1)&gt;0,1,0)</ns0:f>
        <ns0:v>1</ns0:v>
      </ns0:c>
      <ns0:c r="H105">
        <ns0:f>IF(COUNTIFS(Cases!$B$2:$B$1859,A105,Cases!$Q$2:$Q$1859,1)&gt;0,1,0)</ns0:f>
        <ns0:v>1</ns0:v>
      </ns0:c>
      <ns0:c r="I105">
        <ns0:f>IF(COUNTIFS(Cases!$B$2:$B$1859,A105,Cases!$R$2:$R$1859,1)&gt;0,1,0)</ns0:f>
        <ns0:v>1</ns0:v>
      </ns0:c>
    </ns0:row>
    <ns0:row r="106">
      <ns0:c r="A106" t="inlineStr">
        <ns0:is>
          <ns0:t>function_0105</ns0:t>
        </ns0:is>
      </ns0:c>
      <ns0:c r="B106" t="inlineStr">
        <ns0:is>
          <ns0:t>run_007</ns0:t>
        </ns0:is>
      </ns0:c>
      <ns0:c r="C106" t="inlineStr">
        <ns0:is>
          <ns0:t>humantime</ns0:t>
        </ns0:is>
      </ns0:c>
      <ns0:c r="D106" t="inlineStr">
        <ns0:is>
          <ns0:t>gpt-4.1-nano</ns0:t>
        </ns0:is>
      </ns0:c>
      <ns0:c r="E106">
        <ns0:f>COUNTIF(Cases!$B$2:$B$1859,A106)</ns0:f>
        <ns0:v>3</ns0:v>
      </ns0:c>
      <ns0:c r="F106">
        <ns0:f>IF(COUNTIFS(Cases!$B$2:$B$1859,A106,Cases!$G$2:$G$1859,1)&gt;0,1,0)</ns0:f>
        <ns0:v>1</ns0:v>
      </ns0:c>
      <ns0:c r="G106">
        <ns0:f>IF(COUNTIFS(Cases!$B$2:$B$1859,A106,Cases!$L$2:$L$1859,1)&gt;0,1,0)</ns0:f>
        <ns0:v>1</ns0:v>
      </ns0:c>
      <ns0:c r="H106">
        <ns0:f>IF(COUNTIFS(Cases!$B$2:$B$1859,A106,Cases!$Q$2:$Q$1859,1)&gt;0,1,0)</ns0:f>
        <ns0:v>0</ns0:v>
      </ns0:c>
      <ns0:c r="I106">
        <ns0:f>IF(COUNTIFS(Cases!$B$2:$B$1859,A106,Cases!$R$2:$R$1859,1)&gt;0,1,0)</ns0:f>
        <ns0:v>1</ns0:v>
      </ns0:c>
    </ns0:row>
    <ns0:row r="107">
      <ns0:c r="A107" t="inlineStr">
        <ns0:is>
          <ns0:t>function_0106</ns0:t>
        </ns0:is>
      </ns0:c>
      <ns0:c r="B107" t="inlineStr">
        <ns0:is>
          <ns0:t>run_007</ns0:t>
        </ns0:is>
      </ns0:c>
      <ns0:c r="C107" t="inlineStr">
        <ns0:is>
          <ns0:t>humantime</ns0:t>
        </ns0:is>
      </ns0:c>
      <ns0:c r="D107" t="inlineStr">
        <ns0:is>
          <ns0:t>gpt-4.1-nano</ns0:t>
        </ns0:is>
      </ns0:c>
      <ns0:c r="E107">
        <ns0:f>COUNTIF(Cases!$B$2:$B$1859,A107)</ns0:f>
        <ns0:v>6</ns0:v>
      </ns0:c>
      <ns0:c r="F107">
        <ns0:f>IF(COUNTIFS(Cases!$B$2:$B$1859,A107,Cases!$G$2:$G$1859,1)&gt;0,1,0)</ns0:f>
        <ns0:v>1</ns0:v>
      </ns0:c>
      <ns0:c r="G107">
        <ns0:f>IF(COUNTIFS(Cases!$B$2:$B$1859,A107,Cases!$L$2:$L$1859,1)&gt;0,1,0)</ns0:f>
        <ns0:v>1</ns0:v>
      </ns0:c>
      <ns0:c r="H107">
        <ns0:f>IF(COUNTIFS(Cases!$B$2:$B$1859,A107,Cases!$Q$2:$Q$1859,1)&gt;0,1,0)</ns0:f>
        <ns0:v>1</ns0:v>
      </ns0:c>
      <ns0:c r="I107">
        <ns0:f>IF(COUNTIFS(Cases!$B$2:$B$1859,A107,Cases!$R$2:$R$1859,1)&gt;0,1,0)</ns0:f>
        <ns0:v>1</ns0:v>
      </ns0:c>
    </ns0:row>
    <ns0:row r="108">
      <ns0:c r="A108" t="inlineStr">
        <ns0:is>
          <ns0:t>function_0107</ns0:t>
        </ns0:is>
      </ns0:c>
      <ns0:c r="B108" t="inlineStr">
        <ns0:is>
          <ns0:t>run_007</ns0:t>
        </ns0:is>
      </ns0:c>
      <ns0:c r="C108" t="inlineStr">
        <ns0:is>
          <ns0:t>humantime</ns0:t>
        </ns0:is>
      </ns0:c>
      <ns0:c r="D108" t="inlineStr">
        <ns0:is>
          <ns0:t>gpt-4.1-nano</ns0:t>
        </ns0:is>
      </ns0:c>
      <ns0:c r="E108">
        <ns0:f>COUNTIF(Cases!$B$2:$B$1859,A108)</ns0:f>
        <ns0:v>3</ns0:v>
      </ns0:c>
      <ns0:c r="F108">
        <ns0:f>IF(COUNTIFS(Cases!$B$2:$B$1859,A108,Cases!$G$2:$G$1859,1)&gt;0,1,0)</ns0:f>
        <ns0:v>1</ns0:v>
      </ns0:c>
      <ns0:c r="G108">
        <ns0:f>IF(COUNTIFS(Cases!$B$2:$B$1859,A108,Cases!$L$2:$L$1859,1)&gt;0,1,0)</ns0:f>
        <ns0:v>1</ns0:v>
      </ns0:c>
      <ns0:c r="H108">
        <ns0:f>IF(COUNTIFS(Cases!$B$2:$B$1859,A108,Cases!$Q$2:$Q$1859,1)&gt;0,1,0)</ns0:f>
        <ns0:v>0</ns0:v>
      </ns0:c>
      <ns0:c r="I108">
        <ns0:f>IF(COUNTIFS(Cases!$B$2:$B$1859,A108,Cases!$R$2:$R$1859,1)&gt;0,1,0)</ns0:f>
        <ns0:v>1</ns0:v>
      </ns0:c>
    </ns0:row>
    <ns0:row r="109">
      <ns0:c r="A109" t="inlineStr">
        <ns0:is>
          <ns0:t>function_0108</ns0:t>
        </ns0:is>
      </ns0:c>
      <ns0:c r="B109" t="inlineStr">
        <ns0:is>
          <ns0:t>run_007</ns0:t>
        </ns0:is>
      </ns0:c>
      <ns0:c r="C109" t="inlineStr">
        <ns0:is>
          <ns0:t>humantime</ns0:t>
        </ns0:is>
      </ns0:c>
      <ns0:c r="D109" t="inlineStr">
        <ns0:is>
          <ns0:t>gpt-4.1-nano</ns0:t>
        </ns0:is>
      </ns0:c>
      <ns0:c r="E109">
        <ns0:f>COUNTIF(Cases!$B$2:$B$1859,A109)</ns0:f>
        <ns0:v>6</ns0:v>
      </ns0:c>
      <ns0:c r="F109">
        <ns0:f>IF(COUNTIFS(Cases!$B$2:$B$1859,A109,Cases!$G$2:$G$1859,1)&gt;0,1,0)</ns0:f>
        <ns0:v>1</ns0:v>
      </ns0:c>
      <ns0:c r="G109">
        <ns0:f>IF(COUNTIFS(Cases!$B$2:$B$1859,A109,Cases!$L$2:$L$1859,1)&gt;0,1,0)</ns0:f>
        <ns0:v>1</ns0:v>
      </ns0:c>
      <ns0:c r="H109">
        <ns0:f>IF(COUNTIFS(Cases!$B$2:$B$1859,A109,Cases!$Q$2:$Q$1859,1)&gt;0,1,0)</ns0:f>
        <ns0:v>0</ns0:v>
      </ns0:c>
      <ns0:c r="I109">
        <ns0:f>IF(COUNTIFS(Cases!$B$2:$B$1859,A109,Cases!$R$2:$R$1859,1)&gt;0,1,0)</ns0:f>
        <ns0:v>1</ns0:v>
      </ns0:c>
    </ns0:row>
    <ns0:row r="110">
      <ns0:c r="A110" t="inlineStr">
        <ns0:is>
          <ns0:t>function_0109</ns0:t>
        </ns0:is>
      </ns0:c>
      <ns0:c r="B110" t="inlineStr">
        <ns0:is>
          <ns0:t>run_007</ns0:t>
        </ns0:is>
      </ns0:c>
      <ns0:c r="C110" t="inlineStr">
        <ns0:is>
          <ns0:t>humantime</ns0:t>
        </ns0:is>
      </ns0:c>
      <ns0:c r="D110" t="inlineStr">
        <ns0:is>
          <ns0:t>gpt-4.1-nano</ns0:t>
        </ns0:is>
      </ns0:c>
      <ns0:c r="E110">
        <ns0:f>COUNTIF(Cases!$B$2:$B$1859,A110)</ns0:f>
        <ns0:v>6</ns0:v>
      </ns0:c>
      <ns0:c r="F110">
        <ns0:f>IF(COUNTIFS(Cases!$B$2:$B$1859,A110,Cases!$G$2:$G$1859,1)&gt;0,1,0)</ns0:f>
        <ns0:v>1</ns0:v>
      </ns0:c>
      <ns0:c r="G110">
        <ns0:f>IF(COUNTIFS(Cases!$B$2:$B$1859,A110,Cases!$L$2:$L$1859,1)&gt;0,1,0)</ns0:f>
        <ns0:v>1</ns0:v>
      </ns0:c>
      <ns0:c r="H110">
        <ns0:f>IF(COUNTIFS(Cases!$B$2:$B$1859,A110,Cases!$Q$2:$Q$1859,1)&gt;0,1,0)</ns0:f>
        <ns0:v>1</ns0:v>
      </ns0:c>
      <ns0:c r="I110">
        <ns0:f>IF(COUNTIFS(Cases!$B$2:$B$1859,A110,Cases!$R$2:$R$1859,1)&gt;0,1,0)</ns0:f>
        <ns0:v>1</ns0:v>
      </ns0:c>
    </ns0:row>
    <ns0:row r="111">
      <ns0:c r="A111" t="inlineStr">
        <ns0:is>
          <ns0:t>function_0110</ns0:t>
        </ns0:is>
      </ns0:c>
      <ns0:c r="B111" t="inlineStr">
        <ns0:is>
          <ns0:t>run_007</ns0:t>
        </ns0:is>
      </ns0:c>
      <ns0:c r="C111" t="inlineStr">
        <ns0:is>
          <ns0:t>humantime</ns0:t>
        </ns0:is>
      </ns0:c>
      <ns0:c r="D111" t="inlineStr">
        <ns0:is>
          <ns0:t>gpt-4.1-nano</ns0:t>
        </ns0:is>
      </ns0:c>
      <ns0:c r="E111">
        <ns0:f>COUNTIF(Cases!$B$2:$B$1859,A111)</ns0:f>
        <ns0:v>3</ns0:v>
      </ns0:c>
      <ns0:c r="F111">
        <ns0:f>IF(COUNTIFS(Cases!$B$2:$B$1859,A111,Cases!$G$2:$G$1859,1)&gt;0,1,0)</ns0:f>
        <ns0:v>1</ns0:v>
      </ns0:c>
      <ns0:c r="G111">
        <ns0:f>IF(COUNTIFS(Cases!$B$2:$B$1859,A111,Cases!$L$2:$L$1859,1)&gt;0,1,0)</ns0:f>
        <ns0:v>1</ns0:v>
      </ns0:c>
      <ns0:c r="H111">
        <ns0:f>IF(COUNTIFS(Cases!$B$2:$B$1859,A111,Cases!$Q$2:$Q$1859,1)&gt;0,1,0)</ns0:f>
        <ns0:v>0</ns0:v>
      </ns0:c>
      <ns0:c r="I111">
        <ns0:f>IF(COUNTIFS(Cases!$B$2:$B$1859,A111,Cases!$R$2:$R$1859,1)&gt;0,1,0)</ns0:f>
        <ns0:v>1</ns0:v>
      </ns0:c>
    </ns0:row>
    <ns0:row r="112">
      <ns0:c r="A112" t="inlineStr">
        <ns0:is>
          <ns0:t>function_0111</ns0:t>
        </ns0:is>
      </ns0:c>
      <ns0:c r="B112" t="inlineStr">
        <ns0:is>
          <ns0:t>run_007</ns0:t>
        </ns0:is>
      </ns0:c>
      <ns0:c r="C112" t="inlineStr">
        <ns0:is>
          <ns0:t>humantime</ns0:t>
        </ns0:is>
      </ns0:c>
      <ns0:c r="D112" t="inlineStr">
        <ns0:is>
          <ns0:t>gpt-4.1-nano</ns0:t>
        </ns0:is>
      </ns0:c>
      <ns0:c r="E112">
        <ns0:f>COUNTIF(Cases!$B$2:$B$1859,A112)</ns0:f>
        <ns0:v>3</ns0:v>
      </ns0:c>
      <ns0:c r="F112">
        <ns0:f>IF(COUNTIFS(Cases!$B$2:$B$1859,A112,Cases!$G$2:$G$1859,1)&gt;0,1,0)</ns0:f>
        <ns0:v>1</ns0:v>
      </ns0:c>
      <ns0:c r="G112">
        <ns0:f>IF(COUNTIFS(Cases!$B$2:$B$1859,A112,Cases!$L$2:$L$1859,1)&gt;0,1,0)</ns0:f>
        <ns0:v>1</ns0:v>
      </ns0:c>
      <ns0:c r="H112">
        <ns0:f>IF(COUNTIFS(Cases!$B$2:$B$1859,A112,Cases!$Q$2:$Q$1859,1)&gt;0,1,0)</ns0:f>
        <ns0:v>1</ns0:v>
      </ns0:c>
      <ns0:c r="I112">
        <ns0:f>IF(COUNTIFS(Cases!$B$2:$B$1859,A112,Cases!$R$2:$R$1859,1)&gt;0,1,0)</ns0:f>
        <ns0:v>1</ns0:v>
      </ns0:c>
    </ns0:row>
    <ns0:row r="113">
      <ns0:c r="A113" t="inlineStr">
        <ns0:is>
          <ns0:t>function_0112</ns0:t>
        </ns0:is>
      </ns0:c>
      <ns0:c r="B113" t="inlineStr">
        <ns0:is>
          <ns0:t>run_007</ns0:t>
        </ns0:is>
      </ns0:c>
      <ns0:c r="C113" t="inlineStr">
        <ns0:is>
          <ns0:t>humantime</ns0:t>
        </ns0:is>
      </ns0:c>
      <ns0:c r="D113" t="inlineStr">
        <ns0:is>
          <ns0:t>gpt-4.1-nano</ns0:t>
        </ns0:is>
      </ns0:c>
      <ns0:c r="E113">
        <ns0:f>COUNTIF(Cases!$B$2:$B$1859,A113)</ns0:f>
        <ns0:v>4</ns0:v>
      </ns0:c>
      <ns0:c r="F113">
        <ns0:f>IF(COUNTIFS(Cases!$B$2:$B$1859,A113,Cases!$G$2:$G$1859,1)&gt;0,1,0)</ns0:f>
        <ns0:v>1</ns0:v>
      </ns0:c>
      <ns0:c r="G113">
        <ns0:f>IF(COUNTIFS(Cases!$B$2:$B$1859,A113,Cases!$L$2:$L$1859,1)&gt;0,1,0)</ns0:f>
        <ns0:v>1</ns0:v>
      </ns0:c>
      <ns0:c r="H113">
        <ns0:f>IF(COUNTIFS(Cases!$B$2:$B$1859,A113,Cases!$Q$2:$Q$1859,1)&gt;0,1,0)</ns0:f>
        <ns0:v>1</ns0:v>
      </ns0:c>
      <ns0:c r="I113">
        <ns0:f>IF(COUNTIFS(Cases!$B$2:$B$1859,A113,Cases!$R$2:$R$1859,1)&gt;0,1,0)</ns0:f>
        <ns0:v>1</ns0:v>
      </ns0:c>
    </ns0:row>
    <ns0:row r="114">
      <ns0:c r="A114" t="inlineStr">
        <ns0:is>
          <ns0:t>function_0113</ns0:t>
        </ns0:is>
      </ns0:c>
      <ns0:c r="B114" t="inlineStr">
        <ns0:is>
          <ns0:t>run_007</ns0:t>
        </ns0:is>
      </ns0:c>
      <ns0:c r="C114" t="inlineStr">
        <ns0:is>
          <ns0:t>humantime</ns0:t>
        </ns0:is>
      </ns0:c>
      <ns0:c r="D114" t="inlineStr">
        <ns0:is>
          <ns0:t>gpt-4.1-nano</ns0:t>
        </ns0:is>
      </ns0:c>
      <ns0:c r="E114">
        <ns0:f>COUNTIF(Cases!$B$2:$B$1859,A114)</ns0:f>
        <ns0:v>2</ns0:v>
      </ns0:c>
      <ns0:c r="F114">
        <ns0:f>IF(COUNTIFS(Cases!$B$2:$B$1859,A114,Cases!$G$2:$G$1859,1)&gt;0,1,0)</ns0:f>
        <ns0:v>1</ns0:v>
      </ns0:c>
      <ns0:c r="G114">
        <ns0:f>IF(COUNTIFS(Cases!$B$2:$B$1859,A114,Cases!$L$2:$L$1859,1)&gt;0,1,0)</ns0:f>
        <ns0:v>1</ns0:v>
      </ns0:c>
      <ns0:c r="H114">
        <ns0:f>IF(COUNTIFS(Cases!$B$2:$B$1859,A114,Cases!$Q$2:$Q$1859,1)&gt;0,1,0)</ns0:f>
        <ns0:v>1</ns0:v>
      </ns0:c>
      <ns0:c r="I114">
        <ns0:f>IF(COUNTIFS(Cases!$B$2:$B$1859,A114,Cases!$R$2:$R$1859,1)&gt;0,1,0)</ns0:f>
        <ns0:v>1</ns0:v>
      </ns0:c>
    </ns0:row>
    <ns0:row r="115">
      <ns0:c r="A115" t="inlineStr">
        <ns0:is>
          <ns0:t>function_0114</ns0:t>
        </ns0:is>
      </ns0:c>
      <ns0:c r="B115" t="inlineStr">
        <ns0:is>
          <ns0:t>run_007</ns0:t>
        </ns0:is>
      </ns0:c>
      <ns0:c r="C115" t="inlineStr">
        <ns0:is>
          <ns0:t>humantime</ns0:t>
        </ns0:is>
      </ns0:c>
      <ns0:c r="D115" t="inlineStr">
        <ns0:is>
          <ns0:t>gpt-4.1-nano</ns0:t>
        </ns0:is>
      </ns0:c>
      <ns0:c r="E115">
        <ns0:f>COUNTIF(Cases!$B$2:$B$1859,A115)</ns0:f>
        <ns0:v>6</ns0:v>
      </ns0:c>
      <ns0:c r="F115">
        <ns0:f>IF(COUNTIFS(Cases!$B$2:$B$1859,A115,Cases!$G$2:$G$1859,1)&gt;0,1,0)</ns0:f>
        <ns0:v>1</ns0:v>
      </ns0:c>
      <ns0:c r="G115">
        <ns0:f>IF(COUNTIFS(Cases!$B$2:$B$1859,A115,Cases!$L$2:$L$1859,1)&gt;0,1,0)</ns0:f>
        <ns0:v>1</ns0:v>
      </ns0:c>
      <ns0:c r="H115">
        <ns0:f>IF(COUNTIFS(Cases!$B$2:$B$1859,A115,Cases!$Q$2:$Q$1859,1)&gt;0,1,0)</ns0:f>
        <ns0:v>0</ns0:v>
      </ns0:c>
      <ns0:c r="I115">
        <ns0:f>IF(COUNTIFS(Cases!$B$2:$B$1859,A115,Cases!$R$2:$R$1859,1)&gt;0,1,0)</ns0:f>
        <ns0:v>0</ns0:v>
      </ns0:c>
    </ns0:row>
    <ns0:row r="116">
      <ns0:c r="A116" t="inlineStr">
        <ns0:is>
          <ns0:t>function_0115</ns0:t>
        </ns0:is>
      </ns0:c>
      <ns0:c r="B116" t="inlineStr">
        <ns0:is>
          <ns0:t>run_007</ns0:t>
        </ns0:is>
      </ns0:c>
      <ns0:c r="C116" t="inlineStr">
        <ns0:is>
          <ns0:t>humantime</ns0:t>
        </ns0:is>
      </ns0:c>
      <ns0:c r="D116" t="inlineStr">
        <ns0:is>
          <ns0:t>gpt-4.1-nano</ns0:t>
        </ns0:is>
      </ns0:c>
      <ns0:c r="E116">
        <ns0:f>COUNTIF(Cases!$B$2:$B$1859,A116)</ns0:f>
        <ns0:v>3</ns0:v>
      </ns0:c>
      <ns0:c r="F116">
        <ns0:f>IF(COUNTIFS(Cases!$B$2:$B$1859,A116,Cases!$G$2:$G$1859,1)&gt;0,1,0)</ns0:f>
        <ns0:v>1</ns0:v>
      </ns0:c>
      <ns0:c r="G116">
        <ns0:f>IF(COUNTIFS(Cases!$B$2:$B$1859,A116,Cases!$L$2:$L$1859,1)&gt;0,1,0)</ns0:f>
        <ns0:v>1</ns0:v>
      </ns0:c>
      <ns0:c r="H116">
        <ns0:f>IF(COUNTIFS(Cases!$B$2:$B$1859,A116,Cases!$Q$2:$Q$1859,1)&gt;0,1,0)</ns0:f>
        <ns0:v>1</ns0:v>
      </ns0:c>
      <ns0:c r="I116">
        <ns0:f>IF(COUNTIFS(Cases!$B$2:$B$1859,A116,Cases!$R$2:$R$1859,1)&gt;0,1,0)</ns0:f>
        <ns0:v>1</ns0:v>
      </ns0:c>
    </ns0:row>
    <ns0:row r="117">
      <ns0:c r="A117" t="inlineStr">
        <ns0:is>
          <ns0:t>function_0116</ns0:t>
        </ns0:is>
      </ns0:c>
      <ns0:c r="B117" t="inlineStr">
        <ns0:is>
          <ns0:t>run_007</ns0:t>
        </ns0:is>
      </ns0:c>
      <ns0:c r="C117" t="inlineStr">
        <ns0:is>
          <ns0:t>humantime</ns0:t>
        </ns0:is>
      </ns0:c>
      <ns0:c r="D117" t="inlineStr">
        <ns0:is>
          <ns0:t>gpt-4.1-nano</ns0:t>
        </ns0:is>
      </ns0:c>
      <ns0:c r="E117">
        <ns0:f>COUNTIF(Cases!$B$2:$B$1859,A117)</ns0:f>
        <ns0:v>12</ns0:v>
      </ns0:c>
      <ns0:c r="F117">
        <ns0:f>IF(COUNTIFS(Cases!$B$2:$B$1859,A117,Cases!$G$2:$G$1859,1)&gt;0,1,0)</ns0:f>
        <ns0:v>1</ns0:v>
      </ns0:c>
      <ns0:c r="G117">
        <ns0:f>IF(COUNTIFS(Cases!$B$2:$B$1859,A117,Cases!$L$2:$L$1859,1)&gt;0,1,0)</ns0:f>
        <ns0:v>1</ns0:v>
      </ns0:c>
      <ns0:c r="H117">
        <ns0:f>IF(COUNTIFS(Cases!$B$2:$B$1859,A117,Cases!$Q$2:$Q$1859,1)&gt;0,1,0)</ns0:f>
        <ns0:v>0</ns0:v>
      </ns0:c>
      <ns0:c r="I117">
        <ns0:f>IF(COUNTIFS(Cases!$B$2:$B$1859,A117,Cases!$R$2:$R$1859,1)&gt;0,1,0)</ns0:f>
        <ns0:v>0</ns0:v>
      </ns0:c>
    </ns0:row>
    <ns0:row r="118">
      <ns0:c r="A118" t="inlineStr">
        <ns0:is>
          <ns0:t>function_0117</ns0:t>
        </ns0:is>
      </ns0:c>
      <ns0:c r="B118" t="inlineStr">
        <ns0:is>
          <ns0:t>run_007</ns0:t>
        </ns0:is>
      </ns0:c>
      <ns0:c r="C118" t="inlineStr">
        <ns0:is>
          <ns0:t>humantime</ns0:t>
        </ns0:is>
      </ns0:c>
      <ns0:c r="D118" t="inlineStr">
        <ns0:is>
          <ns0:t>gpt-4.1-nano</ns0:t>
        </ns0:is>
      </ns0:c>
      <ns0:c r="E118">
        <ns0:f>COUNTIF(Cases!$B$2:$B$1859,A118)</ns0:f>
        <ns0:v>12</ns0:v>
      </ns0:c>
      <ns0:c r="F118">
        <ns0:f>IF(COUNTIFS(Cases!$B$2:$B$1859,A118,Cases!$G$2:$G$1859,1)&gt;0,1,0)</ns0:f>
        <ns0:v>1</ns0:v>
      </ns0:c>
      <ns0:c r="G118">
        <ns0:f>IF(COUNTIFS(Cases!$B$2:$B$1859,A118,Cases!$L$2:$L$1859,1)&gt;0,1,0)</ns0:f>
        <ns0:v>1</ns0:v>
      </ns0:c>
      <ns0:c r="H118">
        <ns0:f>IF(COUNTIFS(Cases!$B$2:$B$1859,A118,Cases!$Q$2:$Q$1859,1)&gt;0,1,0)</ns0:f>
        <ns0:v>0</ns0:v>
      </ns0:c>
      <ns0:c r="I118">
        <ns0:f>IF(COUNTIFS(Cases!$B$2:$B$1859,A118,Cases!$R$2:$R$1859,1)&gt;0,1,0)</ns0:f>
        <ns0:v>1</ns0:v>
      </ns0:c>
    </ns0:row>
    <ns0:row r="119">
      <ns0:c r="A119" t="inlineStr">
        <ns0:is>
          <ns0:t>function_0118</ns0:t>
        </ns0:is>
      </ns0:c>
      <ns0:c r="B119" t="inlineStr">
        <ns0:is>
          <ns0:t>run_007</ns0:t>
        </ns0:is>
      </ns0:c>
      <ns0:c r="C119" t="inlineStr">
        <ns0:is>
          <ns0:t>humantime</ns0:t>
        </ns0:is>
      </ns0:c>
      <ns0:c r="D119" t="inlineStr">
        <ns0:is>
          <ns0:t>gpt-4.1-nano</ns0:t>
        </ns0:is>
      </ns0:c>
      <ns0:c r="E119">
        <ns0:f>COUNTIF(Cases!$B$2:$B$1859,A119)</ns0:f>
        <ns0:v>12</ns0:v>
      </ns0:c>
      <ns0:c r="F119">
        <ns0:f>IF(COUNTIFS(Cases!$B$2:$B$1859,A119,Cases!$G$2:$G$1859,1)&gt;0,1,0)</ns0:f>
        <ns0:v>1</ns0:v>
      </ns0:c>
      <ns0:c r="G119">
        <ns0:f>IF(COUNTIFS(Cases!$B$2:$B$1859,A119,Cases!$L$2:$L$1859,1)&gt;0,1,0)</ns0:f>
        <ns0:v>1</ns0:v>
      </ns0:c>
      <ns0:c r="H119">
        <ns0:f>IF(COUNTIFS(Cases!$B$2:$B$1859,A119,Cases!$Q$2:$Q$1859,1)&gt;0,1,0)</ns0:f>
        <ns0:v>0</ns0:v>
      </ns0:c>
      <ns0:c r="I119">
        <ns0:f>IF(COUNTIFS(Cases!$B$2:$B$1859,A119,Cases!$R$2:$R$1859,1)&gt;0,1,0)</ns0:f>
        <ns0:v>1</ns0:v>
      </ns0:c>
    </ns0:row>
    <ns0:row r="120">
      <ns0:c r="A120" t="inlineStr">
        <ns0:is>
          <ns0:t>function_0119</ns0:t>
        </ns0:is>
      </ns0:c>
      <ns0:c r="B120" t="inlineStr">
        <ns0:is>
          <ns0:t>run_007</ns0:t>
        </ns0:is>
      </ns0:c>
      <ns0:c r="C120" t="inlineStr">
        <ns0:is>
          <ns0:t>humantime</ns0:t>
        </ns0:is>
      </ns0:c>
      <ns0:c r="D120" t="inlineStr">
        <ns0:is>
          <ns0:t>gpt-4.1-nano</ns0:t>
        </ns0:is>
      </ns0:c>
      <ns0:c r="E120">
        <ns0:f>COUNTIF(Cases!$B$2:$B$1859,A120)</ns0:f>
        <ns0:v>12</ns0:v>
      </ns0:c>
      <ns0:c r="F120">
        <ns0:f>IF(COUNTIFS(Cases!$B$2:$B$1859,A120,Cases!$G$2:$G$1859,1)&gt;0,1,0)</ns0:f>
        <ns0:v>1</ns0:v>
      </ns0:c>
      <ns0:c r="G120">
        <ns0:f>IF(COUNTIFS(Cases!$B$2:$B$1859,A120,Cases!$L$2:$L$1859,1)&gt;0,1,0)</ns0:f>
        <ns0:v>1</ns0:v>
      </ns0:c>
      <ns0:c r="H120">
        <ns0:f>IF(COUNTIFS(Cases!$B$2:$B$1859,A120,Cases!$Q$2:$Q$1859,1)&gt;0,1,0)</ns0:f>
        <ns0:v>0</ns0:v>
      </ns0:c>
      <ns0:c r="I120">
        <ns0:f>IF(COUNTIFS(Cases!$B$2:$B$1859,A120,Cases!$R$2:$R$1859,1)&gt;0,1,0)</ns0:f>
        <ns0:v>1</ns0:v>
      </ns0:c>
    </ns0:row>
    <ns0:row r="121">
      <ns0:c r="A121" t="inlineStr">
        <ns0:is>
          <ns0:t>function_0120</ns0:t>
        </ns0:is>
      </ns0:c>
      <ns0:c r="B121" t="inlineStr">
        <ns0:is>
          <ns0:t>run_007</ns0:t>
        </ns0:is>
      </ns0:c>
      <ns0:c r="C121" t="inlineStr">
        <ns0:is>
          <ns0:t>humantime</ns0:t>
        </ns0:is>
      </ns0:c>
      <ns0:c r="D121" t="inlineStr">
        <ns0:is>
          <ns0:t>gpt-4.1-nano</ns0:t>
        </ns0:is>
      </ns0:c>
      <ns0:c r="E121">
        <ns0:f>COUNTIF(Cases!$B$2:$B$1859,A121)</ns0:f>
        <ns0:v>6</ns0:v>
      </ns0:c>
      <ns0:c r="F121">
        <ns0:f>IF(COUNTIFS(Cases!$B$2:$B$1859,A121,Cases!$G$2:$G$1859,1)&gt;0,1,0)</ns0:f>
        <ns0:v>1</ns0:v>
      </ns0:c>
      <ns0:c r="G121">
        <ns0:f>IF(COUNTIFS(Cases!$B$2:$B$1859,A121,Cases!$L$2:$L$1859,1)&gt;0,1,0)</ns0:f>
        <ns0:v>1</ns0:v>
      </ns0:c>
      <ns0:c r="H121">
        <ns0:f>IF(COUNTIFS(Cases!$B$2:$B$1859,A121,Cases!$Q$2:$Q$1859,1)&gt;0,1,0)</ns0:f>
        <ns0:v>0</ns0:v>
      </ns0:c>
      <ns0:c r="I121">
        <ns0:f>IF(COUNTIFS(Cases!$B$2:$B$1859,A121,Cases!$R$2:$R$1859,1)&gt;0,1,0)</ns0:f>
        <ns0:v>0</ns0:v>
      </ns0:c>
    </ns0:row>
    <ns0:row r="122">
      <ns0:c r="A122" t="inlineStr">
        <ns0:is>
          <ns0:t>function_0121</ns0:t>
        </ns0:is>
      </ns0:c>
      <ns0:c r="B122" t="inlineStr">
        <ns0:is>
          <ns0:t>run_007</ns0:t>
        </ns0:is>
      </ns0:c>
      <ns0:c r="C122" t="inlineStr">
        <ns0:is>
          <ns0:t>humantime</ns0:t>
        </ns0:is>
      </ns0:c>
      <ns0:c r="D122" t="inlineStr">
        <ns0:is>
          <ns0:t>gpt-4.1-nano</ns0:t>
        </ns0:is>
      </ns0:c>
      <ns0:c r="E122">
        <ns0:f>COUNTIF(Cases!$B$2:$B$1859,A122)</ns0:f>
        <ns0:v>6</ns0:v>
      </ns0:c>
      <ns0:c r="F122">
        <ns0:f>IF(COUNTIFS(Cases!$B$2:$B$1859,A122,Cases!$G$2:$G$1859,1)&gt;0,1,0)</ns0:f>
        <ns0:v>1</ns0:v>
      </ns0:c>
      <ns0:c r="G122">
        <ns0:f>IF(COUNTIFS(Cases!$B$2:$B$1859,A122,Cases!$L$2:$L$1859,1)&gt;0,1,0)</ns0:f>
        <ns0:v>1</ns0:v>
      </ns0:c>
      <ns0:c r="H122">
        <ns0:f>IF(COUNTIFS(Cases!$B$2:$B$1859,A122,Cases!$Q$2:$Q$1859,1)&gt;0,1,0)</ns0:f>
        <ns0:v>0</ns0:v>
      </ns0:c>
      <ns0:c r="I122">
        <ns0:f>IF(COUNTIFS(Cases!$B$2:$B$1859,A122,Cases!$R$2:$R$1859,1)&gt;0,1,0)</ns0:f>
        <ns0:v>1</ns0:v>
      </ns0:c>
    </ns0:row>
    <ns0:row r="123">
      <ns0:c r="A123" t="inlineStr">
        <ns0:is>
          <ns0:t>function_0122</ns0:t>
        </ns0:is>
      </ns0:c>
      <ns0:c r="B123" t="inlineStr">
        <ns0:is>
          <ns0:t>run_008</ns0:t>
        </ns0:is>
      </ns0:c>
      <ns0:c r="C123" t="inlineStr">
        <ns0:is>
          <ns0:t>humantime</ns0:t>
        </ns0:is>
      </ns0:c>
      <ns0:c r="D123" t="inlineStr">
        <ns0:is>
          <ns0:t>gpt-4o-mini</ns0:t>
        </ns0:is>
      </ns0:c>
      <ns0:c r="E123">
        <ns0:f>COUNTIF(Cases!$B$2:$B$1859,A123)</ns0:f>
        <ns0:v>6</ns0:v>
      </ns0:c>
      <ns0:c r="F123">
        <ns0:f>IF(COUNTIFS(Cases!$B$2:$B$1859,A123,Cases!$G$2:$G$1859,1)&gt;0,1,0)</ns0:f>
        <ns0:v>1</ns0:v>
      </ns0:c>
      <ns0:c r="G123">
        <ns0:f>IF(COUNTIFS(Cases!$B$2:$B$1859,A123,Cases!$L$2:$L$1859,1)&gt;0,1,0)</ns0:f>
        <ns0:v>1</ns0:v>
      </ns0:c>
      <ns0:c r="H123">
        <ns0:f>IF(COUNTIFS(Cases!$B$2:$B$1859,A123,Cases!$Q$2:$Q$1859,1)&gt;0,1,0)</ns0:f>
        <ns0:v>1</ns0:v>
      </ns0:c>
      <ns0:c r="I123">
        <ns0:f>IF(COUNTIFS(Cases!$B$2:$B$1859,A123,Cases!$R$2:$R$1859,1)&gt;0,1,0)</ns0:f>
        <ns0:v>1</ns0:v>
      </ns0:c>
    </ns0:row>
    <ns0:row r="124">
      <ns0:c r="A124" t="inlineStr">
        <ns0:is>
          <ns0:t>function_0123</ns0:t>
        </ns0:is>
      </ns0:c>
      <ns0:c r="B124" t="inlineStr">
        <ns0:is>
          <ns0:t>run_008</ns0:t>
        </ns0:is>
      </ns0:c>
      <ns0:c r="C124" t="inlineStr">
        <ns0:is>
          <ns0:t>humantime</ns0:t>
        </ns0:is>
      </ns0:c>
      <ns0:c r="D124" t="inlineStr">
        <ns0:is>
          <ns0:t>gpt-4o-mini</ns0:t>
        </ns0:is>
      </ns0:c>
      <ns0:c r="E124">
        <ns0:f>COUNTIF(Cases!$B$2:$B$1859,A124)</ns0:f>
        <ns0:v>3</ns0:v>
      </ns0:c>
      <ns0:c r="F124">
        <ns0:f>IF(COUNTIFS(Cases!$B$2:$B$1859,A124,Cases!$G$2:$G$1859,1)&gt;0,1,0)</ns0:f>
        <ns0:v>1</ns0:v>
      </ns0:c>
      <ns0:c r="G124">
        <ns0:f>IF(COUNTIFS(Cases!$B$2:$B$1859,A124,Cases!$L$2:$L$1859,1)&gt;0,1,0)</ns0:f>
        <ns0:v>1</ns0:v>
      </ns0:c>
      <ns0:c r="H124">
        <ns0:f>IF(COUNTIFS(Cases!$B$2:$B$1859,A124,Cases!$Q$2:$Q$1859,1)&gt;0,1,0)</ns0:f>
        <ns0:v>0</ns0:v>
      </ns0:c>
      <ns0:c r="I124">
        <ns0:f>IF(COUNTIFS(Cases!$B$2:$B$1859,A124,Cases!$R$2:$R$1859,1)&gt;0,1,0)</ns0:f>
        <ns0:v>1</ns0:v>
      </ns0:c>
    </ns0:row>
    <ns0:row r="125">
      <ns0:c r="A125" t="inlineStr">
        <ns0:is>
          <ns0:t>function_0124</ns0:t>
        </ns0:is>
      </ns0:c>
      <ns0:c r="B125" t="inlineStr">
        <ns0:is>
          <ns0:t>run_008</ns0:t>
        </ns0:is>
      </ns0:c>
      <ns0:c r="C125" t="inlineStr">
        <ns0:is>
          <ns0:t>humantime</ns0:t>
        </ns0:is>
      </ns0:c>
      <ns0:c r="D125" t="inlineStr">
        <ns0:is>
          <ns0:t>gpt-4o-mini</ns0:t>
        </ns0:is>
      </ns0:c>
      <ns0:c r="E125">
        <ns0:f>COUNTIF(Cases!$B$2:$B$1859,A125)</ns0:f>
        <ns0:v>6</ns0:v>
      </ns0:c>
      <ns0:c r="F125">
        <ns0:f>IF(COUNTIFS(Cases!$B$2:$B$1859,A125,Cases!$G$2:$G$1859,1)&gt;0,1,0)</ns0:f>
        <ns0:v>1</ns0:v>
      </ns0:c>
      <ns0:c r="G125">
        <ns0:f>IF(COUNTIFS(Cases!$B$2:$B$1859,A125,Cases!$L$2:$L$1859,1)&gt;0,1,0)</ns0:f>
        <ns0:v>1</ns0:v>
      </ns0:c>
      <ns0:c r="H125">
        <ns0:f>IF(COUNTIFS(Cases!$B$2:$B$1859,A125,Cases!$Q$2:$Q$1859,1)&gt;0,1,0)</ns0:f>
        <ns0:v>0</ns0:v>
      </ns0:c>
      <ns0:c r="I125">
        <ns0:f>IF(COUNTIFS(Cases!$B$2:$B$1859,A125,Cases!$R$2:$R$1859,1)&gt;0,1,0)</ns0:f>
        <ns0:v>1</ns0:v>
      </ns0:c>
    </ns0:row>
    <ns0:row r="126">
      <ns0:c r="A126" t="inlineStr">
        <ns0:is>
          <ns0:t>function_0125</ns0:t>
        </ns0:is>
      </ns0:c>
      <ns0:c r="B126" t="inlineStr">
        <ns0:is>
          <ns0:t>run_008</ns0:t>
        </ns0:is>
      </ns0:c>
      <ns0:c r="C126" t="inlineStr">
        <ns0:is>
          <ns0:t>humantime</ns0:t>
        </ns0:is>
      </ns0:c>
      <ns0:c r="D126" t="inlineStr">
        <ns0:is>
          <ns0:t>gpt-4o-mini</ns0:t>
        </ns0:is>
      </ns0:c>
      <ns0:c r="E126">
        <ns0:f>COUNTIF(Cases!$B$2:$B$1859,A126)</ns0:f>
        <ns0:v>4</ns0:v>
      </ns0:c>
      <ns0:c r="F126">
        <ns0:f>IF(COUNTIFS(Cases!$B$2:$B$1859,A126,Cases!$G$2:$G$1859,1)&gt;0,1,0)</ns0:f>
        <ns0:v>1</ns0:v>
      </ns0:c>
      <ns0:c r="G126">
        <ns0:f>IF(COUNTIFS(Cases!$B$2:$B$1859,A126,Cases!$L$2:$L$1859,1)&gt;0,1,0)</ns0:f>
        <ns0:v>1</ns0:v>
      </ns0:c>
      <ns0:c r="H126">
        <ns0:f>IF(COUNTIFS(Cases!$B$2:$B$1859,A126,Cases!$Q$2:$Q$1859,1)&gt;0,1,0)</ns0:f>
        <ns0:v>0</ns0:v>
      </ns0:c>
      <ns0:c r="I126">
        <ns0:f>IF(COUNTIFS(Cases!$B$2:$B$1859,A126,Cases!$R$2:$R$1859,1)&gt;0,1,0)</ns0:f>
        <ns0:v>1</ns0:v>
      </ns0:c>
    </ns0:row>
    <ns0:row r="127">
      <ns0:c r="A127" t="inlineStr">
        <ns0:is>
          <ns0:t>function_0126</ns0:t>
        </ns0:is>
      </ns0:c>
      <ns0:c r="B127" t="inlineStr">
        <ns0:is>
          <ns0:t>run_008</ns0:t>
        </ns0:is>
      </ns0:c>
      <ns0:c r="C127" t="inlineStr">
        <ns0:is>
          <ns0:t>humantime</ns0:t>
        </ns0:is>
      </ns0:c>
      <ns0:c r="D127" t="inlineStr">
        <ns0:is>
          <ns0:t>gpt-4o-mini</ns0:t>
        </ns0:is>
      </ns0:c>
      <ns0:c r="E127">
        <ns0:f>COUNTIF(Cases!$B$2:$B$1859,A127)</ns0:f>
        <ns0:v>3</ns0:v>
      </ns0:c>
      <ns0:c r="F127">
        <ns0:f>IF(COUNTIFS(Cases!$B$2:$B$1859,A127,Cases!$G$2:$G$1859,1)&gt;0,1,0)</ns0:f>
        <ns0:v>1</ns0:v>
      </ns0:c>
      <ns0:c r="G127">
        <ns0:f>IF(COUNTIFS(Cases!$B$2:$B$1859,A127,Cases!$L$2:$L$1859,1)&gt;0,1,0)</ns0:f>
        <ns0:v>1</ns0:v>
      </ns0:c>
      <ns0:c r="H127">
        <ns0:f>IF(COUNTIFS(Cases!$B$2:$B$1859,A127,Cases!$Q$2:$Q$1859,1)&gt;0,1,0)</ns0:f>
        <ns0:v>0</ns0:v>
      </ns0:c>
      <ns0:c r="I127">
        <ns0:f>IF(COUNTIFS(Cases!$B$2:$B$1859,A127,Cases!$R$2:$R$1859,1)&gt;0,1,0)</ns0:f>
        <ns0:v>1</ns0:v>
      </ns0:c>
    </ns0:row>
    <ns0:row r="128">
      <ns0:c r="A128" t="inlineStr">
        <ns0:is>
          <ns0:t>function_0127</ns0:t>
        </ns0:is>
      </ns0:c>
      <ns0:c r="B128" t="inlineStr">
        <ns0:is>
          <ns0:t>run_008</ns0:t>
        </ns0:is>
      </ns0:c>
      <ns0:c r="C128" t="inlineStr">
        <ns0:is>
          <ns0:t>humantime</ns0:t>
        </ns0:is>
      </ns0:c>
      <ns0:c r="D128" t="inlineStr">
        <ns0:is>
          <ns0:t>gpt-4o-mini</ns0:t>
        </ns0:is>
      </ns0:c>
      <ns0:c r="E128">
        <ns0:f>COUNTIF(Cases!$B$2:$B$1859,A128)</ns0:f>
        <ns0:v>6</ns0:v>
      </ns0:c>
      <ns0:c r="F128">
        <ns0:f>IF(COUNTIFS(Cases!$B$2:$B$1859,A128,Cases!$G$2:$G$1859,1)&gt;0,1,0)</ns0:f>
        <ns0:v>1</ns0:v>
      </ns0:c>
      <ns0:c r="G128">
        <ns0:f>IF(COUNTIFS(Cases!$B$2:$B$1859,A128,Cases!$L$2:$L$1859,1)&gt;0,1,0)</ns0:f>
        <ns0:v>1</ns0:v>
      </ns0:c>
      <ns0:c r="H128">
        <ns0:f>IF(COUNTIFS(Cases!$B$2:$B$1859,A128,Cases!$Q$2:$Q$1859,1)&gt;0,1,0)</ns0:f>
        <ns0:v>0</ns0:v>
      </ns0:c>
      <ns0:c r="I128">
        <ns0:f>IF(COUNTIFS(Cases!$B$2:$B$1859,A128,Cases!$R$2:$R$1859,1)&gt;0,1,0)</ns0:f>
        <ns0:v>1</ns0:v>
      </ns0:c>
    </ns0:row>
    <ns0:row r="129">
      <ns0:c r="A129" t="inlineStr">
        <ns0:is>
          <ns0:t>function_0128</ns0:t>
        </ns0:is>
      </ns0:c>
      <ns0:c r="B129" t="inlineStr">
        <ns0:is>
          <ns0:t>run_008</ns0:t>
        </ns0:is>
      </ns0:c>
      <ns0:c r="C129" t="inlineStr">
        <ns0:is>
          <ns0:t>humantime</ns0:t>
        </ns0:is>
      </ns0:c>
      <ns0:c r="D129" t="inlineStr">
        <ns0:is>
          <ns0:t>gpt-4o-mini</ns0:t>
        </ns0:is>
      </ns0:c>
      <ns0:c r="E129">
        <ns0:f>COUNTIF(Cases!$B$2:$B$1859,A129)</ns0:f>
        <ns0:v>3</ns0:v>
      </ns0:c>
      <ns0:c r="F129">
        <ns0:f>IF(COUNTIFS(Cases!$B$2:$B$1859,A129,Cases!$G$2:$G$1859,1)&gt;0,1,0)</ns0:f>
        <ns0:v>1</ns0:v>
      </ns0:c>
      <ns0:c r="G129">
        <ns0:f>IF(COUNTIFS(Cases!$B$2:$B$1859,A129,Cases!$L$2:$L$1859,1)&gt;0,1,0)</ns0:f>
        <ns0:v>1</ns0:v>
      </ns0:c>
      <ns0:c r="H129">
        <ns0:f>IF(COUNTIFS(Cases!$B$2:$B$1859,A129,Cases!$Q$2:$Q$1859,1)&gt;0,1,0)</ns0:f>
        <ns0:v>0</ns0:v>
      </ns0:c>
      <ns0:c r="I129">
        <ns0:f>IF(COUNTIFS(Cases!$B$2:$B$1859,A129,Cases!$R$2:$R$1859,1)&gt;0,1,0)</ns0:f>
        <ns0:v>1</ns0:v>
      </ns0:c>
    </ns0:row>
    <ns0:row r="130">
      <ns0:c r="A130" t="inlineStr">
        <ns0:is>
          <ns0:t>function_0129</ns0:t>
        </ns0:is>
      </ns0:c>
      <ns0:c r="B130" t="inlineStr">
        <ns0:is>
          <ns0:t>run_008</ns0:t>
        </ns0:is>
      </ns0:c>
      <ns0:c r="C130" t="inlineStr">
        <ns0:is>
          <ns0:t>humantime</ns0:t>
        </ns0:is>
      </ns0:c>
      <ns0:c r="D130" t="inlineStr">
        <ns0:is>
          <ns0:t>gpt-4o-mini</ns0:t>
        </ns0:is>
      </ns0:c>
      <ns0:c r="E130">
        <ns0:f>COUNTIF(Cases!$B$2:$B$1859,A130)</ns0:f>
        <ns0:v>6</ns0:v>
      </ns0:c>
      <ns0:c r="F130">
        <ns0:f>IF(COUNTIFS(Cases!$B$2:$B$1859,A130,Cases!$G$2:$G$1859,1)&gt;0,1,0)</ns0:f>
        <ns0:v>1</ns0:v>
      </ns0:c>
      <ns0:c r="G130">
        <ns0:f>IF(COUNTIFS(Cases!$B$2:$B$1859,A130,Cases!$L$2:$L$1859,1)&gt;0,1,0)</ns0:f>
        <ns0:v>1</ns0:v>
      </ns0:c>
      <ns0:c r="H130">
        <ns0:f>IF(COUNTIFS(Cases!$B$2:$B$1859,A130,Cases!$Q$2:$Q$1859,1)&gt;0,1,0)</ns0:f>
        <ns0:v>1</ns0:v>
      </ns0:c>
      <ns0:c r="I130">
        <ns0:f>IF(COUNTIFS(Cases!$B$2:$B$1859,A130,Cases!$R$2:$R$1859,1)&gt;0,1,0)</ns0:f>
        <ns0:v>1</ns0:v>
      </ns0:c>
    </ns0:row>
    <ns0:row r="131">
      <ns0:c r="A131" t="inlineStr">
        <ns0:is>
          <ns0:t>function_0130</ns0:t>
        </ns0:is>
      </ns0:c>
      <ns0:c r="B131" t="inlineStr">
        <ns0:is>
          <ns0:t>run_008</ns0:t>
        </ns0:is>
      </ns0:c>
      <ns0:c r="C131" t="inlineStr">
        <ns0:is>
          <ns0:t>humantime</ns0:t>
        </ns0:is>
      </ns0:c>
      <ns0:c r="D131" t="inlineStr">
        <ns0:is>
          <ns0:t>gpt-4o-mini</ns0:t>
        </ns0:is>
      </ns0:c>
      <ns0:c r="E131">
        <ns0:f>COUNTIF(Cases!$B$2:$B$1859,A131)</ns0:f>
        <ns0:v>6</ns0:v>
      </ns0:c>
      <ns0:c r="F131">
        <ns0:f>IF(COUNTIFS(Cases!$B$2:$B$1859,A131,Cases!$G$2:$G$1859,1)&gt;0,1,0)</ns0:f>
        <ns0:v>1</ns0:v>
      </ns0:c>
      <ns0:c r="G131">
        <ns0:f>IF(COUNTIFS(Cases!$B$2:$B$1859,A131,Cases!$L$2:$L$1859,1)&gt;0,1,0)</ns0:f>
        <ns0:v>1</ns0:v>
      </ns0:c>
      <ns0:c r="H131">
        <ns0:f>IF(COUNTIFS(Cases!$B$2:$B$1859,A131,Cases!$Q$2:$Q$1859,1)&gt;0,1,0)</ns0:f>
        <ns0:v>1</ns0:v>
      </ns0:c>
      <ns0:c r="I131">
        <ns0:f>IF(COUNTIFS(Cases!$B$2:$B$1859,A131,Cases!$R$2:$R$1859,1)&gt;0,1,0)</ns0:f>
        <ns0:v>1</ns0:v>
      </ns0:c>
    </ns0:row>
    <ns0:row r="132">
      <ns0:c r="A132" t="inlineStr">
        <ns0:is>
          <ns0:t>function_0131</ns0:t>
        </ns0:is>
      </ns0:c>
      <ns0:c r="B132" t="inlineStr">
        <ns0:is>
          <ns0:t>run_008</ns0:t>
        </ns0:is>
      </ns0:c>
      <ns0:c r="C132" t="inlineStr">
        <ns0:is>
          <ns0:t>humantime</ns0:t>
        </ns0:is>
      </ns0:c>
      <ns0:c r="D132" t="inlineStr">
        <ns0:is>
          <ns0:t>gpt-4o-mini</ns0:t>
        </ns0:is>
      </ns0:c>
      <ns0:c r="E132">
        <ns0:f>COUNTIF(Cases!$B$2:$B$1859,A132)</ns0:f>
        <ns0:v>2</ns0:v>
      </ns0:c>
      <ns0:c r="F132">
        <ns0:f>IF(COUNTIFS(Cases!$B$2:$B$1859,A132,Cases!$G$2:$G$1859,1)&gt;0,1,0)</ns0:f>
        <ns0:v>1</ns0:v>
      </ns0:c>
      <ns0:c r="G132">
        <ns0:f>IF(COUNTIFS(Cases!$B$2:$B$1859,A132,Cases!$L$2:$L$1859,1)&gt;0,1,0)</ns0:f>
        <ns0:v>1</ns0:v>
      </ns0:c>
      <ns0:c r="H132">
        <ns0:f>IF(COUNTIFS(Cases!$B$2:$B$1859,A132,Cases!$Q$2:$Q$1859,1)&gt;0,1,0)</ns0:f>
        <ns0:v>1</ns0:v>
      </ns0:c>
      <ns0:c r="I132">
        <ns0:f>IF(COUNTIFS(Cases!$B$2:$B$1859,A132,Cases!$R$2:$R$1859,1)&gt;0,1,0)</ns0:f>
        <ns0:v>1</ns0:v>
      </ns0:c>
    </ns0:row>
    <ns0:row r="133">
      <ns0:c r="A133" t="inlineStr">
        <ns0:is>
          <ns0:t>function_0132</ns0:t>
        </ns0:is>
      </ns0:c>
      <ns0:c r="B133" t="inlineStr">
        <ns0:is>
          <ns0:t>run_008</ns0:t>
        </ns0:is>
      </ns0:c>
      <ns0:c r="C133" t="inlineStr">
        <ns0:is>
          <ns0:t>humantime</ns0:t>
        </ns0:is>
      </ns0:c>
      <ns0:c r="D133" t="inlineStr">
        <ns0:is>
          <ns0:t>gpt-4o-mini</ns0:t>
        </ns0:is>
      </ns0:c>
      <ns0:c r="E133">
        <ns0:f>COUNTIF(Cases!$B$2:$B$1859,A133)</ns0:f>
        <ns0:v>4</ns0:v>
      </ns0:c>
      <ns0:c r="F133">
        <ns0:f>IF(COUNTIFS(Cases!$B$2:$B$1859,A133,Cases!$G$2:$G$1859,1)&gt;0,1,0)</ns0:f>
        <ns0:v>1</ns0:v>
      </ns0:c>
      <ns0:c r="G133">
        <ns0:f>IF(COUNTIFS(Cases!$B$2:$B$1859,A133,Cases!$L$2:$L$1859,1)&gt;0,1,0)</ns0:f>
        <ns0:v>1</ns0:v>
      </ns0:c>
      <ns0:c r="H133">
        <ns0:f>IF(COUNTIFS(Cases!$B$2:$B$1859,A133,Cases!$Q$2:$Q$1859,1)&gt;0,1,0)</ns0:f>
        <ns0:v>1</ns0:v>
      </ns0:c>
      <ns0:c r="I133">
        <ns0:f>IF(COUNTIFS(Cases!$B$2:$B$1859,A133,Cases!$R$2:$R$1859,1)&gt;0,1,0)</ns0:f>
        <ns0:v>1</ns0:v>
      </ns0:c>
    </ns0:row>
    <ns0:row r="134">
      <ns0:c r="A134" t="inlineStr">
        <ns0:is>
          <ns0:t>function_0133</ns0:t>
        </ns0:is>
      </ns0:c>
      <ns0:c r="B134" t="inlineStr">
        <ns0:is>
          <ns0:t>run_008</ns0:t>
        </ns0:is>
      </ns0:c>
      <ns0:c r="C134" t="inlineStr">
        <ns0:is>
          <ns0:t>humantime</ns0:t>
        </ns0:is>
      </ns0:c>
      <ns0:c r="D134" t="inlineStr">
        <ns0:is>
          <ns0:t>gpt-4o-mini</ns0:t>
        </ns0:is>
      </ns0:c>
      <ns0:c r="E134">
        <ns0:f>COUNTIF(Cases!$B$2:$B$1859,A134)</ns0:f>
        <ns0:v>6</ns0:v>
      </ns0:c>
      <ns0:c r="F134">
        <ns0:f>IF(COUNTIFS(Cases!$B$2:$B$1859,A134,Cases!$G$2:$G$1859,1)&gt;0,1,0)</ns0:f>
        <ns0:v>1</ns0:v>
      </ns0:c>
      <ns0:c r="G134">
        <ns0:f>IF(COUNTIFS(Cases!$B$2:$B$1859,A134,Cases!$L$2:$L$1859,1)&gt;0,1,0)</ns0:f>
        <ns0:v>1</ns0:v>
      </ns0:c>
      <ns0:c r="H134">
        <ns0:f>IF(COUNTIFS(Cases!$B$2:$B$1859,A134,Cases!$Q$2:$Q$1859,1)&gt;0,1,0)</ns0:f>
        <ns0:v>0</ns0:v>
      </ns0:c>
      <ns0:c r="I134">
        <ns0:f>IF(COUNTIFS(Cases!$B$2:$B$1859,A134,Cases!$R$2:$R$1859,1)&gt;0,1,0)</ns0:f>
        <ns0:v>0</ns0:v>
      </ns0:c>
    </ns0:row>
    <ns0:row r="135">
      <ns0:c r="A135" t="inlineStr">
        <ns0:is>
          <ns0:t>function_0134</ns0:t>
        </ns0:is>
      </ns0:c>
      <ns0:c r="B135" t="inlineStr">
        <ns0:is>
          <ns0:t>run_008</ns0:t>
        </ns0:is>
      </ns0:c>
      <ns0:c r="C135" t="inlineStr">
        <ns0:is>
          <ns0:t>humantime</ns0:t>
        </ns0:is>
      </ns0:c>
      <ns0:c r="D135" t="inlineStr">
        <ns0:is>
          <ns0:t>gpt-4o-mini</ns0:t>
        </ns0:is>
      </ns0:c>
      <ns0:c r="E135">
        <ns0:f>COUNTIF(Cases!$B$2:$B$1859,A135)</ns0:f>
        <ns0:v>12</ns0:v>
      </ns0:c>
      <ns0:c r="F135">
        <ns0:f>IF(COUNTIFS(Cases!$B$2:$B$1859,A135,Cases!$G$2:$G$1859,1)&gt;0,1,0)</ns0:f>
        <ns0:v>1</ns0:v>
      </ns0:c>
      <ns0:c r="G135">
        <ns0:f>IF(COUNTIFS(Cases!$B$2:$B$1859,A135,Cases!$L$2:$L$1859,1)&gt;0,1,0)</ns0:f>
        <ns0:v>1</ns0:v>
      </ns0:c>
      <ns0:c r="H135">
        <ns0:f>IF(COUNTIFS(Cases!$B$2:$B$1859,A135,Cases!$Q$2:$Q$1859,1)&gt;0,1,0)</ns0:f>
        <ns0:v>0</ns0:v>
      </ns0:c>
      <ns0:c r="I135">
        <ns0:f>IF(COUNTIFS(Cases!$B$2:$B$1859,A135,Cases!$R$2:$R$1859,1)&gt;0,1,0)</ns0:f>
        <ns0:v>0</ns0:v>
      </ns0:c>
    </ns0:row>
    <ns0:row r="136">
      <ns0:c r="A136" t="inlineStr">
        <ns0:is>
          <ns0:t>function_0135</ns0:t>
        </ns0:is>
      </ns0:c>
      <ns0:c r="B136" t="inlineStr">
        <ns0:is>
          <ns0:t>run_008</ns0:t>
        </ns0:is>
      </ns0:c>
      <ns0:c r="C136" t="inlineStr">
        <ns0:is>
          <ns0:t>humantime</ns0:t>
        </ns0:is>
      </ns0:c>
      <ns0:c r="D136" t="inlineStr">
        <ns0:is>
          <ns0:t>gpt-4o-mini</ns0:t>
        </ns0:is>
      </ns0:c>
      <ns0:c r="E136">
        <ns0:f>COUNTIF(Cases!$B$2:$B$1859,A136)</ns0:f>
        <ns0:v>12</ns0:v>
      </ns0:c>
      <ns0:c r="F136">
        <ns0:f>IF(COUNTIFS(Cases!$B$2:$B$1859,A136,Cases!$G$2:$G$1859,1)&gt;0,1,0)</ns0:f>
        <ns0:v>1</ns0:v>
      </ns0:c>
      <ns0:c r="G136">
        <ns0:f>IF(COUNTIFS(Cases!$B$2:$B$1859,A136,Cases!$L$2:$L$1859,1)&gt;0,1,0)</ns0:f>
        <ns0:v>1</ns0:v>
      </ns0:c>
      <ns0:c r="H136">
        <ns0:f>IF(COUNTIFS(Cases!$B$2:$B$1859,A136,Cases!$Q$2:$Q$1859,1)&gt;0,1,0)</ns0:f>
        <ns0:v>0</ns0:v>
      </ns0:c>
      <ns0:c r="I136">
        <ns0:f>IF(COUNTIFS(Cases!$B$2:$B$1859,A136,Cases!$R$2:$R$1859,1)&gt;0,1,0)</ns0:f>
        <ns0:v>0</ns0:v>
      </ns0:c>
    </ns0:row>
    <ns0:row r="137">
      <ns0:c r="A137" t="inlineStr">
        <ns0:is>
          <ns0:t>function_0136</ns0:t>
        </ns0:is>
      </ns0:c>
      <ns0:c r="B137" t="inlineStr">
        <ns0:is>
          <ns0:t>run_008</ns0:t>
        </ns0:is>
      </ns0:c>
      <ns0:c r="C137" t="inlineStr">
        <ns0:is>
          <ns0:t>humantime</ns0:t>
        </ns0:is>
      </ns0:c>
      <ns0:c r="D137" t="inlineStr">
        <ns0:is>
          <ns0:t>gpt-4o-mini</ns0:t>
        </ns0:is>
      </ns0:c>
      <ns0:c r="E137">
        <ns0:f>COUNTIF(Cases!$B$2:$B$1859,A137)</ns0:f>
        <ns0:v>12</ns0:v>
      </ns0:c>
      <ns0:c r="F137">
        <ns0:f>IF(COUNTIFS(Cases!$B$2:$B$1859,A137,Cases!$G$2:$G$1859,1)&gt;0,1,0)</ns0:f>
        <ns0:v>1</ns0:v>
      </ns0:c>
      <ns0:c r="G137">
        <ns0:f>IF(COUNTIFS(Cases!$B$2:$B$1859,A137,Cases!$L$2:$L$1859,1)&gt;0,1,0)</ns0:f>
        <ns0:v>1</ns0:v>
      </ns0:c>
      <ns0:c r="H137">
        <ns0:f>IF(COUNTIFS(Cases!$B$2:$B$1859,A137,Cases!$Q$2:$Q$1859,1)&gt;0,1,0)</ns0:f>
        <ns0:v>0</ns0:v>
      </ns0:c>
      <ns0:c r="I137">
        <ns0:f>IF(COUNTIFS(Cases!$B$2:$B$1859,A137,Cases!$R$2:$R$1859,1)&gt;0,1,0)</ns0:f>
        <ns0:v>0</ns0:v>
      </ns0:c>
    </ns0:row>
    <ns0:row r="138">
      <ns0:c r="A138" t="inlineStr">
        <ns0:is>
          <ns0:t>function_0137</ns0:t>
        </ns0:is>
      </ns0:c>
      <ns0:c r="B138" t="inlineStr">
        <ns0:is>
          <ns0:t>run_008</ns0:t>
        </ns0:is>
      </ns0:c>
      <ns0:c r="C138" t="inlineStr">
        <ns0:is>
          <ns0:t>humantime</ns0:t>
        </ns0:is>
      </ns0:c>
      <ns0:c r="D138" t="inlineStr">
        <ns0:is>
          <ns0:t>gpt-4o-mini</ns0:t>
        </ns0:is>
      </ns0:c>
      <ns0:c r="E138">
        <ns0:f>COUNTIF(Cases!$B$2:$B$1859,A138)</ns0:f>
        <ns0:v>12</ns0:v>
      </ns0:c>
      <ns0:c r="F138">
        <ns0:f>IF(COUNTIFS(Cases!$B$2:$B$1859,A138,Cases!$G$2:$G$1859,1)&gt;0,1,0)</ns0:f>
        <ns0:v>1</ns0:v>
      </ns0:c>
      <ns0:c r="G138">
        <ns0:f>IF(COUNTIFS(Cases!$B$2:$B$1859,A138,Cases!$L$2:$L$1859,1)&gt;0,1,0)</ns0:f>
        <ns0:v>1</ns0:v>
      </ns0:c>
      <ns0:c r="H138">
        <ns0:f>IF(COUNTIFS(Cases!$B$2:$B$1859,A138,Cases!$Q$2:$Q$1859,1)&gt;0,1,0)</ns0:f>
        <ns0:v>0</ns0:v>
      </ns0:c>
      <ns0:c r="I138">
        <ns0:f>IF(COUNTIFS(Cases!$B$2:$B$1859,A138,Cases!$R$2:$R$1859,1)&gt;0,1,0)</ns0:f>
        <ns0:v>1</ns0:v>
      </ns0:c>
    </ns0:row>
    <ns0:row r="139">
      <ns0:c r="A139" t="inlineStr">
        <ns0:is>
          <ns0:t>function_0138</ns0:t>
        </ns0:is>
      </ns0:c>
      <ns0:c r="B139" t="inlineStr">
        <ns0:is>
          <ns0:t>run_008</ns0:t>
        </ns0:is>
      </ns0:c>
      <ns0:c r="C139" t="inlineStr">
        <ns0:is>
          <ns0:t>humantime</ns0:t>
        </ns0:is>
      </ns0:c>
      <ns0:c r="D139" t="inlineStr">
        <ns0:is>
          <ns0:t>gpt-4o-mini</ns0:t>
        </ns0:is>
      </ns0:c>
      <ns0:c r="E139">
        <ns0:f>COUNTIF(Cases!$B$2:$B$1859,A139)</ns0:f>
        <ns0:v>6</ns0:v>
      </ns0:c>
      <ns0:c r="F139">
        <ns0:f>IF(COUNTIFS(Cases!$B$2:$B$1859,A139,Cases!$G$2:$G$1859,1)&gt;0,1,0)</ns0:f>
        <ns0:v>0</ns0:v>
      </ns0:c>
      <ns0:c r="G139">
        <ns0:f>IF(COUNTIFS(Cases!$B$2:$B$1859,A139,Cases!$L$2:$L$1859,1)&gt;0,1,0)</ns0:f>
        <ns0:v>1</ns0:v>
      </ns0:c>
      <ns0:c r="H139">
        <ns0:f>IF(COUNTIFS(Cases!$B$2:$B$1859,A139,Cases!$Q$2:$Q$1859,1)&gt;0,1,0)</ns0:f>
        <ns0:v>0</ns0:v>
      </ns0:c>
      <ns0:c r="I139">
        <ns0:f>IF(COUNTIFS(Cases!$B$2:$B$1859,A139,Cases!$R$2:$R$1859,1)&gt;0,1,0)</ns0:f>
        <ns0:v>0</ns0:v>
      </ns0:c>
    </ns0:row>
    <ns0:row r="140">
      <ns0:c r="A140" t="inlineStr">
        <ns0:is>
          <ns0:t>function_0139</ns0:t>
        </ns0:is>
      </ns0:c>
      <ns0:c r="B140" t="inlineStr">
        <ns0:is>
          <ns0:t>run_008</ns0:t>
        </ns0:is>
      </ns0:c>
      <ns0:c r="C140" t="inlineStr">
        <ns0:is>
          <ns0:t>humantime</ns0:t>
        </ns0:is>
      </ns0:c>
      <ns0:c r="D140" t="inlineStr">
        <ns0:is>
          <ns0:t>gpt-4o-mini</ns0:t>
        </ns0:is>
      </ns0:c>
      <ns0:c r="E140">
        <ns0:f>COUNTIF(Cases!$B$2:$B$1859,A140)</ns0:f>
        <ns0:v>6</ns0:v>
      </ns0:c>
      <ns0:c r="F140">
        <ns0:f>IF(COUNTIFS(Cases!$B$2:$B$1859,A140,Cases!$G$2:$G$1859,1)&gt;0,1,0)</ns0:f>
        <ns0:v>0</ns0:v>
      </ns0:c>
      <ns0:c r="G140">
        <ns0:f>IF(COUNTIFS(Cases!$B$2:$B$1859,A140,Cases!$L$2:$L$1859,1)&gt;0,1,0)</ns0:f>
        <ns0:v>0</ns0:v>
      </ns0:c>
      <ns0:c r="H140">
        <ns0:f>IF(COUNTIFS(Cases!$B$2:$B$1859,A140,Cases!$Q$2:$Q$1859,1)&gt;0,1,0)</ns0:f>
        <ns0:v>0</ns0:v>
      </ns0:c>
      <ns0:c r="I140">
        <ns0:f>IF(COUNTIFS(Cases!$B$2:$B$1859,A140,Cases!$R$2:$R$1859,1)&gt;0,1,0)</ns0:f>
        <ns0:v>0</ns0:v>
      </ns0:c>
    </ns0:row>
    <ns0:row r="141">
      <ns0:c r="A141" t="inlineStr">
        <ns0:is>
          <ns0:t>function_0140</ns0:t>
        </ns0:is>
      </ns0:c>
      <ns0:c r="B141" t="inlineStr">
        <ns0:is>
          <ns0:t>run_008</ns0:t>
        </ns0:is>
      </ns0:c>
      <ns0:c r="C141" t="inlineStr">
        <ns0:is>
          <ns0:t>humantime</ns0:t>
        </ns0:is>
      </ns0:c>
      <ns0:c r="D141" t="inlineStr">
        <ns0:is>
          <ns0:t>gpt-4o-mini</ns0:t>
        </ns0:is>
      </ns0:c>
      <ns0:c r="E141">
        <ns0:f>COUNTIF(Cases!$B$2:$B$1859,A141)</ns0:f>
        <ns0:v>6</ns0:v>
      </ns0:c>
      <ns0:c r="F141">
        <ns0:f>IF(COUNTIFS(Cases!$B$2:$B$1859,A141,Cases!$G$2:$G$1859,1)&gt;0,1,0)</ns0:f>
        <ns0:v>1</ns0:v>
      </ns0:c>
      <ns0:c r="G141">
        <ns0:f>IF(COUNTIFS(Cases!$B$2:$B$1859,A141,Cases!$L$2:$L$1859,1)&gt;0,1,0)</ns0:f>
        <ns0:v>1</ns0:v>
      </ns0:c>
      <ns0:c r="H141">
        <ns0:f>IF(COUNTIFS(Cases!$B$2:$B$1859,A141,Cases!$Q$2:$Q$1859,1)&gt;0,1,0)</ns0:f>
        <ns0:v>1</ns0:v>
      </ns0:c>
      <ns0:c r="I141">
        <ns0:f>IF(COUNTIFS(Cases!$B$2:$B$1859,A141,Cases!$R$2:$R$1859,1)&gt;0,1,0)</ns0:f>
        <ns0:v>1</ns0:v>
      </ns0:c>
    </ns0:row>
    <ns0:row r="142">
      <ns0:c r="A142" t="inlineStr">
        <ns0:is>
          <ns0:t>function_0141</ns0:t>
        </ns0:is>
      </ns0:c>
      <ns0:c r="B142" t="inlineStr">
        <ns0:is>
          <ns0:t>run_009</ns0:t>
        </ns0:is>
      </ns0:c>
      <ns0:c r="C142" t="inlineStr">
        <ns0:is>
          <ns0:t>humantime</ns0:t>
        </ns0:is>
      </ns0:c>
      <ns0:c r="D142" t="inlineStr">
        <ns0:is>
          <ns0:t>gpt-5-nano</ns0:t>
        </ns0:is>
      </ns0:c>
      <ns0:c r="E142">
        <ns0:f>COUNTIF(Cases!$B$2:$B$1859,A142)</ns0:f>
        <ns0:v>6</ns0:v>
      </ns0:c>
      <ns0:c r="F142">
        <ns0:f>IF(COUNTIFS(Cases!$B$2:$B$1859,A142,Cases!$G$2:$G$1859,1)&gt;0,1,0)</ns0:f>
        <ns0:v>1</ns0:v>
      </ns0:c>
      <ns0:c r="G142">
        <ns0:f>IF(COUNTIFS(Cases!$B$2:$B$1859,A142,Cases!$L$2:$L$1859,1)&gt;0,1,0)</ns0:f>
        <ns0:v>1</ns0:v>
      </ns0:c>
      <ns0:c r="H142">
        <ns0:f>IF(COUNTIFS(Cases!$B$2:$B$1859,A142,Cases!$Q$2:$Q$1859,1)&gt;0,1,0)</ns0:f>
        <ns0:v>1</ns0:v>
      </ns0:c>
      <ns0:c r="I142">
        <ns0:f>IF(COUNTIFS(Cases!$B$2:$B$1859,A142,Cases!$R$2:$R$1859,1)&gt;0,1,0)</ns0:f>
        <ns0:v>1</ns0:v>
      </ns0:c>
    </ns0:row>
    <ns0:row r="143">
      <ns0:c r="A143" t="inlineStr">
        <ns0:is>
          <ns0:t>function_0142</ns0:t>
        </ns0:is>
      </ns0:c>
      <ns0:c r="B143" t="inlineStr">
        <ns0:is>
          <ns0:t>run_009</ns0:t>
        </ns0:is>
      </ns0:c>
      <ns0:c r="C143" t="inlineStr">
        <ns0:is>
          <ns0:t>humantime</ns0:t>
        </ns0:is>
      </ns0:c>
      <ns0:c r="D143" t="inlineStr">
        <ns0:is>
          <ns0:t>gpt-5-nano</ns0:t>
        </ns0:is>
      </ns0:c>
      <ns0:c r="E143">
        <ns0:f>COUNTIF(Cases!$B$2:$B$1859,A143)</ns0:f>
        <ns0:v>3</ns0:v>
      </ns0:c>
      <ns0:c r="F143">
        <ns0:f>IF(COUNTIFS(Cases!$B$2:$B$1859,A143,Cases!$G$2:$G$1859,1)&gt;0,1,0)</ns0:f>
        <ns0:v>1</ns0:v>
      </ns0:c>
      <ns0:c r="G143">
        <ns0:f>IF(COUNTIFS(Cases!$B$2:$B$1859,A143,Cases!$L$2:$L$1859,1)&gt;0,1,0)</ns0:f>
        <ns0:v>1</ns0:v>
      </ns0:c>
      <ns0:c r="H143">
        <ns0:f>IF(COUNTIFS(Cases!$B$2:$B$1859,A143,Cases!$Q$2:$Q$1859,1)&gt;0,1,0)</ns0:f>
        <ns0:v>1</ns0:v>
      </ns0:c>
      <ns0:c r="I143">
        <ns0:f>IF(COUNTIFS(Cases!$B$2:$B$1859,A143,Cases!$R$2:$R$1859,1)&gt;0,1,0)</ns0:f>
        <ns0:v>1</ns0:v>
      </ns0:c>
    </ns0:row>
    <ns0:row r="144">
      <ns0:c r="A144" t="inlineStr">
        <ns0:is>
          <ns0:t>function_0143</ns0:t>
        </ns0:is>
      </ns0:c>
      <ns0:c r="B144" t="inlineStr">
        <ns0:is>
          <ns0:t>run_009</ns0:t>
        </ns0:is>
      </ns0:c>
      <ns0:c r="C144" t="inlineStr">
        <ns0:is>
          <ns0:t>humantime</ns0:t>
        </ns0:is>
      </ns0:c>
      <ns0:c r="D144" t="inlineStr">
        <ns0:is>
          <ns0:t>gpt-5-nano</ns0:t>
        </ns0:is>
      </ns0:c>
      <ns0:c r="E144">
        <ns0:f>COUNTIF(Cases!$B$2:$B$1859,A144)</ns0:f>
        <ns0:v>6</ns0:v>
      </ns0:c>
      <ns0:c r="F144">
        <ns0:f>IF(COUNTIFS(Cases!$B$2:$B$1859,A144,Cases!$G$2:$G$1859,1)&gt;0,1,0)</ns0:f>
        <ns0:v>1</ns0:v>
      </ns0:c>
      <ns0:c r="G144">
        <ns0:f>IF(COUNTIFS(Cases!$B$2:$B$1859,A144,Cases!$L$2:$L$1859,1)&gt;0,1,0)</ns0:f>
        <ns0:v>1</ns0:v>
      </ns0:c>
      <ns0:c r="H144">
        <ns0:f>IF(COUNTIFS(Cases!$B$2:$B$1859,A144,Cases!$Q$2:$Q$1859,1)&gt;0,1,0)</ns0:f>
        <ns0:v>1</ns0:v>
      </ns0:c>
      <ns0:c r="I144">
        <ns0:f>IF(COUNTIFS(Cases!$B$2:$B$1859,A144,Cases!$R$2:$R$1859,1)&gt;0,1,0)</ns0:f>
        <ns0:v>1</ns0:v>
      </ns0:c>
    </ns0:row>
    <ns0:row r="145">
      <ns0:c r="A145" t="inlineStr">
        <ns0:is>
          <ns0:t>function_0144</ns0:t>
        </ns0:is>
      </ns0:c>
      <ns0:c r="B145" t="inlineStr">
        <ns0:is>
          <ns0:t>run_009</ns0:t>
        </ns0:is>
      </ns0:c>
      <ns0:c r="C145" t="inlineStr">
        <ns0:is>
          <ns0:t>humantime</ns0:t>
        </ns0:is>
      </ns0:c>
      <ns0:c r="D145" t="inlineStr">
        <ns0:is>
          <ns0:t>gpt-5-nano</ns0:t>
        </ns0:is>
      </ns0:c>
      <ns0:c r="E145">
        <ns0:f>COUNTIF(Cases!$B$2:$B$1859,A145)</ns0:f>
        <ns0:v>6</ns0:v>
      </ns0:c>
      <ns0:c r="F145">
        <ns0:f>IF(COUNTIFS(Cases!$B$2:$B$1859,A145,Cases!$G$2:$G$1859,1)&gt;0,1,0)</ns0:f>
        <ns0:v>1</ns0:v>
      </ns0:c>
      <ns0:c r="G145">
        <ns0:f>IF(COUNTIFS(Cases!$B$2:$B$1859,A145,Cases!$L$2:$L$1859,1)&gt;0,1,0)</ns0:f>
        <ns0:v>1</ns0:v>
      </ns0:c>
      <ns0:c r="H145">
        <ns0:f>IF(COUNTIFS(Cases!$B$2:$B$1859,A145,Cases!$Q$2:$Q$1859,1)&gt;0,1,0)</ns0:f>
        <ns0:v>1</ns0:v>
      </ns0:c>
      <ns0:c r="I145">
        <ns0:f>IF(COUNTIFS(Cases!$B$2:$B$1859,A145,Cases!$R$2:$R$1859,1)&gt;0,1,0)</ns0:f>
        <ns0:v>1</ns0:v>
      </ns0:c>
    </ns0:row>
    <ns0:row r="146">
      <ns0:c r="A146" t="inlineStr">
        <ns0:is>
          <ns0:t>function_0145</ns0:t>
        </ns0:is>
      </ns0:c>
      <ns0:c r="B146" t="inlineStr">
        <ns0:is>
          <ns0:t>run_009</ns0:t>
        </ns0:is>
      </ns0:c>
      <ns0:c r="C146" t="inlineStr">
        <ns0:is>
          <ns0:t>humantime</ns0:t>
        </ns0:is>
      </ns0:c>
      <ns0:c r="D146" t="inlineStr">
        <ns0:is>
          <ns0:t>gpt-5-nano</ns0:t>
        </ns0:is>
      </ns0:c>
      <ns0:c r="E146">
        <ns0:f>COUNTIF(Cases!$B$2:$B$1859,A146)</ns0:f>
        <ns0:v>3</ns0:v>
      </ns0:c>
      <ns0:c r="F146">
        <ns0:f>IF(COUNTIFS(Cases!$B$2:$B$1859,A146,Cases!$G$2:$G$1859,1)&gt;0,1,0)</ns0:f>
        <ns0:v>1</ns0:v>
      </ns0:c>
      <ns0:c r="G146">
        <ns0:f>IF(COUNTIFS(Cases!$B$2:$B$1859,A146,Cases!$L$2:$L$1859,1)&gt;0,1,0)</ns0:f>
        <ns0:v>1</ns0:v>
      </ns0:c>
      <ns0:c r="H146">
        <ns0:f>IF(COUNTIFS(Cases!$B$2:$B$1859,A146,Cases!$Q$2:$Q$1859,1)&gt;0,1,0)</ns0:f>
        <ns0:v>0</ns0:v>
      </ns0:c>
      <ns0:c r="I146">
        <ns0:f>IF(COUNTIFS(Cases!$B$2:$B$1859,A146,Cases!$R$2:$R$1859,1)&gt;0,1,0)</ns0:f>
        <ns0:v>1</ns0:v>
      </ns0:c>
    </ns0:row>
    <ns0:row r="147">
      <ns0:c r="A147" t="inlineStr">
        <ns0:is>
          <ns0:t>function_0146</ns0:t>
        </ns0:is>
      </ns0:c>
      <ns0:c r="B147" t="inlineStr">
        <ns0:is>
          <ns0:t>run_009</ns0:t>
        </ns0:is>
      </ns0:c>
      <ns0:c r="C147" t="inlineStr">
        <ns0:is>
          <ns0:t>humantime</ns0:t>
        </ns0:is>
      </ns0:c>
      <ns0:c r="D147" t="inlineStr">
        <ns0:is>
          <ns0:t>gpt-5-nano</ns0:t>
        </ns0:is>
      </ns0:c>
      <ns0:c r="E147">
        <ns0:f>COUNTIF(Cases!$B$2:$B$1859,A147)</ns0:f>
        <ns0:v>6</ns0:v>
      </ns0:c>
      <ns0:c r="F147">
        <ns0:f>IF(COUNTIFS(Cases!$B$2:$B$1859,A147,Cases!$G$2:$G$1859,1)&gt;0,1,0)</ns0:f>
        <ns0:v>1</ns0:v>
      </ns0:c>
      <ns0:c r="G147">
        <ns0:f>IF(COUNTIFS(Cases!$B$2:$B$1859,A147,Cases!$L$2:$L$1859,1)&gt;0,1,0)</ns0:f>
        <ns0:v>1</ns0:v>
      </ns0:c>
      <ns0:c r="H147">
        <ns0:f>IF(COUNTIFS(Cases!$B$2:$B$1859,A147,Cases!$Q$2:$Q$1859,1)&gt;0,1,0)</ns0:f>
        <ns0:v>1</ns0:v>
      </ns0:c>
      <ns0:c r="I147">
        <ns0:f>IF(COUNTIFS(Cases!$B$2:$B$1859,A147,Cases!$R$2:$R$1859,1)&gt;0,1,0)</ns0:f>
        <ns0:v>1</ns0:v>
      </ns0:c>
    </ns0:row>
    <ns0:row r="148">
      <ns0:c r="A148" t="inlineStr">
        <ns0:is>
          <ns0:t>function_0147</ns0:t>
        </ns0:is>
      </ns0:c>
      <ns0:c r="B148" t="inlineStr">
        <ns0:is>
          <ns0:t>run_009</ns0:t>
        </ns0:is>
      </ns0:c>
      <ns0:c r="C148" t="inlineStr">
        <ns0:is>
          <ns0:t>humantime</ns0:t>
        </ns0:is>
      </ns0:c>
      <ns0:c r="D148" t="inlineStr">
        <ns0:is>
          <ns0:t>gpt-5-nano</ns0:t>
        </ns0:is>
      </ns0:c>
      <ns0:c r="E148">
        <ns0:f>COUNTIF(Cases!$B$2:$B$1859,A148)</ns0:f>
        <ns0:v>3</ns0:v>
      </ns0:c>
      <ns0:c r="F148">
        <ns0:f>IF(COUNTIFS(Cases!$B$2:$B$1859,A148,Cases!$G$2:$G$1859,1)&gt;0,1,0)</ns0:f>
        <ns0:v>1</ns0:v>
      </ns0:c>
      <ns0:c r="G148">
        <ns0:f>IF(COUNTIFS(Cases!$B$2:$B$1859,A148,Cases!$L$2:$L$1859,1)&gt;0,1,0)</ns0:f>
        <ns0:v>1</ns0:v>
      </ns0:c>
      <ns0:c r="H148">
        <ns0:f>IF(COUNTIFS(Cases!$B$2:$B$1859,A148,Cases!$Q$2:$Q$1859,1)&gt;0,1,0)</ns0:f>
        <ns0:v>0</ns0:v>
      </ns0:c>
      <ns0:c r="I148">
        <ns0:f>IF(COUNTIFS(Cases!$B$2:$B$1859,A148,Cases!$R$2:$R$1859,1)&gt;0,1,0)</ns0:f>
        <ns0:v>1</ns0:v>
      </ns0:c>
    </ns0:row>
    <ns0:row r="149">
      <ns0:c r="A149" t="inlineStr">
        <ns0:is>
          <ns0:t>function_0148</ns0:t>
        </ns0:is>
      </ns0:c>
      <ns0:c r="B149" t="inlineStr">
        <ns0:is>
          <ns0:t>run_009</ns0:t>
        </ns0:is>
      </ns0:c>
      <ns0:c r="C149" t="inlineStr">
        <ns0:is>
          <ns0:t>humantime</ns0:t>
        </ns0:is>
      </ns0:c>
      <ns0:c r="D149" t="inlineStr">
        <ns0:is>
          <ns0:t>gpt-5-nano</ns0:t>
        </ns0:is>
      </ns0:c>
      <ns0:c r="E149">
        <ns0:f>COUNTIF(Cases!$B$2:$B$1859,A149)</ns0:f>
        <ns0:v>6</ns0:v>
      </ns0:c>
      <ns0:c r="F149">
        <ns0:f>IF(COUNTIFS(Cases!$B$2:$B$1859,A149,Cases!$G$2:$G$1859,1)&gt;0,1,0)</ns0:f>
        <ns0:v>1</ns0:v>
      </ns0:c>
      <ns0:c r="G149">
        <ns0:f>IF(COUNTIFS(Cases!$B$2:$B$1859,A149,Cases!$L$2:$L$1859,1)&gt;0,1,0)</ns0:f>
        <ns0:v>1</ns0:v>
      </ns0:c>
      <ns0:c r="H149">
        <ns0:f>IF(COUNTIFS(Cases!$B$2:$B$1859,A149,Cases!$Q$2:$Q$1859,1)&gt;0,1,0)</ns0:f>
        <ns0:v>1</ns0:v>
      </ns0:c>
      <ns0:c r="I149">
        <ns0:f>IF(COUNTIFS(Cases!$B$2:$B$1859,A149,Cases!$R$2:$R$1859,1)&gt;0,1,0)</ns0:f>
        <ns0:v>1</ns0:v>
      </ns0:c>
    </ns0:row>
    <ns0:row r="150">
      <ns0:c r="A150" t="inlineStr">
        <ns0:is>
          <ns0:t>function_0149</ns0:t>
        </ns0:is>
      </ns0:c>
      <ns0:c r="B150" t="inlineStr">
        <ns0:is>
          <ns0:t>run_009</ns0:t>
        </ns0:is>
      </ns0:c>
      <ns0:c r="C150" t="inlineStr">
        <ns0:is>
          <ns0:t>humantime</ns0:t>
        </ns0:is>
      </ns0:c>
      <ns0:c r="D150" t="inlineStr">
        <ns0:is>
          <ns0:t>gpt-5-nano</ns0:t>
        </ns0:is>
      </ns0:c>
      <ns0:c r="E150">
        <ns0:f>COUNTIF(Cases!$B$2:$B$1859,A150)</ns0:f>
        <ns0:v>6</ns0:v>
      </ns0:c>
      <ns0:c r="F150">
        <ns0:f>IF(COUNTIFS(Cases!$B$2:$B$1859,A150,Cases!$G$2:$G$1859,1)&gt;0,1,0)</ns0:f>
        <ns0:v>1</ns0:v>
      </ns0:c>
      <ns0:c r="G150">
        <ns0:f>IF(COUNTIFS(Cases!$B$2:$B$1859,A150,Cases!$L$2:$L$1859,1)&gt;0,1,0)</ns0:f>
        <ns0:v>1</ns0:v>
      </ns0:c>
      <ns0:c r="H150">
        <ns0:f>IF(COUNTIFS(Cases!$B$2:$B$1859,A150,Cases!$Q$2:$Q$1859,1)&gt;0,1,0)</ns0:f>
        <ns0:v>1</ns0:v>
      </ns0:c>
      <ns0:c r="I150">
        <ns0:f>IF(COUNTIFS(Cases!$B$2:$B$1859,A150,Cases!$R$2:$R$1859,1)&gt;0,1,0)</ns0:f>
        <ns0:v>1</ns0:v>
      </ns0:c>
    </ns0:row>
    <ns0:row r="151">
      <ns0:c r="A151" t="inlineStr">
        <ns0:is>
          <ns0:t>function_0150</ns0:t>
        </ns0:is>
      </ns0:c>
      <ns0:c r="B151" t="inlineStr">
        <ns0:is>
          <ns0:t>run_009</ns0:t>
        </ns0:is>
      </ns0:c>
      <ns0:c r="C151" t="inlineStr">
        <ns0:is>
          <ns0:t>humantime</ns0:t>
        </ns0:is>
      </ns0:c>
      <ns0:c r="D151" t="inlineStr">
        <ns0:is>
          <ns0:t>gpt-5-nano</ns0:t>
        </ns0:is>
      </ns0:c>
      <ns0:c r="E151">
        <ns0:f>COUNTIF(Cases!$B$2:$B$1859,A151)</ns0:f>
        <ns0:v>3</ns0:v>
      </ns0:c>
      <ns0:c r="F151">
        <ns0:f>IF(COUNTIFS(Cases!$B$2:$B$1859,A151,Cases!$G$2:$G$1859,1)&gt;0,1,0)</ns0:f>
        <ns0:v>1</ns0:v>
      </ns0:c>
      <ns0:c r="G151">
        <ns0:f>IF(COUNTIFS(Cases!$B$2:$B$1859,A151,Cases!$L$2:$L$1859,1)&gt;0,1,0)</ns0:f>
        <ns0:v>1</ns0:v>
      </ns0:c>
      <ns0:c r="H151">
        <ns0:f>IF(COUNTIFS(Cases!$B$2:$B$1859,A151,Cases!$Q$2:$Q$1859,1)&gt;0,1,0)</ns0:f>
        <ns0:v>0</ns0:v>
      </ns0:c>
      <ns0:c r="I151">
        <ns0:f>IF(COUNTIFS(Cases!$B$2:$B$1859,A151,Cases!$R$2:$R$1859,1)&gt;0,1,0)</ns0:f>
        <ns0:v>1</ns0:v>
      </ns0:c>
    </ns0:row>
    <ns0:row r="152">
      <ns0:c r="A152" t="inlineStr">
        <ns0:is>
          <ns0:t>function_0151</ns0:t>
        </ns0:is>
      </ns0:c>
      <ns0:c r="B152" t="inlineStr">
        <ns0:is>
          <ns0:t>run_009</ns0:t>
        </ns0:is>
      </ns0:c>
      <ns0:c r="C152" t="inlineStr">
        <ns0:is>
          <ns0:t>humantime</ns0:t>
        </ns0:is>
      </ns0:c>
      <ns0:c r="D152" t="inlineStr">
        <ns0:is>
          <ns0:t>gpt-5-nano</ns0:t>
        </ns0:is>
      </ns0:c>
      <ns0:c r="E152">
        <ns0:f>COUNTIF(Cases!$B$2:$B$1859,A152)</ns0:f>
        <ns0:v>5</ns0:v>
      </ns0:c>
      <ns0:c r="F152">
        <ns0:f>IF(COUNTIFS(Cases!$B$2:$B$1859,A152,Cases!$G$2:$G$1859,1)&gt;0,1,0)</ns0:f>
        <ns0:v>1</ns0:v>
      </ns0:c>
      <ns0:c r="G152">
        <ns0:f>IF(COUNTIFS(Cases!$B$2:$B$1859,A152,Cases!$L$2:$L$1859,1)&gt;0,1,0)</ns0:f>
        <ns0:v>1</ns0:v>
      </ns0:c>
      <ns0:c r="H152">
        <ns0:f>IF(COUNTIFS(Cases!$B$2:$B$1859,A152,Cases!$Q$2:$Q$1859,1)&gt;0,1,0)</ns0:f>
        <ns0:v>0</ns0:v>
      </ns0:c>
      <ns0:c r="I152">
        <ns0:f>IF(COUNTIFS(Cases!$B$2:$B$1859,A152,Cases!$R$2:$R$1859,1)&gt;0,1,0)</ns0:f>
        <ns0:v>1</ns0:v>
      </ns0:c>
    </ns0:row>
    <ns0:row r="153">
      <ns0:c r="A153" t="inlineStr">
        <ns0:is>
          <ns0:t>function_0152</ns0:t>
        </ns0:is>
      </ns0:c>
      <ns0:c r="B153" t="inlineStr">
        <ns0:is>
          <ns0:t>run_009</ns0:t>
        </ns0:is>
      </ns0:c>
      <ns0:c r="C153" t="inlineStr">
        <ns0:is>
          <ns0:t>humantime</ns0:t>
        </ns0:is>
      </ns0:c>
      <ns0:c r="D153" t="inlineStr">
        <ns0:is>
          <ns0:t>gpt-5-nano</ns0:t>
        </ns0:is>
      </ns0:c>
      <ns0:c r="E153">
        <ns0:f>COUNTIF(Cases!$B$2:$B$1859,A153)</ns0:f>
        <ns0:v>6</ns0:v>
      </ns0:c>
      <ns0:c r="F153">
        <ns0:f>IF(COUNTIFS(Cases!$B$2:$B$1859,A153,Cases!$G$2:$G$1859,1)&gt;0,1,0)</ns0:f>
        <ns0:v>1</ns0:v>
      </ns0:c>
      <ns0:c r="G153">
        <ns0:f>IF(COUNTIFS(Cases!$B$2:$B$1859,A153,Cases!$L$2:$L$1859,1)&gt;0,1,0)</ns0:f>
        <ns0:v>1</ns0:v>
      </ns0:c>
      <ns0:c r="H153">
        <ns0:f>IF(COUNTIFS(Cases!$B$2:$B$1859,A153,Cases!$Q$2:$Q$1859,1)&gt;0,1,0)</ns0:f>
        <ns0:v>0</ns0:v>
      </ns0:c>
      <ns0:c r="I153">
        <ns0:f>IF(COUNTIFS(Cases!$B$2:$B$1859,A153,Cases!$R$2:$R$1859,1)&gt;0,1,0)</ns0:f>
        <ns0:v>0</ns0:v>
      </ns0:c>
    </ns0:row>
    <ns0:row r="154">
      <ns0:c r="A154" t="inlineStr">
        <ns0:is>
          <ns0:t>function_0153</ns0:t>
        </ns0:is>
      </ns0:c>
      <ns0:c r="B154" t="inlineStr">
        <ns0:is>
          <ns0:t>run_009</ns0:t>
        </ns0:is>
      </ns0:c>
      <ns0:c r="C154" t="inlineStr">
        <ns0:is>
          <ns0:t>humantime</ns0:t>
        </ns0:is>
      </ns0:c>
      <ns0:c r="D154" t="inlineStr">
        <ns0:is>
          <ns0:t>gpt-5-nano</ns0:t>
        </ns0:is>
      </ns0:c>
      <ns0:c r="E154">
        <ns0:f>COUNTIF(Cases!$B$2:$B$1859,A154)</ns0:f>
        <ns0:v>9</ns0:v>
      </ns0:c>
      <ns0:c r="F154">
        <ns0:f>IF(COUNTIFS(Cases!$B$2:$B$1859,A154,Cases!$G$2:$G$1859,1)&gt;0,1,0)</ns0:f>
        <ns0:v>1</ns0:v>
      </ns0:c>
      <ns0:c r="G154">
        <ns0:f>IF(COUNTIFS(Cases!$B$2:$B$1859,A154,Cases!$L$2:$L$1859,1)&gt;0,1,0)</ns0:f>
        <ns0:v>1</ns0:v>
      </ns0:c>
      <ns0:c r="H154">
        <ns0:f>IF(COUNTIFS(Cases!$B$2:$B$1859,A154,Cases!$Q$2:$Q$1859,1)&gt;0,1,0)</ns0:f>
        <ns0:v>1</ns0:v>
      </ns0:c>
      <ns0:c r="I154">
        <ns0:f>IF(COUNTIFS(Cases!$B$2:$B$1859,A154,Cases!$R$2:$R$1859,1)&gt;0,1,0)</ns0:f>
        <ns0:v>1</ns0:v>
      </ns0:c>
    </ns0:row>
    <ns0:row r="155">
      <ns0:c r="A155" t="inlineStr">
        <ns0:is>
          <ns0:t>function_0154</ns0:t>
        </ns0:is>
      </ns0:c>
      <ns0:c r="B155" t="inlineStr">
        <ns0:is>
          <ns0:t>run_009</ns0:t>
        </ns0:is>
      </ns0:c>
      <ns0:c r="C155" t="inlineStr">
        <ns0:is>
          <ns0:t>humantime</ns0:t>
        </ns0:is>
      </ns0:c>
      <ns0:c r="D155" t="inlineStr">
        <ns0:is>
          <ns0:t>gpt-5-nano</ns0:t>
        </ns0:is>
      </ns0:c>
      <ns0:c r="E155">
        <ns0:f>COUNTIF(Cases!$B$2:$B$1859,A155)</ns0:f>
        <ns0:v>12</ns0:v>
      </ns0:c>
      <ns0:c r="F155">
        <ns0:f>IF(COUNTIFS(Cases!$B$2:$B$1859,A155,Cases!$G$2:$G$1859,1)&gt;0,1,0)</ns0:f>
        <ns0:v>1</ns0:v>
      </ns0:c>
      <ns0:c r="G155">
        <ns0:f>IF(COUNTIFS(Cases!$B$2:$B$1859,A155,Cases!$L$2:$L$1859,1)&gt;0,1,0)</ns0:f>
        <ns0:v>1</ns0:v>
      </ns0:c>
      <ns0:c r="H155">
        <ns0:f>IF(COUNTIFS(Cases!$B$2:$B$1859,A155,Cases!$Q$2:$Q$1859,1)&gt;0,1,0)</ns0:f>
        <ns0:v>0</ns0:v>
      </ns0:c>
      <ns0:c r="I155">
        <ns0:f>IF(COUNTIFS(Cases!$B$2:$B$1859,A155,Cases!$R$2:$R$1859,1)&gt;0,1,0)</ns0:f>
        <ns0:v>1</ns0:v>
      </ns0:c>
    </ns0:row>
    <ns0:row r="156">
      <ns0:c r="A156" t="inlineStr">
        <ns0:is>
          <ns0:t>function_0155</ns0:t>
        </ns0:is>
      </ns0:c>
      <ns0:c r="B156" t="inlineStr">
        <ns0:is>
          <ns0:t>run_009</ns0:t>
        </ns0:is>
      </ns0:c>
      <ns0:c r="C156" t="inlineStr">
        <ns0:is>
          <ns0:t>humantime</ns0:t>
        </ns0:is>
      </ns0:c>
      <ns0:c r="D156" t="inlineStr">
        <ns0:is>
          <ns0:t>gpt-5-nano</ns0:t>
        </ns0:is>
      </ns0:c>
      <ns0:c r="E156">
        <ns0:f>COUNTIF(Cases!$B$2:$B$1859,A156)</ns0:f>
        <ns0:v>12</ns0:v>
      </ns0:c>
      <ns0:c r="F156">
        <ns0:f>IF(COUNTIFS(Cases!$B$2:$B$1859,A156,Cases!$G$2:$G$1859,1)&gt;0,1,0)</ns0:f>
        <ns0:v>1</ns0:v>
      </ns0:c>
      <ns0:c r="G156">
        <ns0:f>IF(COUNTIFS(Cases!$B$2:$B$1859,A156,Cases!$L$2:$L$1859,1)&gt;0,1,0)</ns0:f>
        <ns0:v>1</ns0:v>
      </ns0:c>
      <ns0:c r="H156">
        <ns0:f>IF(COUNTIFS(Cases!$B$2:$B$1859,A156,Cases!$Q$2:$Q$1859,1)&gt;0,1,0)</ns0:f>
        <ns0:v>0</ns0:v>
      </ns0:c>
      <ns0:c r="I156">
        <ns0:f>IF(COUNTIFS(Cases!$B$2:$B$1859,A156,Cases!$R$2:$R$1859,1)&gt;0,1,0)</ns0:f>
        <ns0:v>0</ns0:v>
      </ns0:c>
    </ns0:row>
    <ns0:row r="157">
      <ns0:c r="A157" t="inlineStr">
        <ns0:is>
          <ns0:t>function_0156</ns0:t>
        </ns0:is>
      </ns0:c>
      <ns0:c r="B157" t="inlineStr">
        <ns0:is>
          <ns0:t>run_009</ns0:t>
        </ns0:is>
      </ns0:c>
      <ns0:c r="C157" t="inlineStr">
        <ns0:is>
          <ns0:t>humantime</ns0:t>
        </ns0:is>
      </ns0:c>
      <ns0:c r="D157" t="inlineStr">
        <ns0:is>
          <ns0:t>gpt-5-nano</ns0:t>
        </ns0:is>
      </ns0:c>
      <ns0:c r="E157">
        <ns0:f>COUNTIF(Cases!$B$2:$B$1859,A157)</ns0:f>
        <ns0:v>12</ns0:v>
      </ns0:c>
      <ns0:c r="F157">
        <ns0:f>IF(COUNTIFS(Cases!$B$2:$B$1859,A157,Cases!$G$2:$G$1859,1)&gt;0,1,0)</ns0:f>
        <ns0:v>0</ns0:v>
      </ns0:c>
      <ns0:c r="G157">
        <ns0:f>IF(COUNTIFS(Cases!$B$2:$B$1859,A157,Cases!$L$2:$L$1859,1)&gt;0,1,0)</ns0:f>
        <ns0:v>1</ns0:v>
      </ns0:c>
      <ns0:c r="H157">
        <ns0:f>IF(COUNTIFS(Cases!$B$2:$B$1859,A157,Cases!$Q$2:$Q$1859,1)&gt;0,1,0)</ns0:f>
        <ns0:v>0</ns0:v>
      </ns0:c>
      <ns0:c r="I157">
        <ns0:f>IF(COUNTIFS(Cases!$B$2:$B$1859,A157,Cases!$R$2:$R$1859,1)&gt;0,1,0)</ns0:f>
        <ns0:v>0</ns0:v>
      </ns0:c>
    </ns0:row>
    <ns0:row r="158">
      <ns0:c r="A158" t="inlineStr">
        <ns0:is>
          <ns0:t>function_0157</ns0:t>
        </ns0:is>
      </ns0:c>
      <ns0:c r="B158" t="inlineStr">
        <ns0:is>
          <ns0:t>run_009</ns0:t>
        </ns0:is>
      </ns0:c>
      <ns0:c r="C158" t="inlineStr">
        <ns0:is>
          <ns0:t>humantime</ns0:t>
        </ns0:is>
      </ns0:c>
      <ns0:c r="D158" t="inlineStr">
        <ns0:is>
          <ns0:t>gpt-5-nano</ns0:t>
        </ns0:is>
      </ns0:c>
      <ns0:c r="E158">
        <ns0:f>COUNTIF(Cases!$B$2:$B$1859,A158)</ns0:f>
        <ns0:v>12</ns0:v>
      </ns0:c>
      <ns0:c r="F158">
        <ns0:f>IF(COUNTIFS(Cases!$B$2:$B$1859,A158,Cases!$G$2:$G$1859,1)&gt;0,1,0)</ns0:f>
        <ns0:v>0</ns0:v>
      </ns0:c>
      <ns0:c r="G158">
        <ns0:f>IF(COUNTIFS(Cases!$B$2:$B$1859,A158,Cases!$L$2:$L$1859,1)&gt;0,1,0)</ns0:f>
        <ns0:v>1</ns0:v>
      </ns0:c>
      <ns0:c r="H158">
        <ns0:f>IF(COUNTIFS(Cases!$B$2:$B$1859,A158,Cases!$Q$2:$Q$1859,1)&gt;0,1,0)</ns0:f>
        <ns0:v>0</ns0:v>
      </ns0:c>
      <ns0:c r="I158">
        <ns0:f>IF(COUNTIFS(Cases!$B$2:$B$1859,A158,Cases!$R$2:$R$1859,1)&gt;0,1,0)</ns0:f>
        <ns0:v>0</ns0:v>
      </ns0:c>
    </ns0:row>
    <ns0:row r="159">
      <ns0:c r="A159" t="inlineStr">
        <ns0:is>
          <ns0:t>function_0158</ns0:t>
        </ns0:is>
      </ns0:c>
      <ns0:c r="B159" t="inlineStr">
        <ns0:is>
          <ns0:t>run_009</ns0:t>
        </ns0:is>
      </ns0:c>
      <ns0:c r="C159" t="inlineStr">
        <ns0:is>
          <ns0:t>humantime</ns0:t>
        </ns0:is>
      </ns0:c>
      <ns0:c r="D159" t="inlineStr">
        <ns0:is>
          <ns0:t>gpt-5-nano</ns0:t>
        </ns0:is>
      </ns0:c>
      <ns0:c r="E159">
        <ns0:f>COUNTIF(Cases!$B$2:$B$1859,A159)</ns0:f>
        <ns0:v>6</ns0:v>
      </ns0:c>
      <ns0:c r="F159">
        <ns0:f>IF(COUNTIFS(Cases!$B$2:$B$1859,A159,Cases!$G$2:$G$1859,1)&gt;0,1,0)</ns0:f>
        <ns0:v>1</ns0:v>
      </ns0:c>
      <ns0:c r="G159">
        <ns0:f>IF(COUNTIFS(Cases!$B$2:$B$1859,A159,Cases!$L$2:$L$1859,1)&gt;0,1,0)</ns0:f>
        <ns0:v>1</ns0:v>
      </ns0:c>
      <ns0:c r="H159">
        <ns0:f>IF(COUNTIFS(Cases!$B$2:$B$1859,A159,Cases!$Q$2:$Q$1859,1)&gt;0,1,0)</ns0:f>
        <ns0:v>0</ns0:v>
      </ns0:c>
      <ns0:c r="I159">
        <ns0:f>IF(COUNTIFS(Cases!$B$2:$B$1859,A159,Cases!$R$2:$R$1859,1)&gt;0,1,0)</ns0:f>
        <ns0:v>1</ns0:v>
      </ns0:c>
    </ns0:row>
    <ns0:row r="160">
      <ns0:c r="A160" t="inlineStr">
        <ns0:is>
          <ns0:t>function_0159</ns0:t>
        </ns0:is>
      </ns0:c>
      <ns0:c r="B160" t="inlineStr">
        <ns0:is>
          <ns0:t>run_010</ns0:t>
        </ns0:is>
      </ns0:c>
      <ns0:c r="C160" t="inlineStr">
        <ns0:is>
          <ns0:t>itoa</ns0:t>
        </ns0:is>
      </ns0:c>
      <ns0:c r="D160" t="inlineStr">
        <ns0:is>
          <ns0:t>gemini-2.5-flash-nothinking</ns0:t>
        </ns0:is>
      </ns0:c>
      <ns0:c r="E160">
        <ns0:f>COUNTIF(Cases!$B$2:$B$1859,A160)</ns0:f>
        <ns0:v>2</ns0:v>
      </ns0:c>
      <ns0:c r="F160">
        <ns0:f>IF(COUNTIFS(Cases!$B$2:$B$1859,A160,Cases!$G$2:$G$1859,1)&gt;0,1,0)</ns0:f>
        <ns0:v>1</ns0:v>
      </ns0:c>
      <ns0:c r="G160">
        <ns0:f>IF(COUNTIFS(Cases!$B$2:$B$1859,A160,Cases!$L$2:$L$1859,1)&gt;0,1,0)</ns0:f>
        <ns0:v>1</ns0:v>
      </ns0:c>
      <ns0:c r="H160">
        <ns0:f>IF(COUNTIFS(Cases!$B$2:$B$1859,A160,Cases!$Q$2:$Q$1859,1)&gt;0,1,0)</ns0:f>
        <ns0:v>0</ns0:v>
      </ns0:c>
      <ns0:c r="I160">
        <ns0:f>IF(COUNTIFS(Cases!$B$2:$B$1859,A160,Cases!$R$2:$R$1859,1)&gt;0,1,0)</ns0:f>
        <ns0:v>1</ns0:v>
      </ns0:c>
    </ns0:row>
    <ns0:row r="161">
      <ns0:c r="A161" t="inlineStr">
        <ns0:is>
          <ns0:t>function_0160</ns0:t>
        </ns0:is>
      </ns0:c>
      <ns0:c r="B161" t="inlineStr">
        <ns0:is>
          <ns0:t>run_010</ns0:t>
        </ns0:is>
      </ns0:c>
      <ns0:c r="C161" t="inlineStr">
        <ns0:is>
          <ns0:t>itoa</ns0:t>
        </ns0:is>
      </ns0:c>
      <ns0:c r="D161" t="inlineStr">
        <ns0:is>
          <ns0:t>gemini-2.5-flash-nothinking</ns0:t>
        </ns0:is>
      </ns0:c>
      <ns0:c r="E161">
        <ns0:f>COUNTIF(Cases!$B$2:$B$1859,A161)</ns0:f>
        <ns0:v>1</ns0:v>
      </ns0:c>
      <ns0:c r="F161">
        <ns0:f>IF(COUNTIFS(Cases!$B$2:$B$1859,A161,Cases!$G$2:$G$1859,1)&gt;0,1,0)</ns0:f>
        <ns0:v>1</ns0:v>
      </ns0:c>
      <ns0:c r="G161">
        <ns0:f>IF(COUNTIFS(Cases!$B$2:$B$1859,A161,Cases!$L$2:$L$1859,1)&gt;0,1,0)</ns0:f>
        <ns0:v>1</ns0:v>
      </ns0:c>
      <ns0:c r="H161">
        <ns0:f>IF(COUNTIFS(Cases!$B$2:$B$1859,A161,Cases!$Q$2:$Q$1859,1)&gt;0,1,0)</ns0:f>
        <ns0:v>0</ns0:v>
      </ns0:c>
      <ns0:c r="I161">
        <ns0:f>IF(COUNTIFS(Cases!$B$2:$B$1859,A161,Cases!$R$2:$R$1859,1)&gt;0,1,0)</ns0:f>
        <ns0:v>1</ns0:v>
      </ns0:c>
    </ns0:row>
    <ns0:row r="162">
      <ns0:c r="A162" t="inlineStr">
        <ns0:is>
          <ns0:t>function_0161</ns0:t>
        </ns0:is>
      </ns0:c>
      <ns0:c r="B162" t="inlineStr">
        <ns0:is>
          <ns0:t>run_010</ns0:t>
        </ns0:is>
      </ns0:c>
      <ns0:c r="C162" t="inlineStr">
        <ns0:is>
          <ns0:t>itoa</ns0:t>
        </ns0:is>
      </ns0:c>
      <ns0:c r="D162" t="inlineStr">
        <ns0:is>
          <ns0:t>gemini-2.5-flash-nothinking</ns0:t>
        </ns0:is>
      </ns0:c>
      <ns0:c r="E162">
        <ns0:f>COUNTIF(Cases!$B$2:$B$1859,A162)</ns0:f>
        <ns0:v>2</ns0:v>
      </ns0:c>
      <ns0:c r="F162">
        <ns0:f>IF(COUNTIFS(Cases!$B$2:$B$1859,A162,Cases!$G$2:$G$1859,1)&gt;0,1,0)</ns0:f>
        <ns0:v>1</ns0:v>
      </ns0:c>
      <ns0:c r="G162">
        <ns0:f>IF(COUNTIFS(Cases!$B$2:$B$1859,A162,Cases!$L$2:$L$1859,1)&gt;0,1,0)</ns0:f>
        <ns0:v>1</ns0:v>
      </ns0:c>
      <ns0:c r="H162">
        <ns0:f>IF(COUNTIFS(Cases!$B$2:$B$1859,A162,Cases!$Q$2:$Q$1859,1)&gt;0,1,0)</ns0:f>
        <ns0:v>0</ns0:v>
      </ns0:c>
      <ns0:c r="I162">
        <ns0:f>IF(COUNTIFS(Cases!$B$2:$B$1859,A162,Cases!$R$2:$R$1859,1)&gt;0,1,0)</ns0:f>
        <ns0:v>0</ns0:v>
      </ns0:c>
    </ns0:row>
    <ns0:row r="163">
      <ns0:c r="A163" t="inlineStr">
        <ns0:is>
          <ns0:t>function_0162</ns0:t>
        </ns0:is>
      </ns0:c>
      <ns0:c r="B163" t="inlineStr">
        <ns0:is>
          <ns0:t>run_010</ns0:t>
        </ns0:is>
      </ns0:c>
      <ns0:c r="C163" t="inlineStr">
        <ns0:is>
          <ns0:t>itoa</ns0:t>
        </ns0:is>
      </ns0:c>
      <ns0:c r="D163" t="inlineStr">
        <ns0:is>
          <ns0:t>gemini-2.5-flash-nothinking</ns0:t>
        </ns0:is>
      </ns0:c>
      <ns0:c r="E163">
        <ns0:f>COUNTIF(Cases!$B$2:$B$1859,A163)</ns0:f>
        <ns0:v>1</ns0:v>
      </ns0:c>
      <ns0:c r="F163">
        <ns0:f>IF(COUNTIFS(Cases!$B$2:$B$1859,A163,Cases!$G$2:$G$1859,1)&gt;0,1,0)</ns0:f>
        <ns0:v>1</ns0:v>
      </ns0:c>
      <ns0:c r="G163">
        <ns0:f>IF(COUNTIFS(Cases!$B$2:$B$1859,A163,Cases!$L$2:$L$1859,1)&gt;0,1,0)</ns0:f>
        <ns0:v>1</ns0:v>
      </ns0:c>
      <ns0:c r="H163">
        <ns0:f>IF(COUNTIFS(Cases!$B$2:$B$1859,A163,Cases!$Q$2:$Q$1859,1)&gt;0,1,0)</ns0:f>
        <ns0:v>1</ns0:v>
      </ns0:c>
      <ns0:c r="I163">
        <ns0:f>IF(COUNTIFS(Cases!$B$2:$B$1859,A163,Cases!$R$2:$R$1859,1)&gt;0,1,0)</ns0:f>
        <ns0:v>1</ns0:v>
      </ns0:c>
    </ns0:row>
    <ns0:row r="164">
      <ns0:c r="A164" t="inlineStr">
        <ns0:is>
          <ns0:t>function_0163</ns0:t>
        </ns0:is>
      </ns0:c>
      <ns0:c r="B164" t="inlineStr">
        <ns0:is>
          <ns0:t>run_010</ns0:t>
        </ns0:is>
      </ns0:c>
      <ns0:c r="C164" t="inlineStr">
        <ns0:is>
          <ns0:t>itoa</ns0:t>
        </ns0:is>
      </ns0:c>
      <ns0:c r="D164" t="inlineStr">
        <ns0:is>
          <ns0:t>gemini-2.5-flash-nothinking</ns0:t>
        </ns0:is>
      </ns0:c>
      <ns0:c r="E164">
        <ns0:f>COUNTIF(Cases!$B$2:$B$1859,A164)</ns0:f>
        <ns0:v>1</ns0:v>
      </ns0:c>
      <ns0:c r="F164">
        <ns0:f>IF(COUNTIFS(Cases!$B$2:$B$1859,A164,Cases!$G$2:$G$1859,1)&gt;0,1,0)</ns0:f>
        <ns0:v>1</ns0:v>
      </ns0:c>
      <ns0:c r="G164">
        <ns0:f>IF(COUNTIFS(Cases!$B$2:$B$1859,A164,Cases!$L$2:$L$1859,1)&gt;0,1,0)</ns0:f>
        <ns0:v>1</ns0:v>
      </ns0:c>
      <ns0:c r="H164">
        <ns0:f>IF(COUNTIFS(Cases!$B$2:$B$1859,A164,Cases!$Q$2:$Q$1859,1)&gt;0,1,0)</ns0:f>
        <ns0:v>0</ns0:v>
      </ns0:c>
      <ns0:c r="I164">
        <ns0:f>IF(COUNTIFS(Cases!$B$2:$B$1859,A164,Cases!$R$2:$R$1859,1)&gt;0,1,0)</ns0:f>
        <ns0:v>1</ns0:v>
      </ns0:c>
    </ns0:row>
    <ns0:row r="165">
      <ns0:c r="A165" t="inlineStr">
        <ns0:is>
          <ns0:t>function_0164</ns0:t>
        </ns0:is>
      </ns0:c>
      <ns0:c r="B165" t="inlineStr">
        <ns0:is>
          <ns0:t>run_010</ns0:t>
        </ns0:is>
      </ns0:c>
      <ns0:c r="C165" t="inlineStr">
        <ns0:is>
          <ns0:t>itoa</ns0:t>
        </ns0:is>
      </ns0:c>
      <ns0:c r="D165" t="inlineStr">
        <ns0:is>
          <ns0:t>gemini-2.5-flash-nothinking</ns0:t>
        </ns0:is>
      </ns0:c>
      <ns0:c r="E165">
        <ns0:f>COUNTIF(Cases!$B$2:$B$1859,A165)</ns0:f>
        <ns0:v>2</ns0:v>
      </ns0:c>
      <ns0:c r="F165">
        <ns0:f>IF(COUNTIFS(Cases!$B$2:$B$1859,A165,Cases!$G$2:$G$1859,1)&gt;0,1,0)</ns0:f>
        <ns0:v>1</ns0:v>
      </ns0:c>
      <ns0:c r="G165">
        <ns0:f>IF(COUNTIFS(Cases!$B$2:$B$1859,A165,Cases!$L$2:$L$1859,1)&gt;0,1,0)</ns0:f>
        <ns0:v>1</ns0:v>
      </ns0:c>
      <ns0:c r="H165">
        <ns0:f>IF(COUNTIFS(Cases!$B$2:$B$1859,A165,Cases!$Q$2:$Q$1859,1)&gt;0,1,0)</ns0:f>
        <ns0:v>1</ns0:v>
      </ns0:c>
      <ns0:c r="I165">
        <ns0:f>IF(COUNTIFS(Cases!$B$2:$B$1859,A165,Cases!$R$2:$R$1859,1)&gt;0,1,0)</ns0:f>
        <ns0:v>1</ns0:v>
      </ns0:c>
    </ns0:row>
    <ns0:row r="166">
      <ns0:c r="A166" t="inlineStr">
        <ns0:is>
          <ns0:t>function_0165</ns0:t>
        </ns0:is>
      </ns0:c>
      <ns0:c r="B166" t="inlineStr">
        <ns0:is>
          <ns0:t>run_010</ns0:t>
        </ns0:is>
      </ns0:c>
      <ns0:c r="C166" t="inlineStr">
        <ns0:is>
          <ns0:t>itoa</ns0:t>
        </ns0:is>
      </ns0:c>
      <ns0:c r="D166" t="inlineStr">
        <ns0:is>
          <ns0:t>gemini-2.5-flash-nothinking</ns0:t>
        </ns0:is>
      </ns0:c>
      <ns0:c r="E166">
        <ns0:f>COUNTIF(Cases!$B$2:$B$1859,A166)</ns0:f>
        <ns0:v>2</ns0:v>
      </ns0:c>
      <ns0:c r="F166">
        <ns0:f>IF(COUNTIFS(Cases!$B$2:$B$1859,A166,Cases!$G$2:$G$1859,1)&gt;0,1,0)</ns0:f>
        <ns0:v>1</ns0:v>
      </ns0:c>
      <ns0:c r="G166">
        <ns0:f>IF(COUNTIFS(Cases!$B$2:$B$1859,A166,Cases!$L$2:$L$1859,1)&gt;0,1,0)</ns0:f>
        <ns0:v>1</ns0:v>
      </ns0:c>
      <ns0:c r="H166">
        <ns0:f>IF(COUNTIFS(Cases!$B$2:$B$1859,A166,Cases!$Q$2:$Q$1859,1)&gt;0,1,0)</ns0:f>
        <ns0:v>0</ns0:v>
      </ns0:c>
      <ns0:c r="I166">
        <ns0:f>IF(COUNTIFS(Cases!$B$2:$B$1859,A166,Cases!$R$2:$R$1859,1)&gt;0,1,0)</ns0:f>
        <ns0:v>1</ns0:v>
      </ns0:c>
    </ns0:row>
    <ns0:row r="167">
      <ns0:c r="A167" t="inlineStr">
        <ns0:is>
          <ns0:t>function_0166</ns0:t>
        </ns0:is>
      </ns0:c>
      <ns0:c r="B167" t="inlineStr">
        <ns0:is>
          <ns0:t>run_011</ns0:t>
        </ns0:is>
      </ns0:c>
      <ns0:c r="C167" t="inlineStr">
        <ns0:is>
          <ns0:t>log</ns0:t>
        </ns0:is>
      </ns0:c>
      <ns0:c r="D167" t="inlineStr">
        <ns0:is>
          <ns0:t>gemini-2.5-flash-nothinking</ns0:t>
        </ns0:is>
      </ns0:c>
      <ns0:c r="E167">
        <ns0:f>COUNTIF(Cases!$B$2:$B$1859,A167)</ns0:f>
        <ns0:v>1</ns0:v>
      </ns0:c>
      <ns0:c r="F167">
        <ns0:f>IF(COUNTIFS(Cases!$B$2:$B$1859,A167,Cases!$G$2:$G$1859,1)&gt;0,1,0)</ns0:f>
        <ns0:v>1</ns0:v>
      </ns0:c>
      <ns0:c r="G167">
        <ns0:f>IF(COUNTIFS(Cases!$B$2:$B$1859,A167,Cases!$L$2:$L$1859,1)&gt;0,1,0)</ns0:f>
        <ns0:v>1</ns0:v>
      </ns0:c>
      <ns0:c r="H167">
        <ns0:f>IF(COUNTIFS(Cases!$B$2:$B$1859,A167,Cases!$Q$2:$Q$1859,1)&gt;0,1,0)</ns0:f>
        <ns0:v>1</ns0:v>
      </ns0:c>
      <ns0:c r="I167">
        <ns0:f>IF(COUNTIFS(Cases!$B$2:$B$1859,A167,Cases!$R$2:$R$1859,1)&gt;0,1,0)</ns0:f>
        <ns0:v>1</ns0:v>
      </ns0:c>
    </ns0:row>
    <ns0:row r="168">
      <ns0:c r="A168" t="inlineStr">
        <ns0:is>
          <ns0:t>function_0167</ns0:t>
        </ns0:is>
      </ns0:c>
      <ns0:c r="B168" t="inlineStr">
        <ns0:is>
          <ns0:t>run_011</ns0:t>
        </ns0:is>
      </ns0:c>
      <ns0:c r="C168" t="inlineStr">
        <ns0:is>
          <ns0:t>log</ns0:t>
        </ns0:is>
      </ns0:c>
      <ns0:c r="D168" t="inlineStr">
        <ns0:is>
          <ns0:t>gemini-2.5-flash-nothinking</ns0:t>
        </ns0:is>
      </ns0:c>
      <ns0:c r="E168">
        <ns0:f>COUNTIF(Cases!$B$2:$B$1859,A168)</ns0:f>
        <ns0:v>1</ns0:v>
      </ns0:c>
      <ns0:c r="F168">
        <ns0:f>IF(COUNTIFS(Cases!$B$2:$B$1859,A168,Cases!$G$2:$G$1859,1)&gt;0,1,0)</ns0:f>
        <ns0:v>0</ns0:v>
      </ns0:c>
      <ns0:c r="G168">
        <ns0:f>IF(COUNTIFS(Cases!$B$2:$B$1859,A168,Cases!$L$2:$L$1859,1)&gt;0,1,0)</ns0:f>
        <ns0:v>1</ns0:v>
      </ns0:c>
      <ns0:c r="H168">
        <ns0:f>IF(COUNTIFS(Cases!$B$2:$B$1859,A168,Cases!$Q$2:$Q$1859,1)&gt;0,1,0)</ns0:f>
        <ns0:v>0</ns0:v>
      </ns0:c>
      <ns0:c r="I168">
        <ns0:f>IF(COUNTIFS(Cases!$B$2:$B$1859,A168,Cases!$R$2:$R$1859,1)&gt;0,1,0)</ns0:f>
        <ns0:v>0</ns0:v>
      </ns0:c>
    </ns0:row>
    <ns0:row r="169">
      <ns0:c r="A169" t="inlineStr">
        <ns0:is>
          <ns0:t>function_0168</ns0:t>
        </ns0:is>
      </ns0:c>
      <ns0:c r="B169" t="inlineStr">
        <ns0:is>
          <ns0:t>run_011</ns0:t>
        </ns0:is>
      </ns0:c>
      <ns0:c r="C169" t="inlineStr">
        <ns0:is>
          <ns0:t>log</ns0:t>
        </ns0:is>
      </ns0:c>
      <ns0:c r="D169" t="inlineStr">
        <ns0:is>
          <ns0:t>gemini-2.5-flash-nothinking</ns0:t>
        </ns0:is>
      </ns0:c>
      <ns0:c r="E169">
        <ns0:f>COUNTIF(Cases!$B$2:$B$1859,A169)</ns0:f>
        <ns0:v>2</ns0:v>
      </ns0:c>
      <ns0:c r="F169">
        <ns0:f>IF(COUNTIFS(Cases!$B$2:$B$1859,A169,Cases!$G$2:$G$1859,1)&gt;0,1,0)</ns0:f>
        <ns0:v>1</ns0:v>
      </ns0:c>
      <ns0:c r="G169">
        <ns0:f>IF(COUNTIFS(Cases!$B$2:$B$1859,A169,Cases!$L$2:$L$1859,1)&gt;0,1,0)</ns0:f>
        <ns0:v>1</ns0:v>
      </ns0:c>
      <ns0:c r="H169">
        <ns0:f>IF(COUNTIFS(Cases!$B$2:$B$1859,A169,Cases!$Q$2:$Q$1859,1)&gt;0,1,0)</ns0:f>
        <ns0:v>0</ns0:v>
      </ns0:c>
      <ns0:c r="I169">
        <ns0:f>IF(COUNTIFS(Cases!$B$2:$B$1859,A169,Cases!$R$2:$R$1859,1)&gt;0,1,0)</ns0:f>
        <ns0:v>0</ns0:v>
      </ns0:c>
    </ns0:row>
    <ns0:row r="170">
      <ns0:c r="A170" t="inlineStr">
        <ns0:is>
          <ns0:t>function_0169</ns0:t>
        </ns0:is>
      </ns0:c>
      <ns0:c r="B170" t="inlineStr">
        <ns0:is>
          <ns0:t>run_011</ns0:t>
        </ns0:is>
      </ns0:c>
      <ns0:c r="C170" t="inlineStr">
        <ns0:is>
          <ns0:t>log</ns0:t>
        </ns0:is>
      </ns0:c>
      <ns0:c r="D170" t="inlineStr">
        <ns0:is>
          <ns0:t>gemini-2.5-flash-nothinking</ns0:t>
        </ns0:is>
      </ns0:c>
      <ns0:c r="E170">
        <ns0:f>COUNTIF(Cases!$B$2:$B$1859,A170)</ns0:f>
        <ns0:v>2</ns0:v>
      </ns0:c>
      <ns0:c r="F170">
        <ns0:f>IF(COUNTIFS(Cases!$B$2:$B$1859,A170,Cases!$G$2:$G$1859,1)&gt;0,1,0)</ns0:f>
        <ns0:v>0</ns0:v>
      </ns0:c>
      <ns0:c r="G170">
        <ns0:f>IF(COUNTIFS(Cases!$B$2:$B$1859,A170,Cases!$L$2:$L$1859,1)&gt;0,1,0)</ns0:f>
        <ns0:v>1</ns0:v>
      </ns0:c>
      <ns0:c r="H170">
        <ns0:f>IF(COUNTIFS(Cases!$B$2:$B$1859,A170,Cases!$Q$2:$Q$1859,1)&gt;0,1,0)</ns0:f>
        <ns0:v>1</ns0:v>
      </ns0:c>
      <ns0:c r="I170">
        <ns0:f>IF(COUNTIFS(Cases!$B$2:$B$1859,A170,Cases!$R$2:$R$1859,1)&gt;0,1,0)</ns0:f>
        <ns0:v>1</ns0:v>
      </ns0:c>
    </ns0:row>
    <ns0:row r="171">
      <ns0:c r="A171" t="inlineStr">
        <ns0:is>
          <ns0:t>function_0170</ns0:t>
        </ns0:is>
      </ns0:c>
      <ns0:c r="B171" t="inlineStr">
        <ns0:is>
          <ns0:t>run_011</ns0:t>
        </ns0:is>
      </ns0:c>
      <ns0:c r="C171" t="inlineStr">
        <ns0:is>
          <ns0:t>log</ns0:t>
        </ns0:is>
      </ns0:c>
      <ns0:c r="D171" t="inlineStr">
        <ns0:is>
          <ns0:t>gemini-2.5-flash-nothinking</ns0:t>
        </ns0:is>
      </ns0:c>
      <ns0:c r="E171">
        <ns0:f>COUNTIF(Cases!$B$2:$B$1859,A171)</ns0:f>
        <ns0:v>2</ns0:v>
      </ns0:c>
      <ns0:c r="F171">
        <ns0:f>IF(COUNTIFS(Cases!$B$2:$B$1859,A171,Cases!$G$2:$G$1859,1)&gt;0,1,0)</ns0:f>
        <ns0:v>0</ns0:v>
      </ns0:c>
      <ns0:c r="G171">
        <ns0:f>IF(COUNTIFS(Cases!$B$2:$B$1859,A171,Cases!$L$2:$L$1859,1)&gt;0,1,0)</ns0:f>
        <ns0:v>1</ns0:v>
      </ns0:c>
      <ns0:c r="H171">
        <ns0:f>IF(COUNTIFS(Cases!$B$2:$B$1859,A171,Cases!$Q$2:$Q$1859,1)&gt;0,1,0)</ns0:f>
        <ns0:v>0</ns0:v>
      </ns0:c>
      <ns0:c r="I171">
        <ns0:f>IF(COUNTIFS(Cases!$B$2:$B$1859,A171,Cases!$R$2:$R$1859,1)&gt;0,1,0)</ns0:f>
        <ns0:v>0</ns0:v>
      </ns0:c>
    </ns0:row>
    <ns0:row r="172">
      <ns0:c r="A172" t="inlineStr">
        <ns0:is>
          <ns0:t>function_0171</ns0:t>
        </ns0:is>
      </ns0:c>
      <ns0:c r="B172" t="inlineStr">
        <ns0:is>
          <ns0:t>run_011</ns0:t>
        </ns0:is>
      </ns0:c>
      <ns0:c r="C172" t="inlineStr">
        <ns0:is>
          <ns0:t>log</ns0:t>
        </ns0:is>
      </ns0:c>
      <ns0:c r="D172" t="inlineStr">
        <ns0:is>
          <ns0:t>gemini-2.5-flash-nothinking</ns0:t>
        </ns0:is>
      </ns0:c>
      <ns0:c r="E172">
        <ns0:f>COUNTIF(Cases!$B$2:$B$1859,A172)</ns0:f>
        <ns0:v>2</ns0:v>
      </ns0:c>
      <ns0:c r="F172">
        <ns0:f>IF(COUNTIFS(Cases!$B$2:$B$1859,A172,Cases!$G$2:$G$1859,1)&gt;0,1,0)</ns0:f>
        <ns0:v>0</ns0:v>
      </ns0:c>
      <ns0:c r="G172">
        <ns0:f>IF(COUNTIFS(Cases!$B$2:$B$1859,A172,Cases!$L$2:$L$1859,1)&gt;0,1,0)</ns0:f>
        <ns0:v>1</ns0:v>
      </ns0:c>
      <ns0:c r="H172">
        <ns0:f>IF(COUNTIFS(Cases!$B$2:$B$1859,A172,Cases!$Q$2:$Q$1859,1)&gt;0,1,0)</ns0:f>
        <ns0:v>1</ns0:v>
      </ns0:c>
      <ns0:c r="I172">
        <ns0:f>IF(COUNTIFS(Cases!$B$2:$B$1859,A172,Cases!$R$2:$R$1859,1)&gt;0,1,0)</ns0:f>
        <ns0:v>1</ns0:v>
      </ns0:c>
    </ns0:row>
    <ns0:row r="173">
      <ns0:c r="A173" t="inlineStr">
        <ns0:is>
          <ns0:t>function_0172</ns0:t>
        </ns0:is>
      </ns0:c>
      <ns0:c r="B173" t="inlineStr">
        <ns0:is>
          <ns0:t>run_011</ns0:t>
        </ns0:is>
      </ns0:c>
      <ns0:c r="C173" t="inlineStr">
        <ns0:is>
          <ns0:t>log</ns0:t>
        </ns0:is>
      </ns0:c>
      <ns0:c r="D173" t="inlineStr">
        <ns0:is>
          <ns0:t>gemini-2.5-flash-nothinking</ns0:t>
        </ns0:is>
      </ns0:c>
      <ns0:c r="E173">
        <ns0:f>COUNTIF(Cases!$B$2:$B$1859,A173)</ns0:f>
        <ns0:v>2</ns0:v>
      </ns0:c>
      <ns0:c r="F173">
        <ns0:f>IF(COUNTIFS(Cases!$B$2:$B$1859,A173,Cases!$G$2:$G$1859,1)&gt;0,1,0)</ns0:f>
        <ns0:v>0</ns0:v>
      </ns0:c>
      <ns0:c r="G173">
        <ns0:f>IF(COUNTIFS(Cases!$B$2:$B$1859,A173,Cases!$L$2:$L$1859,1)&gt;0,1,0)</ns0:f>
        <ns0:v>1</ns0:v>
      </ns0:c>
      <ns0:c r="H173">
        <ns0:f>IF(COUNTIFS(Cases!$B$2:$B$1859,A173,Cases!$Q$2:$Q$1859,1)&gt;0,1,0)</ns0:f>
        <ns0:v>1</ns0:v>
      </ns0:c>
      <ns0:c r="I173">
        <ns0:f>IF(COUNTIFS(Cases!$B$2:$B$1859,A173,Cases!$R$2:$R$1859,1)&gt;0,1,0)</ns0:f>
        <ns0:v>1</ns0:v>
      </ns0:c>
    </ns0:row>
    <ns0:row r="174">
      <ns0:c r="A174" t="inlineStr">
        <ns0:is>
          <ns0:t>function_0173</ns0:t>
        </ns0:is>
      </ns0:c>
      <ns0:c r="B174" t="inlineStr">
        <ns0:is>
          <ns0:t>run_011</ns0:t>
        </ns0:is>
      </ns0:c>
      <ns0:c r="C174" t="inlineStr">
        <ns0:is>
          <ns0:t>log</ns0:t>
        </ns0:is>
      </ns0:c>
      <ns0:c r="D174" t="inlineStr">
        <ns0:is>
          <ns0:t>gemini-2.5-flash-nothinking</ns0:t>
        </ns0:is>
      </ns0:c>
      <ns0:c r="E174">
        <ns0:f>COUNTIF(Cases!$B$2:$B$1859,A174)</ns0:f>
        <ns0:v>2</ns0:v>
      </ns0:c>
      <ns0:c r="F174">
        <ns0:f>IF(COUNTIFS(Cases!$B$2:$B$1859,A174,Cases!$G$2:$G$1859,1)&gt;0,1,0)</ns0:f>
        <ns0:v>0</ns0:v>
      </ns0:c>
      <ns0:c r="G174">
        <ns0:f>IF(COUNTIFS(Cases!$B$2:$B$1859,A174,Cases!$L$2:$L$1859,1)&gt;0,1,0)</ns0:f>
        <ns0:v>1</ns0:v>
      </ns0:c>
      <ns0:c r="H174">
        <ns0:f>IF(COUNTIFS(Cases!$B$2:$B$1859,A174,Cases!$Q$2:$Q$1859,1)&gt;0,1,0)</ns0:f>
        <ns0:v>1</ns0:v>
      </ns0:c>
      <ns0:c r="I174">
        <ns0:f>IF(COUNTIFS(Cases!$B$2:$B$1859,A174,Cases!$R$2:$R$1859,1)&gt;0,1,0)</ns0:f>
        <ns0:v>1</ns0:v>
      </ns0:c>
    </ns0:row>
    <ns0:row r="175">
      <ns0:c r="A175" t="inlineStr">
        <ns0:is>
          <ns0:t>function_0174</ns0:t>
        </ns0:is>
      </ns0:c>
      <ns0:c r="B175" t="inlineStr">
        <ns0:is>
          <ns0:t>run_011</ns0:t>
        </ns0:is>
      </ns0:c>
      <ns0:c r="C175" t="inlineStr">
        <ns0:is>
          <ns0:t>log</ns0:t>
        </ns0:is>
      </ns0:c>
      <ns0:c r="D175" t="inlineStr">
        <ns0:is>
          <ns0:t>gemini-2.5-flash-nothinking</ns0:t>
        </ns0:is>
      </ns0:c>
      <ns0:c r="E175">
        <ns0:f>COUNTIF(Cases!$B$2:$B$1859,A175)</ns0:f>
        <ns0:v>2</ns0:v>
      </ns0:c>
      <ns0:c r="F175">
        <ns0:f>IF(COUNTIFS(Cases!$B$2:$B$1859,A175,Cases!$G$2:$G$1859,1)&gt;0,1,0)</ns0:f>
        <ns0:v>0</ns0:v>
      </ns0:c>
      <ns0:c r="G175">
        <ns0:f>IF(COUNTIFS(Cases!$B$2:$B$1859,A175,Cases!$L$2:$L$1859,1)&gt;0,1,0)</ns0:f>
        <ns0:v>1</ns0:v>
      </ns0:c>
      <ns0:c r="H175">
        <ns0:f>IF(COUNTIFS(Cases!$B$2:$B$1859,A175,Cases!$Q$2:$Q$1859,1)&gt;0,1,0)</ns0:f>
        <ns0:v>1</ns0:v>
      </ns0:c>
      <ns0:c r="I175">
        <ns0:f>IF(COUNTIFS(Cases!$B$2:$B$1859,A175,Cases!$R$2:$R$1859,1)&gt;0,1,0)</ns0:f>
        <ns0:v>1</ns0:v>
      </ns0:c>
    </ns0:row>
    <ns0:row r="176">
      <ns0:c r="A176" t="inlineStr">
        <ns0:is>
          <ns0:t>function_0175</ns0:t>
        </ns0:is>
      </ns0:c>
      <ns0:c r="B176" t="inlineStr">
        <ns0:is>
          <ns0:t>run_011</ns0:t>
        </ns0:is>
      </ns0:c>
      <ns0:c r="C176" t="inlineStr">
        <ns0:is>
          <ns0:t>log</ns0:t>
        </ns0:is>
      </ns0:c>
      <ns0:c r="D176" t="inlineStr">
        <ns0:is>
          <ns0:t>gemini-2.5-flash-nothinking</ns0:t>
        </ns0:is>
      </ns0:c>
      <ns0:c r="E176">
        <ns0:f>COUNTIF(Cases!$B$2:$B$1859,A176)</ns0:f>
        <ns0:v>2</ns0:v>
      </ns0:c>
      <ns0:c r="F176">
        <ns0:f>IF(COUNTIFS(Cases!$B$2:$B$1859,A176,Cases!$G$2:$G$1859,1)&gt;0,1,0)</ns0:f>
        <ns0:v>0</ns0:v>
      </ns0:c>
      <ns0:c r="G176">
        <ns0:f>IF(COUNTIFS(Cases!$B$2:$B$1859,A176,Cases!$L$2:$L$1859,1)&gt;0,1,0)</ns0:f>
        <ns0:v>1</ns0:v>
      </ns0:c>
      <ns0:c r="H176">
        <ns0:f>IF(COUNTIFS(Cases!$B$2:$B$1859,A176,Cases!$Q$2:$Q$1859,1)&gt;0,1,0)</ns0:f>
        <ns0:v>1</ns0:v>
      </ns0:c>
      <ns0:c r="I176">
        <ns0:f>IF(COUNTIFS(Cases!$B$2:$B$1859,A176,Cases!$R$2:$R$1859,1)&gt;0,1,0)</ns0:f>
        <ns0:v>1</ns0:v>
      </ns0:c>
    </ns0:row>
    <ns0:row r="177">
      <ns0:c r="A177" t="inlineStr">
        <ns0:is>
          <ns0:t>function_0176</ns0:t>
        </ns0:is>
      </ns0:c>
      <ns0:c r="B177" t="inlineStr">
        <ns0:is>
          <ns0:t>run_011</ns0:t>
        </ns0:is>
      </ns0:c>
      <ns0:c r="C177" t="inlineStr">
        <ns0:is>
          <ns0:t>log</ns0:t>
        </ns0:is>
      </ns0:c>
      <ns0:c r="D177" t="inlineStr">
        <ns0:is>
          <ns0:t>gemini-2.5-flash-nothinking</ns0:t>
        </ns0:is>
      </ns0:c>
      <ns0:c r="E177">
        <ns0:f>COUNTIF(Cases!$B$2:$B$1859,A177)</ns0:f>
        <ns0:v>2</ns0:v>
      </ns0:c>
      <ns0:c r="F177">
        <ns0:f>IF(COUNTIFS(Cases!$B$2:$B$1859,A177,Cases!$G$2:$G$1859,1)&gt;0,1,0)</ns0:f>
        <ns0:v>0</ns0:v>
      </ns0:c>
      <ns0:c r="G177">
        <ns0:f>IF(COUNTIFS(Cases!$B$2:$B$1859,A177,Cases!$L$2:$L$1859,1)&gt;0,1,0)</ns0:f>
        <ns0:v>1</ns0:v>
      </ns0:c>
      <ns0:c r="H177">
        <ns0:f>IF(COUNTIFS(Cases!$B$2:$B$1859,A177,Cases!$Q$2:$Q$1859,1)&gt;0,1,0)</ns0:f>
        <ns0:v>1</ns0:v>
      </ns0:c>
      <ns0:c r="I177">
        <ns0:f>IF(COUNTIFS(Cases!$B$2:$B$1859,A177,Cases!$R$2:$R$1859,1)&gt;0,1,0)</ns0:f>
        <ns0:v>1</ns0:v>
      </ns0:c>
    </ns0:row>
    <ns0:row r="178">
      <ns0:c r="A178" t="inlineStr">
        <ns0:is>
          <ns0:t>function_0177</ns0:t>
        </ns0:is>
      </ns0:c>
      <ns0:c r="B178" t="inlineStr">
        <ns0:is>
          <ns0:t>run_011</ns0:t>
        </ns0:is>
      </ns0:c>
      <ns0:c r="C178" t="inlineStr">
        <ns0:is>
          <ns0:t>log</ns0:t>
        </ns0:is>
      </ns0:c>
      <ns0:c r="D178" t="inlineStr">
        <ns0:is>
          <ns0:t>gemini-2.5-flash-nothinking</ns0:t>
        </ns0:is>
      </ns0:c>
      <ns0:c r="E178">
        <ns0:f>COUNTIF(Cases!$B$2:$B$1859,A178)</ns0:f>
        <ns0:v>2</ns0:v>
      </ns0:c>
      <ns0:c r="F178">
        <ns0:f>IF(COUNTIFS(Cases!$B$2:$B$1859,A178,Cases!$G$2:$G$1859,1)&gt;0,1,0)</ns0:f>
        <ns0:v>0</ns0:v>
      </ns0:c>
      <ns0:c r="G178">
        <ns0:f>IF(COUNTIFS(Cases!$B$2:$B$1859,A178,Cases!$L$2:$L$1859,1)&gt;0,1,0)</ns0:f>
        <ns0:v>1</ns0:v>
      </ns0:c>
      <ns0:c r="H178">
        <ns0:f>IF(COUNTIFS(Cases!$B$2:$B$1859,A178,Cases!$Q$2:$Q$1859,1)&gt;0,1,0)</ns0:f>
        <ns0:v>1</ns0:v>
      </ns0:c>
      <ns0:c r="I178">
        <ns0:f>IF(COUNTIFS(Cases!$B$2:$B$1859,A178,Cases!$R$2:$R$1859,1)&gt;0,1,0)</ns0:f>
        <ns0:v>1</ns0:v>
      </ns0:c>
    </ns0:row>
    <ns0:row r="179">
      <ns0:c r="A179" t="inlineStr">
        <ns0:is>
          <ns0:t>function_0178</ns0:t>
        </ns0:is>
      </ns0:c>
      <ns0:c r="B179" t="inlineStr">
        <ns0:is>
          <ns0:t>run_011</ns0:t>
        </ns0:is>
      </ns0:c>
      <ns0:c r="C179" t="inlineStr">
        <ns0:is>
          <ns0:t>log</ns0:t>
        </ns0:is>
      </ns0:c>
      <ns0:c r="D179" t="inlineStr">
        <ns0:is>
          <ns0:t>gemini-2.5-flash-nothinking</ns0:t>
        </ns0:is>
      </ns0:c>
      <ns0:c r="E179">
        <ns0:f>COUNTIF(Cases!$B$2:$B$1859,A179)</ns0:f>
        <ns0:v>2</ns0:v>
      </ns0:c>
      <ns0:c r="F179">
        <ns0:f>IF(COUNTIFS(Cases!$B$2:$B$1859,A179,Cases!$G$2:$G$1859,1)&gt;0,1,0)</ns0:f>
        <ns0:v>0</ns0:v>
      </ns0:c>
      <ns0:c r="G179">
        <ns0:f>IF(COUNTIFS(Cases!$B$2:$B$1859,A179,Cases!$L$2:$L$1859,1)&gt;0,1,0)</ns0:f>
        <ns0:v>1</ns0:v>
      </ns0:c>
      <ns0:c r="H179">
        <ns0:f>IF(COUNTIFS(Cases!$B$2:$B$1859,A179,Cases!$Q$2:$Q$1859,1)&gt;0,1,0)</ns0:f>
        <ns0:v>1</ns0:v>
      </ns0:c>
      <ns0:c r="I179">
        <ns0:f>IF(COUNTIFS(Cases!$B$2:$B$1859,A179,Cases!$R$2:$R$1859,1)&gt;0,1,0)</ns0:f>
        <ns0:v>1</ns0:v>
      </ns0:c>
    </ns0:row>
    <ns0:row r="180">
      <ns0:c r="A180" t="inlineStr">
        <ns0:is>
          <ns0:t>function_0179</ns0:t>
        </ns0:is>
      </ns0:c>
      <ns0:c r="B180" t="inlineStr">
        <ns0:is>
          <ns0:t>run_011</ns0:t>
        </ns0:is>
      </ns0:c>
      <ns0:c r="C180" t="inlineStr">
        <ns0:is>
          <ns0:t>log</ns0:t>
        </ns0:is>
      </ns0:c>
      <ns0:c r="D180" t="inlineStr">
        <ns0:is>
          <ns0:t>gemini-2.5-flash-nothinking</ns0:t>
        </ns0:is>
      </ns0:c>
      <ns0:c r="E180">
        <ns0:f>COUNTIF(Cases!$B$2:$B$1859,A180)</ns0:f>
        <ns0:v>2</ns0:v>
      </ns0:c>
      <ns0:c r="F180">
        <ns0:f>IF(COUNTIFS(Cases!$B$2:$B$1859,A180,Cases!$G$2:$G$1859,1)&gt;0,1,0)</ns0:f>
        <ns0:v>0</ns0:v>
      </ns0:c>
      <ns0:c r="G180">
        <ns0:f>IF(COUNTIFS(Cases!$B$2:$B$1859,A180,Cases!$L$2:$L$1859,1)&gt;0,1,0)</ns0:f>
        <ns0:v>1</ns0:v>
      </ns0:c>
      <ns0:c r="H180">
        <ns0:f>IF(COUNTIFS(Cases!$B$2:$B$1859,A180,Cases!$Q$2:$Q$1859,1)&gt;0,1,0)</ns0:f>
        <ns0:v>1</ns0:v>
      </ns0:c>
      <ns0:c r="I180">
        <ns0:f>IF(COUNTIFS(Cases!$B$2:$B$1859,A180,Cases!$R$2:$R$1859,1)&gt;0,1,0)</ns0:f>
        <ns0:v>1</ns0:v>
      </ns0:c>
    </ns0:row>
    <ns0:row r="181">
      <ns0:c r="A181" t="inlineStr">
        <ns0:is>
          <ns0:t>function_0180</ns0:t>
        </ns0:is>
      </ns0:c>
      <ns0:c r="B181" t="inlineStr">
        <ns0:is>
          <ns0:t>run_011</ns0:t>
        </ns0:is>
      </ns0:c>
      <ns0:c r="C181" t="inlineStr">
        <ns0:is>
          <ns0:t>log</ns0:t>
        </ns0:is>
      </ns0:c>
      <ns0:c r="D181" t="inlineStr">
        <ns0:is>
          <ns0:t>gemini-2.5-flash-nothinking</ns0:t>
        </ns0:is>
      </ns0:c>
      <ns0:c r="E181">
        <ns0:f>COUNTIF(Cases!$B$2:$B$1859,A181)</ns0:f>
        <ns0:v>2</ns0:v>
      </ns0:c>
      <ns0:c r="F181">
        <ns0:f>IF(COUNTIFS(Cases!$B$2:$B$1859,A181,Cases!$G$2:$G$1859,1)&gt;0,1,0)</ns0:f>
        <ns0:v>0</ns0:v>
      </ns0:c>
      <ns0:c r="G181">
        <ns0:f>IF(COUNTIFS(Cases!$B$2:$B$1859,A181,Cases!$L$2:$L$1859,1)&gt;0,1,0)</ns0:f>
        <ns0:v>1</ns0:v>
      </ns0:c>
      <ns0:c r="H181">
        <ns0:f>IF(COUNTIFS(Cases!$B$2:$B$1859,A181,Cases!$Q$2:$Q$1859,1)&gt;0,1,0)</ns0:f>
        <ns0:v>1</ns0:v>
      </ns0:c>
      <ns0:c r="I181">
        <ns0:f>IF(COUNTIFS(Cases!$B$2:$B$1859,A181,Cases!$R$2:$R$1859,1)&gt;0,1,0)</ns0:f>
        <ns0:v>1</ns0:v>
      </ns0:c>
    </ns0:row>
    <ns0:row r="182">
      <ns0:c r="A182" t="inlineStr">
        <ns0:is>
          <ns0:t>function_0181</ns0:t>
        </ns0:is>
      </ns0:c>
      <ns0:c r="B182" t="inlineStr">
        <ns0:is>
          <ns0:t>run_011</ns0:t>
        </ns0:is>
      </ns0:c>
      <ns0:c r="C182" t="inlineStr">
        <ns0:is>
          <ns0:t>log</ns0:t>
        </ns0:is>
      </ns0:c>
      <ns0:c r="D182" t="inlineStr">
        <ns0:is>
          <ns0:t>gemini-2.5-flash-nothinking</ns0:t>
        </ns0:is>
      </ns0:c>
      <ns0:c r="E182">
        <ns0:f>COUNTIF(Cases!$B$2:$B$1859,A182)</ns0:f>
        <ns0:v>2</ns0:v>
      </ns0:c>
      <ns0:c r="F182">
        <ns0:f>IF(COUNTIFS(Cases!$B$2:$B$1859,A182,Cases!$G$2:$G$1859,1)&gt;0,1,0)</ns0:f>
        <ns0:v>0</ns0:v>
      </ns0:c>
      <ns0:c r="G182">
        <ns0:f>IF(COUNTIFS(Cases!$B$2:$B$1859,A182,Cases!$L$2:$L$1859,1)&gt;0,1,0)</ns0:f>
        <ns0:v>1</ns0:v>
      </ns0:c>
      <ns0:c r="H182">
        <ns0:f>IF(COUNTIFS(Cases!$B$2:$B$1859,A182,Cases!$Q$2:$Q$1859,1)&gt;0,1,0)</ns0:f>
        <ns0:v>0</ns0:v>
      </ns0:c>
      <ns0:c r="I182">
        <ns0:f>IF(COUNTIFS(Cases!$B$2:$B$1859,A182,Cases!$R$2:$R$1859,1)&gt;0,1,0)</ns0:f>
        <ns0:v>0</ns0:v>
      </ns0:c>
    </ns0:row>
    <ns0:row r="183">
      <ns0:c r="A183" t="inlineStr">
        <ns0:is>
          <ns0:t>function_0182</ns0:t>
        </ns0:is>
      </ns0:c>
      <ns0:c r="B183" t="inlineStr">
        <ns0:is>
          <ns0:t>run_011</ns0:t>
        </ns0:is>
      </ns0:c>
      <ns0:c r="C183" t="inlineStr">
        <ns0:is>
          <ns0:t>log</ns0:t>
        </ns0:is>
      </ns0:c>
      <ns0:c r="D183" t="inlineStr">
        <ns0:is>
          <ns0:t>gemini-2.5-flash-nothinking</ns0:t>
        </ns0:is>
      </ns0:c>
      <ns0:c r="E183">
        <ns0:f>COUNTIF(Cases!$B$2:$B$1859,A183)</ns0:f>
        <ns0:v>2</ns0:v>
      </ns0:c>
      <ns0:c r="F183">
        <ns0:f>IF(COUNTIFS(Cases!$B$2:$B$1859,A183,Cases!$G$2:$G$1859,1)&gt;0,1,0)</ns0:f>
        <ns0:v>0</ns0:v>
      </ns0:c>
      <ns0:c r="G183">
        <ns0:f>IF(COUNTIFS(Cases!$B$2:$B$1859,A183,Cases!$L$2:$L$1859,1)&gt;0,1,0)</ns0:f>
        <ns0:v>1</ns0:v>
      </ns0:c>
      <ns0:c r="H183">
        <ns0:f>IF(COUNTIFS(Cases!$B$2:$B$1859,A183,Cases!$Q$2:$Q$1859,1)&gt;0,1,0)</ns0:f>
        <ns0:v>0</ns0:v>
      </ns0:c>
      <ns0:c r="I183">
        <ns0:f>IF(COUNTIFS(Cases!$B$2:$B$1859,A183,Cases!$R$2:$R$1859,1)&gt;0,1,0)</ns0:f>
        <ns0:v>1</ns0:v>
      </ns0:c>
    </ns0:row>
    <ns0:row r="184">
      <ns0:c r="A184" t="inlineStr">
        <ns0:is>
          <ns0:t>function_0183</ns0:t>
        </ns0:is>
      </ns0:c>
      <ns0:c r="B184" t="inlineStr">
        <ns0:is>
          <ns0:t>run_011</ns0:t>
        </ns0:is>
      </ns0:c>
      <ns0:c r="C184" t="inlineStr">
        <ns0:is>
          <ns0:t>log</ns0:t>
        </ns0:is>
      </ns0:c>
      <ns0:c r="D184" t="inlineStr">
        <ns0:is>
          <ns0:t>gemini-2.5-flash-nothinking</ns0:t>
        </ns0:is>
      </ns0:c>
      <ns0:c r="E184">
        <ns0:f>COUNTIF(Cases!$B$2:$B$1859,A184)</ns0:f>
        <ns0:v>1</ns0:v>
      </ns0:c>
      <ns0:c r="F184">
        <ns0:f>IF(COUNTIFS(Cases!$B$2:$B$1859,A184,Cases!$G$2:$G$1859,1)&gt;0,1,0)</ns0:f>
        <ns0:v>0</ns0:v>
      </ns0:c>
      <ns0:c r="G184">
        <ns0:f>IF(COUNTIFS(Cases!$B$2:$B$1859,A184,Cases!$L$2:$L$1859,1)&gt;0,1,0)</ns0:f>
        <ns0:v>1</ns0:v>
      </ns0:c>
      <ns0:c r="H184">
        <ns0:f>IF(COUNTIFS(Cases!$B$2:$B$1859,A184,Cases!$Q$2:$Q$1859,1)&gt;0,1,0)</ns0:f>
        <ns0:v>1</ns0:v>
      </ns0:c>
      <ns0:c r="I184">
        <ns0:f>IF(COUNTIFS(Cases!$B$2:$B$1859,A184,Cases!$R$2:$R$1859,1)&gt;0,1,0)</ns0:f>
        <ns0:v>1</ns0:v>
      </ns0:c>
    </ns0:row>
    <ns0:row r="185">
      <ns0:c r="A185" t="inlineStr">
        <ns0:is>
          <ns0:t>function_0184</ns0:t>
        </ns0:is>
      </ns0:c>
      <ns0:c r="B185" t="inlineStr">
        <ns0:is>
          <ns0:t>run_011</ns0:t>
        </ns0:is>
      </ns0:c>
      <ns0:c r="C185" t="inlineStr">
        <ns0:is>
          <ns0:t>log</ns0:t>
        </ns0:is>
      </ns0:c>
      <ns0:c r="D185" t="inlineStr">
        <ns0:is>
          <ns0:t>gemini-2.5-flash-nothinking</ns0:t>
        </ns0:is>
      </ns0:c>
      <ns0:c r="E185">
        <ns0:f>COUNTIF(Cases!$B$2:$B$1859,A185)</ns0:f>
        <ns0:v>2</ns0:v>
      </ns0:c>
      <ns0:c r="F185">
        <ns0:f>IF(COUNTIFS(Cases!$B$2:$B$1859,A185,Cases!$G$2:$G$1859,1)&gt;0,1,0)</ns0:f>
        <ns0:v>0</ns0:v>
      </ns0:c>
      <ns0:c r="G185">
        <ns0:f>IF(COUNTIFS(Cases!$B$2:$B$1859,A185,Cases!$L$2:$L$1859,1)&gt;0,1,0)</ns0:f>
        <ns0:v>1</ns0:v>
      </ns0:c>
      <ns0:c r="H185">
        <ns0:f>IF(COUNTIFS(Cases!$B$2:$B$1859,A185,Cases!$Q$2:$Q$1859,1)&gt;0,1,0)</ns0:f>
        <ns0:v>1</ns0:v>
      </ns0:c>
      <ns0:c r="I185">
        <ns0:f>IF(COUNTIFS(Cases!$B$2:$B$1859,A185,Cases!$R$2:$R$1859,1)&gt;0,1,0)</ns0:f>
        <ns0:v>1</ns0:v>
      </ns0:c>
    </ns0:row>
    <ns0:row r="186">
      <ns0:c r="A186" t="inlineStr">
        <ns0:is>
          <ns0:t>function_0185</ns0:t>
        </ns0:is>
      </ns0:c>
      <ns0:c r="B186" t="inlineStr">
        <ns0:is>
          <ns0:t>run_011</ns0:t>
        </ns0:is>
      </ns0:c>
      <ns0:c r="C186" t="inlineStr">
        <ns0:is>
          <ns0:t>log</ns0:t>
        </ns0:is>
      </ns0:c>
      <ns0:c r="D186" t="inlineStr">
        <ns0:is>
          <ns0:t>gemini-2.5-flash-nothinking</ns0:t>
        </ns0:is>
      </ns0:c>
      <ns0:c r="E186">
        <ns0:f>COUNTIF(Cases!$B$2:$B$1859,A186)</ns0:f>
        <ns0:v>2</ns0:v>
      </ns0:c>
      <ns0:c r="F186">
        <ns0:f>IF(COUNTIFS(Cases!$B$2:$B$1859,A186,Cases!$G$2:$G$1859,1)&gt;0,1,0)</ns0:f>
        <ns0:v>0</ns0:v>
      </ns0:c>
      <ns0:c r="G186">
        <ns0:f>IF(COUNTIFS(Cases!$B$2:$B$1859,A186,Cases!$L$2:$L$1859,1)&gt;0,1,0)</ns0:f>
        <ns0:v>1</ns0:v>
      </ns0:c>
      <ns0:c r="H186">
        <ns0:f>IF(COUNTIFS(Cases!$B$2:$B$1859,A186,Cases!$Q$2:$Q$1859,1)&gt;0,1,0)</ns0:f>
        <ns0:v>0</ns0:v>
      </ns0:c>
      <ns0:c r="I186">
        <ns0:f>IF(COUNTIFS(Cases!$B$2:$B$1859,A186,Cases!$R$2:$R$1859,1)&gt;0,1,0)</ns0:f>
        <ns0:v>1</ns0:v>
      </ns0:c>
    </ns0:row>
    <ns0:row r="187">
      <ns0:c r="A187" t="inlineStr">
        <ns0:is>
          <ns0:t>function_0186</ns0:t>
        </ns0:is>
      </ns0:c>
      <ns0:c r="B187" t="inlineStr">
        <ns0:is>
          <ns0:t>run_011</ns0:t>
        </ns0:is>
      </ns0:c>
      <ns0:c r="C187" t="inlineStr">
        <ns0:is>
          <ns0:t>log</ns0:t>
        </ns0:is>
      </ns0:c>
      <ns0:c r="D187" t="inlineStr">
        <ns0:is>
          <ns0:t>gemini-2.5-flash-nothinking</ns0:t>
        </ns0:is>
      </ns0:c>
      <ns0:c r="E187">
        <ns0:f>COUNTIF(Cases!$B$2:$B$1859,A187)</ns0:f>
        <ns0:v>2</ns0:v>
      </ns0:c>
      <ns0:c r="F187">
        <ns0:f>IF(COUNTIFS(Cases!$B$2:$B$1859,A187,Cases!$G$2:$G$1859,1)&gt;0,1,0)</ns0:f>
        <ns0:v>0</ns0:v>
      </ns0:c>
      <ns0:c r="G187">
        <ns0:f>IF(COUNTIFS(Cases!$B$2:$B$1859,A187,Cases!$L$2:$L$1859,1)&gt;0,1,0)</ns0:f>
        <ns0:v>1</ns0:v>
      </ns0:c>
      <ns0:c r="H187">
        <ns0:f>IF(COUNTIFS(Cases!$B$2:$B$1859,A187,Cases!$Q$2:$Q$1859,1)&gt;0,1,0)</ns0:f>
        <ns0:v>1</ns0:v>
      </ns0:c>
      <ns0:c r="I187">
        <ns0:f>IF(COUNTIFS(Cases!$B$2:$B$1859,A187,Cases!$R$2:$R$1859,1)&gt;0,1,0)</ns0:f>
        <ns0:v>1</ns0:v>
      </ns0:c>
    </ns0:row>
    <ns0:row r="188">
      <ns0:c r="A188" t="inlineStr">
        <ns0:is>
          <ns0:t>function_0187</ns0:t>
        </ns0:is>
      </ns0:c>
      <ns0:c r="B188" t="inlineStr">
        <ns0:is>
          <ns0:t>run_011</ns0:t>
        </ns0:is>
      </ns0:c>
      <ns0:c r="C188" t="inlineStr">
        <ns0:is>
          <ns0:t>log</ns0:t>
        </ns0:is>
      </ns0:c>
      <ns0:c r="D188" t="inlineStr">
        <ns0:is>
          <ns0:t>gemini-2.5-flash-nothinking</ns0:t>
        </ns0:is>
      </ns0:c>
      <ns0:c r="E188">
        <ns0:f>COUNTIF(Cases!$B$2:$B$1859,A188)</ns0:f>
        <ns0:v>2</ns0:v>
      </ns0:c>
      <ns0:c r="F188">
        <ns0:f>IF(COUNTIFS(Cases!$B$2:$B$1859,A188,Cases!$G$2:$G$1859,1)&gt;0,1,0)</ns0:f>
        <ns0:v>0</ns0:v>
      </ns0:c>
      <ns0:c r="G188">
        <ns0:f>IF(COUNTIFS(Cases!$B$2:$B$1859,A188,Cases!$L$2:$L$1859,1)&gt;0,1,0)</ns0:f>
        <ns0:v>1</ns0:v>
      </ns0:c>
      <ns0:c r="H188">
        <ns0:f>IF(COUNTIFS(Cases!$B$2:$B$1859,A188,Cases!$Q$2:$Q$1859,1)&gt;0,1,0)</ns0:f>
        <ns0:v>1</ns0:v>
      </ns0:c>
      <ns0:c r="I188">
        <ns0:f>IF(COUNTIFS(Cases!$B$2:$B$1859,A188,Cases!$R$2:$R$1859,1)&gt;0,1,0)</ns0:f>
        <ns0:v>1</ns0:v>
      </ns0:c>
    </ns0:row>
    <ns0:row r="189">
      <ns0:c r="A189" t="inlineStr">
        <ns0:is>
          <ns0:t>function_0188</ns0:t>
        </ns0:is>
      </ns0:c>
      <ns0:c r="B189" t="inlineStr">
        <ns0:is>
          <ns0:t>run_011</ns0:t>
        </ns0:is>
      </ns0:c>
      <ns0:c r="C189" t="inlineStr">
        <ns0:is>
          <ns0:t>log</ns0:t>
        </ns0:is>
      </ns0:c>
      <ns0:c r="D189" t="inlineStr">
        <ns0:is>
          <ns0:t>gemini-2.5-flash-nothinking</ns0:t>
        </ns0:is>
      </ns0:c>
      <ns0:c r="E189">
        <ns0:f>COUNTIF(Cases!$B$2:$B$1859,A189)</ns0:f>
        <ns0:v>2</ns0:v>
      </ns0:c>
      <ns0:c r="F189">
        <ns0:f>IF(COUNTIFS(Cases!$B$2:$B$1859,A189,Cases!$G$2:$G$1859,1)&gt;0,1,0)</ns0:f>
        <ns0:v>0</ns0:v>
      </ns0:c>
      <ns0:c r="G189">
        <ns0:f>IF(COUNTIFS(Cases!$B$2:$B$1859,A189,Cases!$L$2:$L$1859,1)&gt;0,1,0)</ns0:f>
        <ns0:v>1</ns0:v>
      </ns0:c>
      <ns0:c r="H189">
        <ns0:f>IF(COUNTIFS(Cases!$B$2:$B$1859,A189,Cases!$Q$2:$Q$1859,1)&gt;0,1,0)</ns0:f>
        <ns0:v>1</ns0:v>
      </ns0:c>
      <ns0:c r="I189">
        <ns0:f>IF(COUNTIFS(Cases!$B$2:$B$1859,A189,Cases!$R$2:$R$1859,1)&gt;0,1,0)</ns0:f>
        <ns0:v>1</ns0:v>
      </ns0:c>
    </ns0:row>
    <ns0:row r="190">
      <ns0:c r="A190" t="inlineStr">
        <ns0:is>
          <ns0:t>function_0189</ns0:t>
        </ns0:is>
      </ns0:c>
      <ns0:c r="B190" t="inlineStr">
        <ns0:is>
          <ns0:t>run_011</ns0:t>
        </ns0:is>
      </ns0:c>
      <ns0:c r="C190" t="inlineStr">
        <ns0:is>
          <ns0:t>log</ns0:t>
        </ns0:is>
      </ns0:c>
      <ns0:c r="D190" t="inlineStr">
        <ns0:is>
          <ns0:t>gemini-2.5-flash-nothinking</ns0:t>
        </ns0:is>
      </ns0:c>
      <ns0:c r="E190">
        <ns0:f>COUNTIF(Cases!$B$2:$B$1859,A190)</ns0:f>
        <ns0:v>2</ns0:v>
      </ns0:c>
      <ns0:c r="F190">
        <ns0:f>IF(COUNTIFS(Cases!$B$2:$B$1859,A190,Cases!$G$2:$G$1859,1)&gt;0,1,0)</ns0:f>
        <ns0:v>0</ns0:v>
      </ns0:c>
      <ns0:c r="G190">
        <ns0:f>IF(COUNTIFS(Cases!$B$2:$B$1859,A190,Cases!$L$2:$L$1859,1)&gt;0,1,0)</ns0:f>
        <ns0:v>1</ns0:v>
      </ns0:c>
      <ns0:c r="H190">
        <ns0:f>IF(COUNTIFS(Cases!$B$2:$B$1859,A190,Cases!$Q$2:$Q$1859,1)&gt;0,1,0)</ns0:f>
        <ns0:v>1</ns0:v>
      </ns0:c>
      <ns0:c r="I190">
        <ns0:f>IF(COUNTIFS(Cases!$B$2:$B$1859,A190,Cases!$R$2:$R$1859,1)&gt;0,1,0)</ns0:f>
        <ns0:v>1</ns0:v>
      </ns0:c>
    </ns0:row>
    <ns0:row r="191">
      <ns0:c r="A191" t="inlineStr">
        <ns0:is>
          <ns0:t>function_0190</ns0:t>
        </ns0:is>
      </ns0:c>
      <ns0:c r="B191" t="inlineStr">
        <ns0:is>
          <ns0:t>run_011</ns0:t>
        </ns0:is>
      </ns0:c>
      <ns0:c r="C191" t="inlineStr">
        <ns0:is>
          <ns0:t>log</ns0:t>
        </ns0:is>
      </ns0:c>
      <ns0:c r="D191" t="inlineStr">
        <ns0:is>
          <ns0:t>gemini-2.5-flash-nothinking</ns0:t>
        </ns0:is>
      </ns0:c>
      <ns0:c r="E191">
        <ns0:f>COUNTIF(Cases!$B$2:$B$1859,A191)</ns0:f>
        <ns0:v>2</ns0:v>
      </ns0:c>
      <ns0:c r="F191">
        <ns0:f>IF(COUNTIFS(Cases!$B$2:$B$1859,A191,Cases!$G$2:$G$1859,1)&gt;0,1,0)</ns0:f>
        <ns0:v>0</ns0:v>
      </ns0:c>
      <ns0:c r="G191">
        <ns0:f>IF(COUNTIFS(Cases!$B$2:$B$1859,A191,Cases!$L$2:$L$1859,1)&gt;0,1,0)</ns0:f>
        <ns0:v>1</ns0:v>
      </ns0:c>
      <ns0:c r="H191">
        <ns0:f>IF(COUNTIFS(Cases!$B$2:$B$1859,A191,Cases!$Q$2:$Q$1859,1)&gt;0,1,0)</ns0:f>
        <ns0:v>1</ns0:v>
      </ns0:c>
      <ns0:c r="I191">
        <ns0:f>IF(COUNTIFS(Cases!$B$2:$B$1859,A191,Cases!$R$2:$R$1859,1)&gt;0,1,0)</ns0:f>
        <ns0:v>1</ns0:v>
      </ns0:c>
    </ns0:row>
    <ns0:row r="192">
      <ns0:c r="A192" t="inlineStr">
        <ns0:is>
          <ns0:t>function_0191</ns0:t>
        </ns0:is>
      </ns0:c>
      <ns0:c r="B192" t="inlineStr">
        <ns0:is>
          <ns0:t>run_011</ns0:t>
        </ns0:is>
      </ns0:c>
      <ns0:c r="C192" t="inlineStr">
        <ns0:is>
          <ns0:t>log</ns0:t>
        </ns0:is>
      </ns0:c>
      <ns0:c r="D192" t="inlineStr">
        <ns0:is>
          <ns0:t>gemini-2.5-flash-nothinking</ns0:t>
        </ns0:is>
      </ns0:c>
      <ns0:c r="E192">
        <ns0:f>COUNTIF(Cases!$B$2:$B$1859,A192)</ns0:f>
        <ns0:v>2</ns0:v>
      </ns0:c>
      <ns0:c r="F192">
        <ns0:f>IF(COUNTIFS(Cases!$B$2:$B$1859,A192,Cases!$G$2:$G$1859,1)&gt;0,1,0)</ns0:f>
        <ns0:v>0</ns0:v>
      </ns0:c>
      <ns0:c r="G192">
        <ns0:f>IF(COUNTIFS(Cases!$B$2:$B$1859,A192,Cases!$L$2:$L$1859,1)&gt;0,1,0)</ns0:f>
        <ns0:v>1</ns0:v>
      </ns0:c>
      <ns0:c r="H192">
        <ns0:f>IF(COUNTIFS(Cases!$B$2:$B$1859,A192,Cases!$Q$2:$Q$1859,1)&gt;0,1,0)</ns0:f>
        <ns0:v>1</ns0:v>
      </ns0:c>
      <ns0:c r="I192">
        <ns0:f>IF(COUNTIFS(Cases!$B$2:$B$1859,A192,Cases!$R$2:$R$1859,1)&gt;0,1,0)</ns0:f>
        <ns0:v>1</ns0:v>
      </ns0:c>
    </ns0:row>
    <ns0:row r="193">
      <ns0:c r="A193" t="inlineStr">
        <ns0:is>
          <ns0:t>function_0192</ns0:t>
        </ns0:is>
      </ns0:c>
      <ns0:c r="B193" t="inlineStr">
        <ns0:is>
          <ns0:t>run_011</ns0:t>
        </ns0:is>
      </ns0:c>
      <ns0:c r="C193" t="inlineStr">
        <ns0:is>
          <ns0:t>log</ns0:t>
        </ns0:is>
      </ns0:c>
      <ns0:c r="D193" t="inlineStr">
        <ns0:is>
          <ns0:t>gemini-2.5-flash-nothinking</ns0:t>
        </ns0:is>
      </ns0:c>
      <ns0:c r="E193">
        <ns0:f>COUNTIF(Cases!$B$2:$B$1859,A193)</ns0:f>
        <ns0:v>2</ns0:v>
      </ns0:c>
      <ns0:c r="F193">
        <ns0:f>IF(COUNTIFS(Cases!$B$2:$B$1859,A193,Cases!$G$2:$G$1859,1)&gt;0,1,0)</ns0:f>
        <ns0:v>0</ns0:v>
      </ns0:c>
      <ns0:c r="G193">
        <ns0:f>IF(COUNTIFS(Cases!$B$2:$B$1859,A193,Cases!$L$2:$L$1859,1)&gt;0,1,0)</ns0:f>
        <ns0:v>1</ns0:v>
      </ns0:c>
      <ns0:c r="H193">
        <ns0:f>IF(COUNTIFS(Cases!$B$2:$B$1859,A193,Cases!$Q$2:$Q$1859,1)&gt;0,1,0)</ns0:f>
        <ns0:v>0</ns0:v>
      </ns0:c>
      <ns0:c r="I193">
        <ns0:f>IF(COUNTIFS(Cases!$B$2:$B$1859,A193,Cases!$R$2:$R$1859,1)&gt;0,1,0)</ns0:f>
        <ns0:v>1</ns0:v>
      </ns0:c>
    </ns0:row>
    <ns0:row r="194">
      <ns0:c r="A194" t="inlineStr">
        <ns0:is>
          <ns0:t>function_0193</ns0:t>
        </ns0:is>
      </ns0:c>
      <ns0:c r="B194" t="inlineStr">
        <ns0:is>
          <ns0:t>run_011</ns0:t>
        </ns0:is>
      </ns0:c>
      <ns0:c r="C194" t="inlineStr">
        <ns0:is>
          <ns0:t>log</ns0:t>
        </ns0:is>
      </ns0:c>
      <ns0:c r="D194" t="inlineStr">
        <ns0:is>
          <ns0:t>gemini-2.5-flash-nothinking</ns0:t>
        </ns0:is>
      </ns0:c>
      <ns0:c r="E194">
        <ns0:f>COUNTIF(Cases!$B$2:$B$1859,A194)</ns0:f>
        <ns0:v>2</ns0:v>
      </ns0:c>
      <ns0:c r="F194">
        <ns0:f>IF(COUNTIFS(Cases!$B$2:$B$1859,A194,Cases!$G$2:$G$1859,1)&gt;0,1,0)</ns0:f>
        <ns0:v>0</ns0:v>
      </ns0:c>
      <ns0:c r="G194">
        <ns0:f>IF(COUNTIFS(Cases!$B$2:$B$1859,A194,Cases!$L$2:$L$1859,1)&gt;0,1,0)</ns0:f>
        <ns0:v>1</ns0:v>
      </ns0:c>
      <ns0:c r="H194">
        <ns0:f>IF(COUNTIFS(Cases!$B$2:$B$1859,A194,Cases!$Q$2:$Q$1859,1)&gt;0,1,0)</ns0:f>
        <ns0:v>1</ns0:v>
      </ns0:c>
      <ns0:c r="I194">
        <ns0:f>IF(COUNTIFS(Cases!$B$2:$B$1859,A194,Cases!$R$2:$R$1859,1)&gt;0,1,0)</ns0:f>
        <ns0:v>1</ns0:v>
      </ns0:c>
    </ns0:row>
    <ns0:row r="195">
      <ns0:c r="A195" t="inlineStr">
        <ns0:is>
          <ns0:t>function_0194</ns0:t>
        </ns0:is>
      </ns0:c>
      <ns0:c r="B195" t="inlineStr">
        <ns0:is>
          <ns0:t>run_011</ns0:t>
        </ns0:is>
      </ns0:c>
      <ns0:c r="C195" t="inlineStr">
        <ns0:is>
          <ns0:t>log</ns0:t>
        </ns0:is>
      </ns0:c>
      <ns0:c r="D195" t="inlineStr">
        <ns0:is>
          <ns0:t>gemini-2.5-flash-nothinking</ns0:t>
        </ns0:is>
      </ns0:c>
      <ns0:c r="E195">
        <ns0:f>COUNTIF(Cases!$B$2:$B$1859,A195)</ns0:f>
        <ns0:v>2</ns0:v>
      </ns0:c>
      <ns0:c r="F195">
        <ns0:f>IF(COUNTIFS(Cases!$B$2:$B$1859,A195,Cases!$G$2:$G$1859,1)&gt;0,1,0)</ns0:f>
        <ns0:v>0</ns0:v>
      </ns0:c>
      <ns0:c r="G195">
        <ns0:f>IF(COUNTIFS(Cases!$B$2:$B$1859,A195,Cases!$L$2:$L$1859,1)&gt;0,1,0)</ns0:f>
        <ns0:v>1</ns0:v>
      </ns0:c>
      <ns0:c r="H195">
        <ns0:f>IF(COUNTIFS(Cases!$B$2:$B$1859,A195,Cases!$Q$2:$Q$1859,1)&gt;0,1,0)</ns0:f>
        <ns0:v>1</ns0:v>
      </ns0:c>
      <ns0:c r="I195">
        <ns0:f>IF(COUNTIFS(Cases!$B$2:$B$1859,A195,Cases!$R$2:$R$1859,1)&gt;0,1,0)</ns0:f>
        <ns0:v>1</ns0:v>
      </ns0:c>
    </ns0:row>
    <ns0:row r="196">
      <ns0:c r="A196" t="inlineStr">
        <ns0:is>
          <ns0:t>function_0195</ns0:t>
        </ns0:is>
      </ns0:c>
      <ns0:c r="B196" t="inlineStr">
        <ns0:is>
          <ns0:t>run_011</ns0:t>
        </ns0:is>
      </ns0:c>
      <ns0:c r="C196" t="inlineStr">
        <ns0:is>
          <ns0:t>log</ns0:t>
        </ns0:is>
      </ns0:c>
      <ns0:c r="D196" t="inlineStr">
        <ns0:is>
          <ns0:t>gemini-2.5-flash-nothinking</ns0:t>
        </ns0:is>
      </ns0:c>
      <ns0:c r="E196">
        <ns0:f>COUNTIF(Cases!$B$2:$B$1859,A196)</ns0:f>
        <ns0:v>2</ns0:v>
      </ns0:c>
      <ns0:c r="F196">
        <ns0:f>IF(COUNTIFS(Cases!$B$2:$B$1859,A196,Cases!$G$2:$G$1859,1)&gt;0,1,0)</ns0:f>
        <ns0:v>0</ns0:v>
      </ns0:c>
      <ns0:c r="G196">
        <ns0:f>IF(COUNTIFS(Cases!$B$2:$B$1859,A196,Cases!$L$2:$L$1859,1)&gt;0,1,0)</ns0:f>
        <ns0:v>1</ns0:v>
      </ns0:c>
      <ns0:c r="H196">
        <ns0:f>IF(COUNTIFS(Cases!$B$2:$B$1859,A196,Cases!$Q$2:$Q$1859,1)&gt;0,1,0)</ns0:f>
        <ns0:v>1</ns0:v>
      </ns0:c>
      <ns0:c r="I196">
        <ns0:f>IF(COUNTIFS(Cases!$B$2:$B$1859,A196,Cases!$R$2:$R$1859,1)&gt;0,1,0)</ns0:f>
        <ns0:v>1</ns0:v>
      </ns0:c>
    </ns0:row>
    <ns0:row r="197">
      <ns0:c r="A197" t="inlineStr">
        <ns0:is>
          <ns0:t>function_0196</ns0:t>
        </ns0:is>
      </ns0:c>
      <ns0:c r="B197" t="inlineStr">
        <ns0:is>
          <ns0:t>run_011</ns0:t>
        </ns0:is>
      </ns0:c>
      <ns0:c r="C197" t="inlineStr">
        <ns0:is>
          <ns0:t>log</ns0:t>
        </ns0:is>
      </ns0:c>
      <ns0:c r="D197" t="inlineStr">
        <ns0:is>
          <ns0:t>gemini-2.5-flash-nothinking</ns0:t>
        </ns0:is>
      </ns0:c>
      <ns0:c r="E197">
        <ns0:f>COUNTIF(Cases!$B$2:$B$1859,A197)</ns0:f>
        <ns0:v>2</ns0:v>
      </ns0:c>
      <ns0:c r="F197">
        <ns0:f>IF(COUNTIFS(Cases!$B$2:$B$1859,A197,Cases!$G$2:$G$1859,1)&gt;0,1,0)</ns0:f>
        <ns0:v>0</ns0:v>
      </ns0:c>
      <ns0:c r="G197">
        <ns0:f>IF(COUNTIFS(Cases!$B$2:$B$1859,A197,Cases!$L$2:$L$1859,1)&gt;0,1,0)</ns0:f>
        <ns0:v>1</ns0:v>
      </ns0:c>
      <ns0:c r="H197">
        <ns0:f>IF(COUNTIFS(Cases!$B$2:$B$1859,A197,Cases!$Q$2:$Q$1859,1)&gt;0,1,0)</ns0:f>
        <ns0:v>1</ns0:v>
      </ns0:c>
      <ns0:c r="I197">
        <ns0:f>IF(COUNTIFS(Cases!$B$2:$B$1859,A197,Cases!$R$2:$R$1859,1)&gt;0,1,0)</ns0:f>
        <ns0:v>1</ns0:v>
      </ns0:c>
    </ns0:row>
    <ns0:row r="198">
      <ns0:c r="A198" t="inlineStr">
        <ns0:is>
          <ns0:t>function_0197</ns0:t>
        </ns0:is>
      </ns0:c>
      <ns0:c r="B198" t="inlineStr">
        <ns0:is>
          <ns0:t>run_011</ns0:t>
        </ns0:is>
      </ns0:c>
      <ns0:c r="C198" t="inlineStr">
        <ns0:is>
          <ns0:t>log</ns0:t>
        </ns0:is>
      </ns0:c>
      <ns0:c r="D198" t="inlineStr">
        <ns0:is>
          <ns0:t>gemini-2.5-flash-nothinking</ns0:t>
        </ns0:is>
      </ns0:c>
      <ns0:c r="E198">
        <ns0:f>COUNTIF(Cases!$B$2:$B$1859,A198)</ns0:f>
        <ns0:v>2</ns0:v>
      </ns0:c>
      <ns0:c r="F198">
        <ns0:f>IF(COUNTIFS(Cases!$B$2:$B$1859,A198,Cases!$G$2:$G$1859,1)&gt;0,1,0)</ns0:f>
        <ns0:v>0</ns0:v>
      </ns0:c>
      <ns0:c r="G198">
        <ns0:f>IF(COUNTIFS(Cases!$B$2:$B$1859,A198,Cases!$L$2:$L$1859,1)&gt;0,1,0)</ns0:f>
        <ns0:v>1</ns0:v>
      </ns0:c>
      <ns0:c r="H198">
        <ns0:f>IF(COUNTIFS(Cases!$B$2:$B$1859,A198,Cases!$Q$2:$Q$1859,1)&gt;0,1,0)</ns0:f>
        <ns0:v>1</ns0:v>
      </ns0:c>
      <ns0:c r="I198">
        <ns0:f>IF(COUNTIFS(Cases!$B$2:$B$1859,A198,Cases!$R$2:$R$1859,1)&gt;0,1,0)</ns0:f>
        <ns0:v>1</ns0:v>
      </ns0:c>
    </ns0:row>
    <ns0:row r="199">
      <ns0:c r="A199" t="inlineStr">
        <ns0:is>
          <ns0:t>function_0198</ns0:t>
        </ns0:is>
      </ns0:c>
      <ns0:c r="B199" t="inlineStr">
        <ns0:is>
          <ns0:t>run_011</ns0:t>
        </ns0:is>
      </ns0:c>
      <ns0:c r="C199" t="inlineStr">
        <ns0:is>
          <ns0:t>log</ns0:t>
        </ns0:is>
      </ns0:c>
      <ns0:c r="D199" t="inlineStr">
        <ns0:is>
          <ns0:t>gemini-2.5-flash-nothinking</ns0:t>
        </ns0:is>
      </ns0:c>
      <ns0:c r="E199">
        <ns0:f>COUNTIF(Cases!$B$2:$B$1859,A199)</ns0:f>
        <ns0:v>1</ns0:v>
      </ns0:c>
      <ns0:c r="F199">
        <ns0:f>IF(COUNTIFS(Cases!$B$2:$B$1859,A199,Cases!$G$2:$G$1859,1)&gt;0,1,0)</ns0:f>
        <ns0:v>0</ns0:v>
      </ns0:c>
      <ns0:c r="G199">
        <ns0:f>IF(COUNTIFS(Cases!$B$2:$B$1859,A199,Cases!$L$2:$L$1859,1)&gt;0,1,0)</ns0:f>
        <ns0:v>1</ns0:v>
      </ns0:c>
      <ns0:c r="H199">
        <ns0:f>IF(COUNTIFS(Cases!$B$2:$B$1859,A199,Cases!$Q$2:$Q$1859,1)&gt;0,1,0)</ns0:f>
        <ns0:v>1</ns0:v>
      </ns0:c>
      <ns0:c r="I199">
        <ns0:f>IF(COUNTIFS(Cases!$B$2:$B$1859,A199,Cases!$R$2:$R$1859,1)&gt;0,1,0)</ns0:f>
        <ns0:v>1</ns0:v>
      </ns0:c>
    </ns0:row>
    <ns0:row r="200">
      <ns0:c r="A200" t="inlineStr">
        <ns0:is>
          <ns0:t>function_0199</ns0:t>
        </ns0:is>
      </ns0:c>
      <ns0:c r="B200" t="inlineStr">
        <ns0:is>
          <ns0:t>run_011</ns0:t>
        </ns0:is>
      </ns0:c>
      <ns0:c r="C200" t="inlineStr">
        <ns0:is>
          <ns0:t>log</ns0:t>
        </ns0:is>
      </ns0:c>
      <ns0:c r="D200" t="inlineStr">
        <ns0:is>
          <ns0:t>gemini-2.5-flash-nothinking</ns0:t>
        </ns0:is>
      </ns0:c>
      <ns0:c r="E200">
        <ns0:f>COUNTIF(Cases!$B$2:$B$1859,A200)</ns0:f>
        <ns0:v>2</ns0:v>
      </ns0:c>
      <ns0:c r="F200">
        <ns0:f>IF(COUNTIFS(Cases!$B$2:$B$1859,A200,Cases!$G$2:$G$1859,1)&gt;0,1,0)</ns0:f>
        <ns0:v>1</ns0:v>
      </ns0:c>
      <ns0:c r="G200">
        <ns0:f>IF(COUNTIFS(Cases!$B$2:$B$1859,A200,Cases!$L$2:$L$1859,1)&gt;0,1,0)</ns0:f>
        <ns0:v>1</ns0:v>
      </ns0:c>
      <ns0:c r="H200">
        <ns0:f>IF(COUNTIFS(Cases!$B$2:$B$1859,A200,Cases!$Q$2:$Q$1859,1)&gt;0,1,0)</ns0:f>
        <ns0:v>0</ns0:v>
      </ns0:c>
      <ns0:c r="I200">
        <ns0:f>IF(COUNTIFS(Cases!$B$2:$B$1859,A200,Cases!$R$2:$R$1859,1)&gt;0,1,0)</ns0:f>
        <ns0:v>0</ns0:v>
      </ns0:c>
    </ns0:row>
    <ns0:row r="201">
      <ns0:c r="A201" t="inlineStr">
        <ns0:is>
          <ns0:t>function_0200</ns0:t>
        </ns0:is>
      </ns0:c>
      <ns0:c r="B201" t="inlineStr">
        <ns0:is>
          <ns0:t>run_011</ns0:t>
        </ns0:is>
      </ns0:c>
      <ns0:c r="C201" t="inlineStr">
        <ns0:is>
          <ns0:t>log</ns0:t>
        </ns0:is>
      </ns0:c>
      <ns0:c r="D201" t="inlineStr">
        <ns0:is>
          <ns0:t>gemini-2.5-flash-nothinking</ns0:t>
        </ns0:is>
      </ns0:c>
      <ns0:c r="E201">
        <ns0:f>COUNTIF(Cases!$B$2:$B$1859,A201)</ns0:f>
        <ns0:v>1</ns0:v>
      </ns0:c>
      <ns0:c r="F201">
        <ns0:f>IF(COUNTIFS(Cases!$B$2:$B$1859,A201,Cases!$G$2:$G$1859,1)&gt;0,1,0)</ns0:f>
        <ns0:v>1</ns0:v>
      </ns0:c>
      <ns0:c r="G201">
        <ns0:f>IF(COUNTIFS(Cases!$B$2:$B$1859,A201,Cases!$L$2:$L$1859,1)&gt;0,1,0)</ns0:f>
        <ns0:v>1</ns0:v>
      </ns0:c>
      <ns0:c r="H201">
        <ns0:f>IF(COUNTIFS(Cases!$B$2:$B$1859,A201,Cases!$Q$2:$Q$1859,1)&gt;0,1,0)</ns0:f>
        <ns0:v>0</ns0:v>
      </ns0:c>
      <ns0:c r="I201">
        <ns0:f>IF(COUNTIFS(Cases!$B$2:$B$1859,A201,Cases!$R$2:$R$1859,1)&gt;0,1,0)</ns0:f>
        <ns0:v>0</ns0:v>
      </ns0:c>
    </ns0:row>
    <ns0:row r="202">
      <ns0:c r="A202" t="inlineStr">
        <ns0:is>
          <ns0:t>function_0201</ns0:t>
        </ns0:is>
      </ns0:c>
      <ns0:c r="B202" t="inlineStr">
        <ns0:is>
          <ns0:t>run_011</ns0:t>
        </ns0:is>
      </ns0:c>
      <ns0:c r="C202" t="inlineStr">
        <ns0:is>
          <ns0:t>log</ns0:t>
        </ns0:is>
      </ns0:c>
      <ns0:c r="D202" t="inlineStr">
        <ns0:is>
          <ns0:t>gemini-2.5-flash-nothinking</ns0:t>
        </ns0:is>
      </ns0:c>
      <ns0:c r="E202">
        <ns0:f>COUNTIF(Cases!$B$2:$B$1859,A202)</ns0:f>
        <ns0:v>1</ns0:v>
      </ns0:c>
      <ns0:c r="F202">
        <ns0:f>IF(COUNTIFS(Cases!$B$2:$B$1859,A202,Cases!$G$2:$G$1859,1)&gt;0,1,0)</ns0:f>
        <ns0:v>1</ns0:v>
      </ns0:c>
      <ns0:c r="G202">
        <ns0:f>IF(COUNTIFS(Cases!$B$2:$B$1859,A202,Cases!$L$2:$L$1859,1)&gt;0,1,0)</ns0:f>
        <ns0:v>1</ns0:v>
      </ns0:c>
      <ns0:c r="H202">
        <ns0:f>IF(COUNTIFS(Cases!$B$2:$B$1859,A202,Cases!$Q$2:$Q$1859,1)&gt;0,1,0)</ns0:f>
        <ns0:v>0</ns0:v>
      </ns0:c>
      <ns0:c r="I202">
        <ns0:f>IF(COUNTIFS(Cases!$B$2:$B$1859,A202,Cases!$R$2:$R$1859,1)&gt;0,1,0)</ns0:f>
        <ns0:v>0</ns0:v>
      </ns0:c>
    </ns0:row>
    <ns0:row r="203">
      <ns0:c r="A203" t="inlineStr">
        <ns0:is>
          <ns0:t>function_0202</ns0:t>
        </ns0:is>
      </ns0:c>
      <ns0:c r="B203" t="inlineStr">
        <ns0:is>
          <ns0:t>run_011</ns0:t>
        </ns0:is>
      </ns0:c>
      <ns0:c r="C203" t="inlineStr">
        <ns0:is>
          <ns0:t>log</ns0:t>
        </ns0:is>
      </ns0:c>
      <ns0:c r="D203" t="inlineStr">
        <ns0:is>
          <ns0:t>gemini-2.5-flash-nothinking</ns0:t>
        </ns0:is>
      </ns0:c>
      <ns0:c r="E203">
        <ns0:f>COUNTIF(Cases!$B$2:$B$1859,A203)</ns0:f>
        <ns0:v>4</ns0:v>
      </ns0:c>
      <ns0:c r="F203">
        <ns0:f>IF(COUNTIFS(Cases!$B$2:$B$1859,A203,Cases!$G$2:$G$1859,1)&gt;0,1,0)</ns0:f>
        <ns0:v>1</ns0:v>
      </ns0:c>
      <ns0:c r="G203">
        <ns0:f>IF(COUNTIFS(Cases!$B$2:$B$1859,A203,Cases!$L$2:$L$1859,1)&gt;0,1,0)</ns0:f>
        <ns0:v>1</ns0:v>
      </ns0:c>
      <ns0:c r="H203">
        <ns0:f>IF(COUNTIFS(Cases!$B$2:$B$1859,A203,Cases!$Q$2:$Q$1859,1)&gt;0,1,0)</ns0:f>
        <ns0:v>0</ns0:v>
      </ns0:c>
      <ns0:c r="I203">
        <ns0:f>IF(COUNTIFS(Cases!$B$2:$B$1859,A203,Cases!$R$2:$R$1859,1)&gt;0,1,0)</ns0:f>
        <ns0:v>0</ns0:v>
      </ns0:c>
    </ns0:row>
    <ns0:row r="204">
      <ns0:c r="A204" t="inlineStr">
        <ns0:is>
          <ns0:t>function_0203</ns0:t>
        </ns0:is>
      </ns0:c>
      <ns0:c r="B204" t="inlineStr">
        <ns0:is>
          <ns0:t>run_011</ns0:t>
        </ns0:is>
      </ns0:c>
      <ns0:c r="C204" t="inlineStr">
        <ns0:is>
          <ns0:t>log</ns0:t>
        </ns0:is>
      </ns0:c>
      <ns0:c r="D204" t="inlineStr">
        <ns0:is>
          <ns0:t>gemini-2.5-flash-nothinking</ns0:t>
        </ns0:is>
      </ns0:c>
      <ns0:c r="E204">
        <ns0:f>COUNTIF(Cases!$B$2:$B$1859,A204)</ns0:f>
        <ns0:v>4</ns0:v>
      </ns0:c>
      <ns0:c r="F204">
        <ns0:f>IF(COUNTIFS(Cases!$B$2:$B$1859,A204,Cases!$G$2:$G$1859,1)&gt;0,1,0)</ns0:f>
        <ns0:v>1</ns0:v>
      </ns0:c>
      <ns0:c r="G204">
        <ns0:f>IF(COUNTIFS(Cases!$B$2:$B$1859,A204,Cases!$L$2:$L$1859,1)&gt;0,1,0)</ns0:f>
        <ns0:v>1</ns0:v>
      </ns0:c>
      <ns0:c r="H204">
        <ns0:f>IF(COUNTIFS(Cases!$B$2:$B$1859,A204,Cases!$Q$2:$Q$1859,1)&gt;0,1,0)</ns0:f>
        <ns0:v>0</ns0:v>
      </ns0:c>
      <ns0:c r="I204">
        <ns0:f>IF(COUNTIFS(Cases!$B$2:$B$1859,A204,Cases!$R$2:$R$1859,1)&gt;0,1,0)</ns0:f>
        <ns0:v>1</ns0:v>
      </ns0:c>
    </ns0:row>
    <ns0:row r="205">
      <ns0:c r="A205" t="inlineStr">
        <ns0:is>
          <ns0:t>function_0204</ns0:t>
        </ns0:is>
      </ns0:c>
      <ns0:c r="B205" t="inlineStr">
        <ns0:is>
          <ns0:t>run_011</ns0:t>
        </ns0:is>
      </ns0:c>
      <ns0:c r="C205" t="inlineStr">
        <ns0:is>
          <ns0:t>log</ns0:t>
        </ns0:is>
      </ns0:c>
      <ns0:c r="D205" t="inlineStr">
        <ns0:is>
          <ns0:t>gemini-2.5-flash-nothinking</ns0:t>
        </ns0:is>
      </ns0:c>
      <ns0:c r="E205">
        <ns0:f>COUNTIF(Cases!$B$2:$B$1859,A205)</ns0:f>
        <ns0:v>3</ns0:v>
      </ns0:c>
      <ns0:c r="F205">
        <ns0:f>IF(COUNTIFS(Cases!$B$2:$B$1859,A205,Cases!$G$2:$G$1859,1)&gt;0,1,0)</ns0:f>
        <ns0:v>1</ns0:v>
      </ns0:c>
      <ns0:c r="G205">
        <ns0:f>IF(COUNTIFS(Cases!$B$2:$B$1859,A205,Cases!$L$2:$L$1859,1)&gt;0,1,0)</ns0:f>
        <ns0:v>1</ns0:v>
      </ns0:c>
      <ns0:c r="H205">
        <ns0:f>IF(COUNTIFS(Cases!$B$2:$B$1859,A205,Cases!$Q$2:$Q$1859,1)&gt;0,1,0)</ns0:f>
        <ns0:v>0</ns0:v>
      </ns0:c>
      <ns0:c r="I205">
        <ns0:f>IF(COUNTIFS(Cases!$B$2:$B$1859,A205,Cases!$R$2:$R$1859,1)&gt;0,1,0)</ns0:f>
        <ns0:v>0</ns0:v>
      </ns0:c>
    </ns0:row>
    <ns0:row r="206">
      <ns0:c r="A206" t="inlineStr">
        <ns0:is>
          <ns0:t>function_0205</ns0:t>
        </ns0:is>
      </ns0:c>
      <ns0:c r="B206" t="inlineStr">
        <ns0:is>
          <ns0:t>run_011</ns0:t>
        </ns0:is>
      </ns0:c>
      <ns0:c r="C206" t="inlineStr">
        <ns0:is>
          <ns0:t>log</ns0:t>
        </ns0:is>
      </ns0:c>
      <ns0:c r="D206" t="inlineStr">
        <ns0:is>
          <ns0:t>gemini-2.5-flash-nothinking</ns0:t>
        </ns0:is>
      </ns0:c>
      <ns0:c r="E206">
        <ns0:f>COUNTIF(Cases!$B$2:$B$1859,A206)</ns0:f>
        <ns0:v>4</ns0:v>
      </ns0:c>
      <ns0:c r="F206">
        <ns0:f>IF(COUNTIFS(Cases!$B$2:$B$1859,A206,Cases!$G$2:$G$1859,1)&gt;0,1,0)</ns0:f>
        <ns0:v>0</ns0:v>
      </ns0:c>
      <ns0:c r="G206">
        <ns0:f>IF(COUNTIFS(Cases!$B$2:$B$1859,A206,Cases!$L$2:$L$1859,1)&gt;0,1,0)</ns0:f>
        <ns0:v>1</ns0:v>
      </ns0:c>
      <ns0:c r="H206">
        <ns0:f>IF(COUNTIFS(Cases!$B$2:$B$1859,A206,Cases!$Q$2:$Q$1859,1)&gt;0,1,0)</ns0:f>
        <ns0:v>0</ns0:v>
      </ns0:c>
      <ns0:c r="I206">
        <ns0:f>IF(COUNTIFS(Cases!$B$2:$B$1859,A206,Cases!$R$2:$R$1859,1)&gt;0,1,0)</ns0:f>
        <ns0:v>0</ns0:v>
      </ns0:c>
    </ns0:row>
    <ns0:row r="207">
      <ns0:c r="A207" t="inlineStr">
        <ns0:is>
          <ns0:t>function_0206</ns0:t>
        </ns0:is>
      </ns0:c>
      <ns0:c r="B207" t="inlineStr">
        <ns0:is>
          <ns0:t>run_011</ns0:t>
        </ns0:is>
      </ns0:c>
      <ns0:c r="C207" t="inlineStr">
        <ns0:is>
          <ns0:t>log</ns0:t>
        </ns0:is>
      </ns0:c>
      <ns0:c r="D207" t="inlineStr">
        <ns0:is>
          <ns0:t>gemini-2.5-flash-nothinking</ns0:t>
        </ns0:is>
      </ns0:c>
      <ns0:c r="E207">
        <ns0:f>COUNTIF(Cases!$B$2:$B$1859,A207)</ns0:f>
        <ns0:v>4</ns0:v>
      </ns0:c>
      <ns0:c r="F207">
        <ns0:f>IF(COUNTIFS(Cases!$B$2:$B$1859,A207,Cases!$G$2:$G$1859,1)&gt;0,1,0)</ns0:f>
        <ns0:v>1</ns0:v>
      </ns0:c>
      <ns0:c r="G207">
        <ns0:f>IF(COUNTIFS(Cases!$B$2:$B$1859,A207,Cases!$L$2:$L$1859,1)&gt;0,1,0)</ns0:f>
        <ns0:v>1</ns0:v>
      </ns0:c>
      <ns0:c r="H207">
        <ns0:f>IF(COUNTIFS(Cases!$B$2:$B$1859,A207,Cases!$Q$2:$Q$1859,1)&gt;0,1,0)</ns0:f>
        <ns0:v>0</ns0:v>
      </ns0:c>
      <ns0:c r="I207">
        <ns0:f>IF(COUNTIFS(Cases!$B$2:$B$1859,A207,Cases!$R$2:$R$1859,1)&gt;0,1,0)</ns0:f>
        <ns0:v>0</ns0:v>
      </ns0:c>
    </ns0:row>
    <ns0:row r="208">
      <ns0:c r="A208" t="inlineStr">
        <ns0:is>
          <ns0:t>function_0207</ns0:t>
        </ns0:is>
      </ns0:c>
      <ns0:c r="B208" t="inlineStr">
        <ns0:is>
          <ns0:t>run_011</ns0:t>
        </ns0:is>
      </ns0:c>
      <ns0:c r="C208" t="inlineStr">
        <ns0:is>
          <ns0:t>log</ns0:t>
        </ns0:is>
      </ns0:c>
      <ns0:c r="D208" t="inlineStr">
        <ns0:is>
          <ns0:t>gemini-2.5-flash-nothinking</ns0:t>
        </ns0:is>
      </ns0:c>
      <ns0:c r="E208">
        <ns0:f>COUNTIF(Cases!$B$2:$B$1859,A208)</ns0:f>
        <ns0:v>4</ns0:v>
      </ns0:c>
      <ns0:c r="F208">
        <ns0:f>IF(COUNTIFS(Cases!$B$2:$B$1859,A208,Cases!$G$2:$G$1859,1)&gt;0,1,0)</ns0:f>
        <ns0:v>0</ns0:v>
      </ns0:c>
      <ns0:c r="G208">
        <ns0:f>IF(COUNTIFS(Cases!$B$2:$B$1859,A208,Cases!$L$2:$L$1859,1)&gt;0,1,0)</ns0:f>
        <ns0:v>1</ns0:v>
      </ns0:c>
      <ns0:c r="H208">
        <ns0:f>IF(COUNTIFS(Cases!$B$2:$B$1859,A208,Cases!$Q$2:$Q$1859,1)&gt;0,1,0)</ns0:f>
        <ns0:v>0</ns0:v>
      </ns0:c>
      <ns0:c r="I208">
        <ns0:f>IF(COUNTIFS(Cases!$B$2:$B$1859,A208,Cases!$R$2:$R$1859,1)&gt;0,1,0)</ns0:f>
        <ns0:v>0</ns0:v>
      </ns0:c>
    </ns0:row>
    <ns0:row r="209">
      <ns0:c r="A209" t="inlineStr">
        <ns0:is>
          <ns0:t>function_0208</ns0:t>
        </ns0:is>
      </ns0:c>
      <ns0:c r="B209" t="inlineStr">
        <ns0:is>
          <ns0:t>run_011</ns0:t>
        </ns0:is>
      </ns0:c>
      <ns0:c r="C209" t="inlineStr">
        <ns0:is>
          <ns0:t>log</ns0:t>
        </ns0:is>
      </ns0:c>
      <ns0:c r="D209" t="inlineStr">
        <ns0:is>
          <ns0:t>gemini-2.5-flash-nothinking</ns0:t>
        </ns0:is>
      </ns0:c>
      <ns0:c r="E209">
        <ns0:f>COUNTIF(Cases!$B$2:$B$1859,A209)</ns0:f>
        <ns0:v>4</ns0:v>
      </ns0:c>
      <ns0:c r="F209">
        <ns0:f>IF(COUNTIFS(Cases!$B$2:$B$1859,A209,Cases!$G$2:$G$1859,1)&gt;0,1,0)</ns0:f>
        <ns0:v>1</ns0:v>
      </ns0:c>
      <ns0:c r="G209">
        <ns0:f>IF(COUNTIFS(Cases!$B$2:$B$1859,A209,Cases!$L$2:$L$1859,1)&gt;0,1,0)</ns0:f>
        <ns0:v>1</ns0:v>
      </ns0:c>
      <ns0:c r="H209">
        <ns0:f>IF(COUNTIFS(Cases!$B$2:$B$1859,A209,Cases!$Q$2:$Q$1859,1)&gt;0,1,0)</ns0:f>
        <ns0:v>0</ns0:v>
      </ns0:c>
      <ns0:c r="I209">
        <ns0:f>IF(COUNTIFS(Cases!$B$2:$B$1859,A209,Cases!$R$2:$R$1859,1)&gt;0,1,0)</ns0:f>
        <ns0:v>1</ns0:v>
      </ns0:c>
    </ns0:row>
    <ns0:row r="210">
      <ns0:c r="A210" t="inlineStr">
        <ns0:is>
          <ns0:t>function_0209</ns0:t>
        </ns0:is>
      </ns0:c>
      <ns0:c r="B210" t="inlineStr">
        <ns0:is>
          <ns0:t>run_011</ns0:t>
        </ns0:is>
      </ns0:c>
      <ns0:c r="C210" t="inlineStr">
        <ns0:is>
          <ns0:t>log</ns0:t>
        </ns0:is>
      </ns0:c>
      <ns0:c r="D210" t="inlineStr">
        <ns0:is>
          <ns0:t>gemini-2.5-flash-nothinking</ns0:t>
        </ns0:is>
      </ns0:c>
      <ns0:c r="E210">
        <ns0:f>COUNTIF(Cases!$B$2:$B$1859,A210)</ns0:f>
        <ns0:v>4</ns0:v>
      </ns0:c>
      <ns0:c r="F210">
        <ns0:f>IF(COUNTIFS(Cases!$B$2:$B$1859,A210,Cases!$G$2:$G$1859,1)&gt;0,1,0)</ns0:f>
        <ns0:v>1</ns0:v>
      </ns0:c>
      <ns0:c r="G210">
        <ns0:f>IF(COUNTIFS(Cases!$B$2:$B$1859,A210,Cases!$L$2:$L$1859,1)&gt;0,1,0)</ns0:f>
        <ns0:v>1</ns0:v>
      </ns0:c>
      <ns0:c r="H210">
        <ns0:f>IF(COUNTIFS(Cases!$B$2:$B$1859,A210,Cases!$Q$2:$Q$1859,1)&gt;0,1,0)</ns0:f>
        <ns0:v>0</ns0:v>
      </ns0:c>
      <ns0:c r="I210">
        <ns0:f>IF(COUNTIFS(Cases!$B$2:$B$1859,A210,Cases!$R$2:$R$1859,1)&gt;0,1,0)</ns0:f>
        <ns0:v>0</ns0:v>
      </ns0:c>
    </ns0:row>
    <ns0:row r="211">
      <ns0:c r="A211" t="inlineStr">
        <ns0:is>
          <ns0:t>function_0210</ns0:t>
        </ns0:is>
      </ns0:c>
      <ns0:c r="B211" t="inlineStr">
        <ns0:is>
          <ns0:t>run_011</ns0:t>
        </ns0:is>
      </ns0:c>
      <ns0:c r="C211" t="inlineStr">
        <ns0:is>
          <ns0:t>log</ns0:t>
        </ns0:is>
      </ns0:c>
      <ns0:c r="D211" t="inlineStr">
        <ns0:is>
          <ns0:t>gemini-2.5-flash-nothinking</ns0:t>
        </ns0:is>
      </ns0:c>
      <ns0:c r="E211">
        <ns0:f>COUNTIF(Cases!$B$2:$B$1859,A211)</ns0:f>
        <ns0:v>4</ns0:v>
      </ns0:c>
      <ns0:c r="F211">
        <ns0:f>IF(COUNTIFS(Cases!$B$2:$B$1859,A211,Cases!$G$2:$G$1859,1)&gt;0,1,0)</ns0:f>
        <ns0:v>1</ns0:v>
      </ns0:c>
      <ns0:c r="G211">
        <ns0:f>IF(COUNTIFS(Cases!$B$2:$B$1859,A211,Cases!$L$2:$L$1859,1)&gt;0,1,0)</ns0:f>
        <ns0:v>1</ns0:v>
      </ns0:c>
      <ns0:c r="H211">
        <ns0:f>IF(COUNTIFS(Cases!$B$2:$B$1859,A211,Cases!$Q$2:$Q$1859,1)&gt;0,1,0)</ns0:f>
        <ns0:v>0</ns0:v>
      </ns0:c>
      <ns0:c r="I211">
        <ns0:f>IF(COUNTIFS(Cases!$B$2:$B$1859,A211,Cases!$R$2:$R$1859,1)&gt;0,1,0)</ns0:f>
        <ns0:v>0</ns0:v>
      </ns0:c>
    </ns0:row>
    <ns0:row r="212">
      <ns0:c r="A212" t="inlineStr">
        <ns0:is>
          <ns0:t>function_0211</ns0:t>
        </ns0:is>
      </ns0:c>
      <ns0:c r="B212" t="inlineStr">
        <ns0:is>
          <ns0:t>run_011</ns0:t>
        </ns0:is>
      </ns0:c>
      <ns0:c r="C212" t="inlineStr">
        <ns0:is>
          <ns0:t>log</ns0:t>
        </ns0:is>
      </ns0:c>
      <ns0:c r="D212" t="inlineStr">
        <ns0:is>
          <ns0:t>gemini-2.5-flash-nothinking</ns0:t>
        </ns0:is>
      </ns0:c>
      <ns0:c r="E212">
        <ns0:f>COUNTIF(Cases!$B$2:$B$1859,A212)</ns0:f>
        <ns0:v>4</ns0:v>
      </ns0:c>
      <ns0:c r="F212">
        <ns0:f>IF(COUNTIFS(Cases!$B$2:$B$1859,A212,Cases!$G$2:$G$1859,1)&gt;0,1,0)</ns0:f>
        <ns0:v>1</ns0:v>
      </ns0:c>
      <ns0:c r="G212">
        <ns0:f>IF(COUNTIFS(Cases!$B$2:$B$1859,A212,Cases!$L$2:$L$1859,1)&gt;0,1,0)</ns0:f>
        <ns0:v>1</ns0:v>
      </ns0:c>
      <ns0:c r="H212">
        <ns0:f>IF(COUNTIFS(Cases!$B$2:$B$1859,A212,Cases!$Q$2:$Q$1859,1)&gt;0,1,0)</ns0:f>
        <ns0:v>0</ns0:v>
      </ns0:c>
      <ns0:c r="I212">
        <ns0:f>IF(COUNTIFS(Cases!$B$2:$B$1859,A212,Cases!$R$2:$R$1859,1)&gt;0,1,0)</ns0:f>
        <ns0:v>1</ns0:v>
      </ns0:c>
    </ns0:row>
    <ns0:row r="213">
      <ns0:c r="A213" t="inlineStr">
        <ns0:is>
          <ns0:t>function_0212</ns0:t>
        </ns0:is>
      </ns0:c>
      <ns0:c r="B213" t="inlineStr">
        <ns0:is>
          <ns0:t>run_011</ns0:t>
        </ns0:is>
      </ns0:c>
      <ns0:c r="C213" t="inlineStr">
        <ns0:is>
          <ns0:t>log</ns0:t>
        </ns0:is>
      </ns0:c>
      <ns0:c r="D213" t="inlineStr">
        <ns0:is>
          <ns0:t>gemini-2.5-flash-nothinking</ns0:t>
        </ns0:is>
      </ns0:c>
      <ns0:c r="E213">
        <ns0:f>COUNTIF(Cases!$B$2:$B$1859,A213)</ns0:f>
        <ns0:v>4</ns0:v>
      </ns0:c>
      <ns0:c r="F213">
        <ns0:f>IF(COUNTIFS(Cases!$B$2:$B$1859,A213,Cases!$G$2:$G$1859,1)&gt;0,1,0)</ns0:f>
        <ns0:v>0</ns0:v>
      </ns0:c>
      <ns0:c r="G213">
        <ns0:f>IF(COUNTIFS(Cases!$B$2:$B$1859,A213,Cases!$L$2:$L$1859,1)&gt;0,1,0)</ns0:f>
        <ns0:v>1</ns0:v>
      </ns0:c>
      <ns0:c r="H213">
        <ns0:f>IF(COUNTIFS(Cases!$B$2:$B$1859,A213,Cases!$Q$2:$Q$1859,1)&gt;0,1,0)</ns0:f>
        <ns0:v>1</ns0:v>
      </ns0:c>
      <ns0:c r="I213">
        <ns0:f>IF(COUNTIFS(Cases!$B$2:$B$1859,A213,Cases!$R$2:$R$1859,1)&gt;0,1,0)</ns0:f>
        <ns0:v>1</ns0:v>
      </ns0:c>
    </ns0:row>
    <ns0:row r="214">
      <ns0:c r="A214" t="inlineStr">
        <ns0:is>
          <ns0:t>function_0213</ns0:t>
        </ns0:is>
      </ns0:c>
      <ns0:c r="B214" t="inlineStr">
        <ns0:is>
          <ns0:t>run_011</ns0:t>
        </ns0:is>
      </ns0:c>
      <ns0:c r="C214" t="inlineStr">
        <ns0:is>
          <ns0:t>log</ns0:t>
        </ns0:is>
      </ns0:c>
      <ns0:c r="D214" t="inlineStr">
        <ns0:is>
          <ns0:t>gemini-2.5-flash-nothinking</ns0:t>
        </ns0:is>
      </ns0:c>
      <ns0:c r="E214">
        <ns0:f>COUNTIF(Cases!$B$2:$B$1859,A214)</ns0:f>
        <ns0:v>4</ns0:v>
      </ns0:c>
      <ns0:c r="F214">
        <ns0:f>IF(COUNTIFS(Cases!$B$2:$B$1859,A214,Cases!$G$2:$G$1859,1)&gt;0,1,0)</ns0:f>
        <ns0:v>1</ns0:v>
      </ns0:c>
      <ns0:c r="G214">
        <ns0:f>IF(COUNTIFS(Cases!$B$2:$B$1859,A214,Cases!$L$2:$L$1859,1)&gt;0,1,0)</ns0:f>
        <ns0:v>1</ns0:v>
      </ns0:c>
      <ns0:c r="H214">
        <ns0:f>IF(COUNTIFS(Cases!$B$2:$B$1859,A214,Cases!$Q$2:$Q$1859,1)&gt;0,1,0)</ns0:f>
        <ns0:v>0</ns0:v>
      </ns0:c>
      <ns0:c r="I214">
        <ns0:f>IF(COUNTIFS(Cases!$B$2:$B$1859,A214,Cases!$R$2:$R$1859,1)&gt;0,1,0)</ns0:f>
        <ns0:v>1</ns0:v>
      </ns0:c>
    </ns0:row>
    <ns0:row r="215">
      <ns0:c r="A215" t="inlineStr">
        <ns0:is>
          <ns0:t>function_0214</ns0:t>
        </ns0:is>
      </ns0:c>
      <ns0:c r="B215" t="inlineStr">
        <ns0:is>
          <ns0:t>run_011</ns0:t>
        </ns0:is>
      </ns0:c>
      <ns0:c r="C215" t="inlineStr">
        <ns0:is>
          <ns0:t>log</ns0:t>
        </ns0:is>
      </ns0:c>
      <ns0:c r="D215" t="inlineStr">
        <ns0:is>
          <ns0:t>gemini-2.5-flash-nothinking</ns0:t>
        </ns0:is>
      </ns0:c>
      <ns0:c r="E215">
        <ns0:f>COUNTIF(Cases!$B$2:$B$1859,A215)</ns0:f>
        <ns0:v>4</ns0:v>
      </ns0:c>
      <ns0:c r="F215">
        <ns0:f>IF(COUNTIFS(Cases!$B$2:$B$1859,A215,Cases!$G$2:$G$1859,1)&gt;0,1,0)</ns0:f>
        <ns0:v>1</ns0:v>
      </ns0:c>
      <ns0:c r="G215">
        <ns0:f>IF(COUNTIFS(Cases!$B$2:$B$1859,A215,Cases!$L$2:$L$1859,1)&gt;0,1,0)</ns0:f>
        <ns0:v>1</ns0:v>
      </ns0:c>
      <ns0:c r="H215">
        <ns0:f>IF(COUNTIFS(Cases!$B$2:$B$1859,A215,Cases!$Q$2:$Q$1859,1)&gt;0,1,0)</ns0:f>
        <ns0:v>1</ns0:v>
      </ns0:c>
      <ns0:c r="I215">
        <ns0:f>IF(COUNTIFS(Cases!$B$2:$B$1859,A215,Cases!$R$2:$R$1859,1)&gt;0,1,0)</ns0:f>
        <ns0:v>1</ns0:v>
      </ns0:c>
    </ns0:row>
    <ns0:row r="216">
      <ns0:c r="A216" t="inlineStr">
        <ns0:is>
          <ns0:t>function_0215</ns0:t>
        </ns0:is>
      </ns0:c>
      <ns0:c r="B216" t="inlineStr">
        <ns0:is>
          <ns0:t>run_011</ns0:t>
        </ns0:is>
      </ns0:c>
      <ns0:c r="C216" t="inlineStr">
        <ns0:is>
          <ns0:t>log</ns0:t>
        </ns0:is>
      </ns0:c>
      <ns0:c r="D216" t="inlineStr">
        <ns0:is>
          <ns0:t>gemini-2.5-flash-nothinking</ns0:t>
        </ns0:is>
      </ns0:c>
      <ns0:c r="E216">
        <ns0:f>COUNTIF(Cases!$B$2:$B$1859,A216)</ns0:f>
        <ns0:v>3</ns0:v>
      </ns0:c>
      <ns0:c r="F216">
        <ns0:f>IF(COUNTIFS(Cases!$B$2:$B$1859,A216,Cases!$G$2:$G$1859,1)&gt;0,1,0)</ns0:f>
        <ns0:v>1</ns0:v>
      </ns0:c>
      <ns0:c r="G216">
        <ns0:f>IF(COUNTIFS(Cases!$B$2:$B$1859,A216,Cases!$L$2:$L$1859,1)&gt;0,1,0)</ns0:f>
        <ns0:v>1</ns0:v>
      </ns0:c>
      <ns0:c r="H216">
        <ns0:f>IF(COUNTIFS(Cases!$B$2:$B$1859,A216,Cases!$Q$2:$Q$1859,1)&gt;0,1,0)</ns0:f>
        <ns0:v>0</ns0:v>
      </ns0:c>
      <ns0:c r="I216">
        <ns0:f>IF(COUNTIFS(Cases!$B$2:$B$1859,A216,Cases!$R$2:$R$1859,1)&gt;0,1,0)</ns0:f>
        <ns0:v>0</ns0:v>
      </ns0:c>
    </ns0:row>
    <ns0:row r="217">
      <ns0:c r="A217" t="inlineStr">
        <ns0:is>
          <ns0:t>function_0216</ns0:t>
        </ns0:is>
      </ns0:c>
      <ns0:c r="B217" t="inlineStr">
        <ns0:is>
          <ns0:t>run_011</ns0:t>
        </ns0:is>
      </ns0:c>
      <ns0:c r="C217" t="inlineStr">
        <ns0:is>
          <ns0:t>log</ns0:t>
        </ns0:is>
      </ns0:c>
      <ns0:c r="D217" t="inlineStr">
        <ns0:is>
          <ns0:t>gemini-2.5-flash-nothinking</ns0:t>
        </ns0:is>
      </ns0:c>
      <ns0:c r="E217">
        <ns0:f>COUNTIF(Cases!$B$2:$B$1859,A217)</ns0:f>
        <ns0:v>4</ns0:v>
      </ns0:c>
      <ns0:c r="F217">
        <ns0:f>IF(COUNTIFS(Cases!$B$2:$B$1859,A217,Cases!$G$2:$G$1859,1)&gt;0,1,0)</ns0:f>
        <ns0:v>1</ns0:v>
      </ns0:c>
      <ns0:c r="G217">
        <ns0:f>IF(COUNTIFS(Cases!$B$2:$B$1859,A217,Cases!$L$2:$L$1859,1)&gt;0,1,0)</ns0:f>
        <ns0:v>1</ns0:v>
      </ns0:c>
      <ns0:c r="H217">
        <ns0:f>IF(COUNTIFS(Cases!$B$2:$B$1859,A217,Cases!$Q$2:$Q$1859,1)&gt;0,1,0)</ns0:f>
        <ns0:v>1</ns0:v>
      </ns0:c>
      <ns0:c r="I217">
        <ns0:f>IF(COUNTIFS(Cases!$B$2:$B$1859,A217,Cases!$R$2:$R$1859,1)&gt;0,1,0)</ns0:f>
        <ns0:v>1</ns0:v>
      </ns0:c>
    </ns0:row>
    <ns0:row r="218">
      <ns0:c r="A218" t="inlineStr">
        <ns0:is>
          <ns0:t>function_0217</ns0:t>
        </ns0:is>
      </ns0:c>
      <ns0:c r="B218" t="inlineStr">
        <ns0:is>
          <ns0:t>run_011</ns0:t>
        </ns0:is>
      </ns0:c>
      <ns0:c r="C218" t="inlineStr">
        <ns0:is>
          <ns0:t>log</ns0:t>
        </ns0:is>
      </ns0:c>
      <ns0:c r="D218" t="inlineStr">
        <ns0:is>
          <ns0:t>gemini-2.5-flash-nothinking</ns0:t>
        </ns0:is>
      </ns0:c>
      <ns0:c r="E218">
        <ns0:f>COUNTIF(Cases!$B$2:$B$1859,A218)</ns0:f>
        <ns0:v>2</ns0:v>
      </ns0:c>
      <ns0:c r="F218">
        <ns0:f>IF(COUNTIFS(Cases!$B$2:$B$1859,A218,Cases!$G$2:$G$1859,1)&gt;0,1,0)</ns0:f>
        <ns0:v>1</ns0:v>
      </ns0:c>
      <ns0:c r="G218">
        <ns0:f>IF(COUNTIFS(Cases!$B$2:$B$1859,A218,Cases!$L$2:$L$1859,1)&gt;0,1,0)</ns0:f>
        <ns0:v>1</ns0:v>
      </ns0:c>
      <ns0:c r="H218">
        <ns0:f>IF(COUNTIFS(Cases!$B$2:$B$1859,A218,Cases!$Q$2:$Q$1859,1)&gt;0,1,0)</ns0:f>
        <ns0:v>0</ns0:v>
      </ns0:c>
      <ns0:c r="I218">
        <ns0:f>IF(COUNTIFS(Cases!$B$2:$B$1859,A218,Cases!$R$2:$R$1859,1)&gt;0,1,0)</ns0:f>
        <ns0:v>0</ns0:v>
      </ns0:c>
    </ns0:row>
    <ns0:row r="219">
      <ns0:c r="A219" t="inlineStr">
        <ns0:is>
          <ns0:t>function_0218</ns0:t>
        </ns0:is>
      </ns0:c>
      <ns0:c r="B219" t="inlineStr">
        <ns0:is>
          <ns0:t>run_011</ns0:t>
        </ns0:is>
      </ns0:c>
      <ns0:c r="C219" t="inlineStr">
        <ns0:is>
          <ns0:t>log</ns0:t>
        </ns0:is>
      </ns0:c>
      <ns0:c r="D219" t="inlineStr">
        <ns0:is>
          <ns0:t>gemini-2.5-flash-nothinking</ns0:t>
        </ns0:is>
      </ns0:c>
      <ns0:c r="E219">
        <ns0:f>COUNTIF(Cases!$B$2:$B$1859,A219)</ns0:f>
        <ns0:v>1</ns0:v>
      </ns0:c>
      <ns0:c r="F219">
        <ns0:f>IF(COUNTIFS(Cases!$B$2:$B$1859,A219,Cases!$G$2:$G$1859,1)&gt;0,1,0)</ns0:f>
        <ns0:v>0</ns0:v>
      </ns0:c>
      <ns0:c r="G219">
        <ns0:f>IF(COUNTIFS(Cases!$B$2:$B$1859,A219,Cases!$L$2:$L$1859,1)&gt;0,1,0)</ns0:f>
        <ns0:v>1</ns0:v>
      </ns0:c>
      <ns0:c r="H219">
        <ns0:f>IF(COUNTIFS(Cases!$B$2:$B$1859,A219,Cases!$Q$2:$Q$1859,1)&gt;0,1,0)</ns0:f>
        <ns0:v>1</ns0:v>
      </ns0:c>
      <ns0:c r="I219">
        <ns0:f>IF(COUNTIFS(Cases!$B$2:$B$1859,A219,Cases!$R$2:$R$1859,1)&gt;0,1,0)</ns0:f>
        <ns0:v>1</ns0:v>
      </ns0:c>
    </ns0:row>
    <ns0:row r="220">
      <ns0:c r="A220" t="inlineStr">
        <ns0:is>
          <ns0:t>function_0219</ns0:t>
        </ns0:is>
      </ns0:c>
      <ns0:c r="B220" t="inlineStr">
        <ns0:is>
          <ns0:t>run_011</ns0:t>
        </ns0:is>
      </ns0:c>
      <ns0:c r="C220" t="inlineStr">
        <ns0:is>
          <ns0:t>log</ns0:t>
        </ns0:is>
      </ns0:c>
      <ns0:c r="D220" t="inlineStr">
        <ns0:is>
          <ns0:t>gemini-2.5-flash-nothinking</ns0:t>
        </ns0:is>
      </ns0:c>
      <ns0:c r="E220">
        <ns0:f>COUNTIF(Cases!$B$2:$B$1859,A220)</ns0:f>
        <ns0:v>4</ns0:v>
      </ns0:c>
      <ns0:c r="F220">
        <ns0:f>IF(COUNTIFS(Cases!$B$2:$B$1859,A220,Cases!$G$2:$G$1859,1)&gt;0,1,0)</ns0:f>
        <ns0:v>1</ns0:v>
      </ns0:c>
      <ns0:c r="G220">
        <ns0:f>IF(COUNTIFS(Cases!$B$2:$B$1859,A220,Cases!$L$2:$L$1859,1)&gt;0,1,0)</ns0:f>
        <ns0:v>1</ns0:v>
      </ns0:c>
      <ns0:c r="H220">
        <ns0:f>IF(COUNTIFS(Cases!$B$2:$B$1859,A220,Cases!$Q$2:$Q$1859,1)&gt;0,1,0)</ns0:f>
        <ns0:v>0</ns0:v>
      </ns0:c>
      <ns0:c r="I220">
        <ns0:f>IF(COUNTIFS(Cases!$B$2:$B$1859,A220,Cases!$R$2:$R$1859,1)&gt;0,1,0)</ns0:f>
        <ns0:v>0</ns0:v>
      </ns0:c>
    </ns0:row>
    <ns0:row r="221">
      <ns0:c r="A221" t="inlineStr">
        <ns0:is>
          <ns0:t>function_0220</ns0:t>
        </ns0:is>
      </ns0:c>
      <ns0:c r="B221" t="inlineStr">
        <ns0:is>
          <ns0:t>run_011</ns0:t>
        </ns0:is>
      </ns0:c>
      <ns0:c r="C221" t="inlineStr">
        <ns0:is>
          <ns0:t>log</ns0:t>
        </ns0:is>
      </ns0:c>
      <ns0:c r="D221" t="inlineStr">
        <ns0:is>
          <ns0:t>gemini-2.5-flash-nothinking</ns0:t>
        </ns0:is>
      </ns0:c>
      <ns0:c r="E221">
        <ns0:f>COUNTIF(Cases!$B$2:$B$1859,A221)</ns0:f>
        <ns0:v>1</ns0:v>
      </ns0:c>
      <ns0:c r="F221">
        <ns0:f>IF(COUNTIFS(Cases!$B$2:$B$1859,A221,Cases!$G$2:$G$1859,1)&gt;0,1,0)</ns0:f>
        <ns0:v>1</ns0:v>
      </ns0:c>
      <ns0:c r="G221">
        <ns0:f>IF(COUNTIFS(Cases!$B$2:$B$1859,A221,Cases!$L$2:$L$1859,1)&gt;0,1,0)</ns0:f>
        <ns0:v>1</ns0:v>
      </ns0:c>
      <ns0:c r="H221">
        <ns0:f>IF(COUNTIFS(Cases!$B$2:$B$1859,A221,Cases!$Q$2:$Q$1859,1)&gt;0,1,0)</ns0:f>
        <ns0:v>0</ns0:v>
      </ns0:c>
      <ns0:c r="I221">
        <ns0:f>IF(COUNTIFS(Cases!$B$2:$B$1859,A221,Cases!$R$2:$R$1859,1)&gt;0,1,0)</ns0:f>
        <ns0:v>0</ns0:v>
      </ns0:c>
    </ns0:row>
    <ns0:row r="222">
      <ns0:c r="A222" t="inlineStr">
        <ns0:is>
          <ns0:t>function_0221</ns0:t>
        </ns0:is>
      </ns0:c>
      <ns0:c r="B222" t="inlineStr">
        <ns0:is>
          <ns0:t>run_011</ns0:t>
        </ns0:is>
      </ns0:c>
      <ns0:c r="C222" t="inlineStr">
        <ns0:is>
          <ns0:t>log</ns0:t>
        </ns0:is>
      </ns0:c>
      <ns0:c r="D222" t="inlineStr">
        <ns0:is>
          <ns0:t>gemini-2.5-flash-nothinking</ns0:t>
        </ns0:is>
      </ns0:c>
      <ns0:c r="E222">
        <ns0:f>COUNTIF(Cases!$B$2:$B$1859,A222)</ns0:f>
        <ns0:v>2</ns0:v>
      </ns0:c>
      <ns0:c r="F222">
        <ns0:f>IF(COUNTIFS(Cases!$B$2:$B$1859,A222,Cases!$G$2:$G$1859,1)&gt;0,1,0)</ns0:f>
        <ns0:v>1</ns0:v>
      </ns0:c>
      <ns0:c r="G222">
        <ns0:f>IF(COUNTIFS(Cases!$B$2:$B$1859,A222,Cases!$L$2:$L$1859,1)&gt;0,1,0)</ns0:f>
        <ns0:v>1</ns0:v>
      </ns0:c>
      <ns0:c r="H222">
        <ns0:f>IF(COUNTIFS(Cases!$B$2:$B$1859,A222,Cases!$Q$2:$Q$1859,1)&gt;0,1,0)</ns0:f>
        <ns0:v>1</ns0:v>
      </ns0:c>
      <ns0:c r="I222">
        <ns0:f>IF(COUNTIFS(Cases!$B$2:$B$1859,A222,Cases!$R$2:$R$1859,1)&gt;0,1,0)</ns0:f>
        <ns0:v>1</ns0:v>
      </ns0:c>
    </ns0:row>
    <ns0:row r="223">
      <ns0:c r="A223" t="inlineStr">
        <ns0:is>
          <ns0:t>function_0222</ns0:t>
        </ns0:is>
      </ns0:c>
      <ns0:c r="B223" t="inlineStr">
        <ns0:is>
          <ns0:t>run_011</ns0:t>
        </ns0:is>
      </ns0:c>
      <ns0:c r="C223" t="inlineStr">
        <ns0:is>
          <ns0:t>log</ns0:t>
        </ns0:is>
      </ns0:c>
      <ns0:c r="D223" t="inlineStr">
        <ns0:is>
          <ns0:t>gemini-2.5-flash-nothinking</ns0:t>
        </ns0:is>
      </ns0:c>
      <ns0:c r="E223">
        <ns0:f>COUNTIF(Cases!$B$2:$B$1859,A223)</ns0:f>
        <ns0:v>2</ns0:v>
      </ns0:c>
      <ns0:c r="F223">
        <ns0:f>IF(COUNTIFS(Cases!$B$2:$B$1859,A223,Cases!$G$2:$G$1859,1)&gt;0,1,0)</ns0:f>
        <ns0:v>1</ns0:v>
      </ns0:c>
      <ns0:c r="G223">
        <ns0:f>IF(COUNTIFS(Cases!$B$2:$B$1859,A223,Cases!$L$2:$L$1859,1)&gt;0,1,0)</ns0:f>
        <ns0:v>1</ns0:v>
      </ns0:c>
      <ns0:c r="H223">
        <ns0:f>IF(COUNTIFS(Cases!$B$2:$B$1859,A223,Cases!$Q$2:$Q$1859,1)&gt;0,1,0)</ns0:f>
        <ns0:v>1</ns0:v>
      </ns0:c>
      <ns0:c r="I223">
        <ns0:f>IF(COUNTIFS(Cases!$B$2:$B$1859,A223,Cases!$R$2:$R$1859,1)&gt;0,1,0)</ns0:f>
        <ns0:v>1</ns0:v>
      </ns0:c>
    </ns0:row>
    <ns0:row r="224">
      <ns0:c r="A224" t="inlineStr">
        <ns0:is>
          <ns0:t>function_0223</ns0:t>
        </ns0:is>
      </ns0:c>
      <ns0:c r="B224" t="inlineStr">
        <ns0:is>
          <ns0:t>run_011</ns0:t>
        </ns0:is>
      </ns0:c>
      <ns0:c r="C224" t="inlineStr">
        <ns0:is>
          <ns0:t>log</ns0:t>
        </ns0:is>
      </ns0:c>
      <ns0:c r="D224" t="inlineStr">
        <ns0:is>
          <ns0:t>gemini-2.5-flash-nothinking</ns0:t>
        </ns0:is>
      </ns0:c>
      <ns0:c r="E224">
        <ns0:f>COUNTIF(Cases!$B$2:$B$1859,A224)</ns0:f>
        <ns0:v>2</ns0:v>
      </ns0:c>
      <ns0:c r="F224">
        <ns0:f>IF(COUNTIFS(Cases!$B$2:$B$1859,A224,Cases!$G$2:$G$1859,1)&gt;0,1,0)</ns0:f>
        <ns0:v>0</ns0:v>
      </ns0:c>
      <ns0:c r="G224">
        <ns0:f>IF(COUNTIFS(Cases!$B$2:$B$1859,A224,Cases!$L$2:$L$1859,1)&gt;0,1,0)</ns0:f>
        <ns0:v>1</ns0:v>
      </ns0:c>
      <ns0:c r="H224">
        <ns0:f>IF(COUNTIFS(Cases!$B$2:$B$1859,A224,Cases!$Q$2:$Q$1859,1)&gt;0,1,0)</ns0:f>
        <ns0:v>0</ns0:v>
      </ns0:c>
      <ns0:c r="I224">
        <ns0:f>IF(COUNTIFS(Cases!$B$2:$B$1859,A224,Cases!$R$2:$R$1859,1)&gt;0,1,0)</ns0:f>
        <ns0:v>0</ns0:v>
      </ns0:c>
    </ns0:row>
    <ns0:row r="225">
      <ns0:c r="A225" t="inlineStr">
        <ns0:is>
          <ns0:t>function_0224</ns0:t>
        </ns0:is>
      </ns0:c>
      <ns0:c r="B225" t="inlineStr">
        <ns0:is>
          <ns0:t>run_011</ns0:t>
        </ns0:is>
      </ns0:c>
      <ns0:c r="C225" t="inlineStr">
        <ns0:is>
          <ns0:t>log</ns0:t>
        </ns0:is>
      </ns0:c>
      <ns0:c r="D225" t="inlineStr">
        <ns0:is>
          <ns0:t>gemini-2.5-flash-nothinking</ns0:t>
        </ns0:is>
      </ns0:c>
      <ns0:c r="E225">
        <ns0:f>COUNTIF(Cases!$B$2:$B$1859,A225)</ns0:f>
        <ns0:v>2</ns0:v>
      </ns0:c>
      <ns0:c r="F225">
        <ns0:f>IF(COUNTIFS(Cases!$B$2:$B$1859,A225,Cases!$G$2:$G$1859,1)&gt;0,1,0)</ns0:f>
        <ns0:v>0</ns0:v>
      </ns0:c>
      <ns0:c r="G225">
        <ns0:f>IF(COUNTIFS(Cases!$B$2:$B$1859,A225,Cases!$L$2:$L$1859,1)&gt;0,1,0)</ns0:f>
        <ns0:v>1</ns0:v>
      </ns0:c>
      <ns0:c r="H225">
        <ns0:f>IF(COUNTIFS(Cases!$B$2:$B$1859,A225,Cases!$Q$2:$Q$1859,1)&gt;0,1,0)</ns0:f>
        <ns0:v>0</ns0:v>
      </ns0:c>
      <ns0:c r="I225">
        <ns0:f>IF(COUNTIFS(Cases!$B$2:$B$1859,A225,Cases!$R$2:$R$1859,1)&gt;0,1,0)</ns0:f>
        <ns0:v>0</ns0:v>
      </ns0:c>
    </ns0:row>
    <ns0:row r="226">
      <ns0:c r="A226" t="inlineStr">
        <ns0:is>
          <ns0:t>function_0225</ns0:t>
        </ns0:is>
      </ns0:c>
      <ns0:c r="B226" t="inlineStr">
        <ns0:is>
          <ns0:t>run_011</ns0:t>
        </ns0:is>
      </ns0:c>
      <ns0:c r="C226" t="inlineStr">
        <ns0:is>
          <ns0:t>log</ns0:t>
        </ns0:is>
      </ns0:c>
      <ns0:c r="D226" t="inlineStr">
        <ns0:is>
          <ns0:t>gemini-2.5-flash-nothinking</ns0:t>
        </ns0:is>
      </ns0:c>
      <ns0:c r="E226">
        <ns0:f>COUNTIF(Cases!$B$2:$B$1859,A226)</ns0:f>
        <ns0:v>2</ns0:v>
      </ns0:c>
      <ns0:c r="F226">
        <ns0:f>IF(COUNTIFS(Cases!$B$2:$B$1859,A226,Cases!$G$2:$G$1859,1)&gt;0,1,0)</ns0:f>
        <ns0:v>0</ns0:v>
      </ns0:c>
      <ns0:c r="G226">
        <ns0:f>IF(COUNTIFS(Cases!$B$2:$B$1859,A226,Cases!$L$2:$L$1859,1)&gt;0,1,0)</ns0:f>
        <ns0:v>0</ns0:v>
      </ns0:c>
      <ns0:c r="H226">
        <ns0:f>IF(COUNTIFS(Cases!$B$2:$B$1859,A226,Cases!$Q$2:$Q$1859,1)&gt;0,1,0)</ns0:f>
        <ns0:v>0</ns0:v>
      </ns0:c>
      <ns0:c r="I226">
        <ns0:f>IF(COUNTIFS(Cases!$B$2:$B$1859,A226,Cases!$R$2:$R$1859,1)&gt;0,1,0)</ns0:f>
        <ns0:v>0</ns0:v>
      </ns0:c>
    </ns0:row>
    <ns0:row r="227">
      <ns0:c r="A227" t="inlineStr">
        <ns0:is>
          <ns0:t>function_0226</ns0:t>
        </ns0:is>
      </ns0:c>
      <ns0:c r="B227" t="inlineStr">
        <ns0:is>
          <ns0:t>run_011</ns0:t>
        </ns0:is>
      </ns0:c>
      <ns0:c r="C227" t="inlineStr">
        <ns0:is>
          <ns0:t>log</ns0:t>
        </ns0:is>
      </ns0:c>
      <ns0:c r="D227" t="inlineStr">
        <ns0:is>
          <ns0:t>gemini-2.5-flash-nothinking</ns0:t>
        </ns0:is>
      </ns0:c>
      <ns0:c r="E227">
        <ns0:f>COUNTIF(Cases!$B$2:$B$1859,A227)</ns0:f>
        <ns0:v>1</ns0:v>
      </ns0:c>
      <ns0:c r="F227">
        <ns0:f>IF(COUNTIFS(Cases!$B$2:$B$1859,A227,Cases!$G$2:$G$1859,1)&gt;0,1,0)</ns0:f>
        <ns0:v>1</ns0:v>
      </ns0:c>
      <ns0:c r="G227">
        <ns0:f>IF(COUNTIFS(Cases!$B$2:$B$1859,A227,Cases!$L$2:$L$1859,1)&gt;0,1,0)</ns0:f>
        <ns0:v>1</ns0:v>
      </ns0:c>
      <ns0:c r="H227">
        <ns0:f>IF(COUNTIFS(Cases!$B$2:$B$1859,A227,Cases!$Q$2:$Q$1859,1)&gt;0,1,0)</ns0:f>
        <ns0:v>0</ns0:v>
      </ns0:c>
      <ns0:c r="I227">
        <ns0:f>IF(COUNTIFS(Cases!$B$2:$B$1859,A227,Cases!$R$2:$R$1859,1)&gt;0,1,0)</ns0:f>
        <ns0:v>0</ns0:v>
      </ns0:c>
    </ns0:row>
    <ns0:row r="228">
      <ns0:c r="A228" t="inlineStr">
        <ns0:is>
          <ns0:t>function_0227</ns0:t>
        </ns0:is>
      </ns0:c>
      <ns0:c r="B228" t="inlineStr">
        <ns0:is>
          <ns0:t>run_011</ns0:t>
        </ns0:is>
      </ns0:c>
      <ns0:c r="C228" t="inlineStr">
        <ns0:is>
          <ns0:t>log</ns0:t>
        </ns0:is>
      </ns0:c>
      <ns0:c r="D228" t="inlineStr">
        <ns0:is>
          <ns0:t>gemini-2.5-flash-nothinking</ns0:t>
        </ns0:is>
      </ns0:c>
      <ns0:c r="E228">
        <ns0:f>COUNTIF(Cases!$B$2:$B$1859,A228)</ns0:f>
        <ns0:v>2</ns0:v>
      </ns0:c>
      <ns0:c r="F228">
        <ns0:f>IF(COUNTIFS(Cases!$B$2:$B$1859,A228,Cases!$G$2:$G$1859,1)&gt;0,1,0)</ns0:f>
        <ns0:v>0</ns0:v>
      </ns0:c>
      <ns0:c r="G228">
        <ns0:f>IF(COUNTIFS(Cases!$B$2:$B$1859,A228,Cases!$L$2:$L$1859,1)&gt;0,1,0)</ns0:f>
        <ns0:v>1</ns0:v>
      </ns0:c>
      <ns0:c r="H228">
        <ns0:f>IF(COUNTIFS(Cases!$B$2:$B$1859,A228,Cases!$Q$2:$Q$1859,1)&gt;0,1,0)</ns0:f>
        <ns0:v>1</ns0:v>
      </ns0:c>
      <ns0:c r="I228">
        <ns0:f>IF(COUNTIFS(Cases!$B$2:$B$1859,A228,Cases!$R$2:$R$1859,1)&gt;0,1,0)</ns0:f>
        <ns0:v>1</ns0:v>
      </ns0:c>
    </ns0:row>
    <ns0:row r="229">
      <ns0:c r="A229" t="inlineStr">
        <ns0:is>
          <ns0:t>function_0228</ns0:t>
        </ns0:is>
      </ns0:c>
      <ns0:c r="B229" t="inlineStr">
        <ns0:is>
          <ns0:t>run_012</ns0:t>
        </ns0:is>
      </ns0:c>
      <ns0:c r="C229" t="inlineStr">
        <ns0:is>
          <ns0:t>mio</ns0:t>
        </ns0:is>
      </ns0:c>
      <ns0:c r="D229" t="inlineStr">
        <ns0:is>
          <ns0:t>gemini-2.5-flash-nothinking</ns0:t>
        </ns0:is>
      </ns0:c>
      <ns0:c r="E229">
        <ns0:f>COUNTIF(Cases!$B$2:$B$1859,A229)</ns0:f>
        <ns0:v>2</ns0:v>
      </ns0:c>
      <ns0:c r="F229">
        <ns0:f>IF(COUNTIFS(Cases!$B$2:$B$1859,A229,Cases!$G$2:$G$1859,1)&gt;0,1,0)</ns0:f>
        <ns0:v>0</ns0:v>
      </ns0:c>
      <ns0:c r="G229">
        <ns0:f>IF(COUNTIFS(Cases!$B$2:$B$1859,A229,Cases!$L$2:$L$1859,1)&gt;0,1,0)</ns0:f>
        <ns0:v>1</ns0:v>
      </ns0:c>
      <ns0:c r="H229">
        <ns0:f>IF(COUNTIFS(Cases!$B$2:$B$1859,A229,Cases!$Q$2:$Q$1859,1)&gt;0,1,0)</ns0:f>
        <ns0:v>0</ns0:v>
      </ns0:c>
      <ns0:c r="I229">
        <ns0:f>IF(COUNTIFS(Cases!$B$2:$B$1859,A229,Cases!$R$2:$R$1859,1)&gt;0,1,0)</ns0:f>
        <ns0:v>1</ns0:v>
      </ns0:c>
    </ns0:row>
    <ns0:row r="230">
      <ns0:c r="A230" t="inlineStr">
        <ns0:is>
          <ns0:t>function_0229</ns0:t>
        </ns0:is>
      </ns0:c>
      <ns0:c r="B230" t="inlineStr">
        <ns0:is>
          <ns0:t>run_012</ns0:t>
        </ns0:is>
      </ns0:c>
      <ns0:c r="C230" t="inlineStr">
        <ns0:is>
          <ns0:t>mio</ns0:t>
        </ns0:is>
      </ns0:c>
      <ns0:c r="D230" t="inlineStr">
        <ns0:is>
          <ns0:t>gemini-2.5-flash-nothinking</ns0:t>
        </ns0:is>
      </ns0:c>
      <ns0:c r="E230">
        <ns0:f>COUNTIF(Cases!$B$2:$B$1859,A230)</ns0:f>
        <ns0:v>2</ns0:v>
      </ns0:c>
      <ns0:c r="F230">
        <ns0:f>IF(COUNTIFS(Cases!$B$2:$B$1859,A230,Cases!$G$2:$G$1859,1)&gt;0,1,0)</ns0:f>
        <ns0:v>0</ns0:v>
      </ns0:c>
      <ns0:c r="G230">
        <ns0:f>IF(COUNTIFS(Cases!$B$2:$B$1859,A230,Cases!$L$2:$L$1859,1)&gt;0,1,0)</ns0:f>
        <ns0:v>1</ns0:v>
      </ns0:c>
      <ns0:c r="H230">
        <ns0:f>IF(COUNTIFS(Cases!$B$2:$B$1859,A230,Cases!$Q$2:$Q$1859,1)&gt;0,1,0)</ns0:f>
        <ns0:v>0</ns0:v>
      </ns0:c>
      <ns0:c r="I230">
        <ns0:f>IF(COUNTIFS(Cases!$B$2:$B$1859,A230,Cases!$R$2:$R$1859,1)&gt;0,1,0)</ns0:f>
        <ns0:v>1</ns0:v>
      </ns0:c>
    </ns0:row>
    <ns0:row r="231">
      <ns0:c r="A231" t="inlineStr">
        <ns0:is>
          <ns0:t>function_0230</ns0:t>
        </ns0:is>
      </ns0:c>
      <ns0:c r="B231" t="inlineStr">
        <ns0:is>
          <ns0:t>run_012</ns0:t>
        </ns0:is>
      </ns0:c>
      <ns0:c r="C231" t="inlineStr">
        <ns0:is>
          <ns0:t>mio</ns0:t>
        </ns0:is>
      </ns0:c>
      <ns0:c r="D231" t="inlineStr">
        <ns0:is>
          <ns0:t>gemini-2.5-flash-nothinking</ns0:t>
        </ns0:is>
      </ns0:c>
      <ns0:c r="E231">
        <ns0:f>COUNTIF(Cases!$B$2:$B$1859,A231)</ns0:f>
        <ns0:v>2</ns0:v>
      </ns0:c>
      <ns0:c r="F231">
        <ns0:f>IF(COUNTIFS(Cases!$B$2:$B$1859,A231,Cases!$G$2:$G$1859,1)&gt;0,1,0)</ns0:f>
        <ns0:v>0</ns0:v>
      </ns0:c>
      <ns0:c r="G231">
        <ns0:f>IF(COUNTIFS(Cases!$B$2:$B$1859,A231,Cases!$L$2:$L$1859,1)&gt;0,1,0)</ns0:f>
        <ns0:v>1</ns0:v>
      </ns0:c>
      <ns0:c r="H231">
        <ns0:f>IF(COUNTIFS(Cases!$B$2:$B$1859,A231,Cases!$Q$2:$Q$1859,1)&gt;0,1,0)</ns0:f>
        <ns0:v>0</ns0:v>
      </ns0:c>
      <ns0:c r="I231">
        <ns0:f>IF(COUNTIFS(Cases!$B$2:$B$1859,A231,Cases!$R$2:$R$1859,1)&gt;0,1,0)</ns0:f>
        <ns0:v>0</ns0:v>
      </ns0:c>
    </ns0:row>
    <ns0:row r="232">
      <ns0:c r="A232" t="inlineStr">
        <ns0:is>
          <ns0:t>function_0231</ns0:t>
        </ns0:is>
      </ns0:c>
      <ns0:c r="B232" t="inlineStr">
        <ns0:is>
          <ns0:t>run_012</ns0:t>
        </ns0:is>
      </ns0:c>
      <ns0:c r="C232" t="inlineStr">
        <ns0:is>
          <ns0:t>mio</ns0:t>
        </ns0:is>
      </ns0:c>
      <ns0:c r="D232" t="inlineStr">
        <ns0:is>
          <ns0:t>gemini-2.5-flash-nothinking</ns0:t>
        </ns0:is>
      </ns0:c>
      <ns0:c r="E232">
        <ns0:f>COUNTIF(Cases!$B$2:$B$1859,A232)</ns0:f>
        <ns0:v>2</ns0:v>
      </ns0:c>
      <ns0:c r="F232">
        <ns0:f>IF(COUNTIFS(Cases!$B$2:$B$1859,A232,Cases!$G$2:$G$1859,1)&gt;0,1,0)</ns0:f>
        <ns0:v>0</ns0:v>
      </ns0:c>
      <ns0:c r="G232">
        <ns0:f>IF(COUNTIFS(Cases!$B$2:$B$1859,A232,Cases!$L$2:$L$1859,1)&gt;0,1,0)</ns0:f>
        <ns0:v>0</ns0:v>
      </ns0:c>
      <ns0:c r="H232">
        <ns0:f>IF(COUNTIFS(Cases!$B$2:$B$1859,A232,Cases!$Q$2:$Q$1859,1)&gt;0,1,0)</ns0:f>
        <ns0:v>0</ns0:v>
      </ns0:c>
      <ns0:c r="I232">
        <ns0:f>IF(COUNTIFS(Cases!$B$2:$B$1859,A232,Cases!$R$2:$R$1859,1)&gt;0,1,0)</ns0:f>
        <ns0:v>0</ns0:v>
      </ns0:c>
    </ns0:row>
    <ns0:row r="233">
      <ns0:c r="A233" t="inlineStr">
        <ns0:is>
          <ns0:t>function_0232</ns0:t>
        </ns0:is>
      </ns0:c>
      <ns0:c r="B233" t="inlineStr">
        <ns0:is>
          <ns0:t>run_012</ns0:t>
        </ns0:is>
      </ns0:c>
      <ns0:c r="C233" t="inlineStr">
        <ns0:is>
          <ns0:t>mio</ns0:t>
        </ns0:is>
      </ns0:c>
      <ns0:c r="D233" t="inlineStr">
        <ns0:is>
          <ns0:t>gemini-2.5-flash-nothinking</ns0:t>
        </ns0:is>
      </ns0:c>
      <ns0:c r="E233">
        <ns0:f>COUNTIF(Cases!$B$2:$B$1859,A233)</ns0:f>
        <ns0:v>2</ns0:v>
      </ns0:c>
      <ns0:c r="F233">
        <ns0:f>IF(COUNTIFS(Cases!$B$2:$B$1859,A233,Cases!$G$2:$G$1859,1)&gt;0,1,0)</ns0:f>
        <ns0:v>0</ns0:v>
      </ns0:c>
      <ns0:c r="G233">
        <ns0:f>IF(COUNTIFS(Cases!$B$2:$B$1859,A233,Cases!$L$2:$L$1859,1)&gt;0,1,0)</ns0:f>
        <ns0:v>1</ns0:v>
      </ns0:c>
      <ns0:c r="H233">
        <ns0:f>IF(COUNTIFS(Cases!$B$2:$B$1859,A233,Cases!$Q$2:$Q$1859,1)&gt;0,1,0)</ns0:f>
        <ns0:v>0</ns0:v>
      </ns0:c>
      <ns0:c r="I233">
        <ns0:f>IF(COUNTIFS(Cases!$B$2:$B$1859,A233,Cases!$R$2:$R$1859,1)&gt;0,1,0)</ns0:f>
        <ns0:v>1</ns0:v>
      </ns0:c>
    </ns0:row>
    <ns0:row r="234">
      <ns0:c r="A234" t="inlineStr">
        <ns0:is>
          <ns0:t>function_0233</ns0:t>
        </ns0:is>
      </ns0:c>
      <ns0:c r="B234" t="inlineStr">
        <ns0:is>
          <ns0:t>run_012</ns0:t>
        </ns0:is>
      </ns0:c>
      <ns0:c r="C234" t="inlineStr">
        <ns0:is>
          <ns0:t>mio</ns0:t>
        </ns0:is>
      </ns0:c>
      <ns0:c r="D234" t="inlineStr">
        <ns0:is>
          <ns0:t>gemini-2.5-flash-nothinking</ns0:t>
        </ns0:is>
      </ns0:c>
      <ns0:c r="E234">
        <ns0:f>COUNTIF(Cases!$B$2:$B$1859,A234)</ns0:f>
        <ns0:v>2</ns0:v>
      </ns0:c>
      <ns0:c r="F234">
        <ns0:f>IF(COUNTIFS(Cases!$B$2:$B$1859,A234,Cases!$G$2:$G$1859,1)&gt;0,1,0)</ns0:f>
        <ns0:v>1</ns0:v>
      </ns0:c>
      <ns0:c r="G234">
        <ns0:f>IF(COUNTIFS(Cases!$B$2:$B$1859,A234,Cases!$L$2:$L$1859,1)&gt;0,1,0)</ns0:f>
        <ns0:v>1</ns0:v>
      </ns0:c>
      <ns0:c r="H234">
        <ns0:f>IF(COUNTIFS(Cases!$B$2:$B$1859,A234,Cases!$Q$2:$Q$1859,1)&gt;0,1,0)</ns0:f>
        <ns0:v>0</ns0:v>
      </ns0:c>
      <ns0:c r="I234">
        <ns0:f>IF(COUNTIFS(Cases!$B$2:$B$1859,A234,Cases!$R$2:$R$1859,1)&gt;0,1,0)</ns0:f>
        <ns0:v>1</ns0:v>
      </ns0:c>
    </ns0:row>
    <ns0:row r="235">
      <ns0:c r="A235" t="inlineStr">
        <ns0:is>
          <ns0:t>function_0234</ns0:t>
        </ns0:is>
      </ns0:c>
      <ns0:c r="B235" t="inlineStr">
        <ns0:is>
          <ns0:t>run_012</ns0:t>
        </ns0:is>
      </ns0:c>
      <ns0:c r="C235" t="inlineStr">
        <ns0:is>
          <ns0:t>mio</ns0:t>
        </ns0:is>
      </ns0:c>
      <ns0:c r="D235" t="inlineStr">
        <ns0:is>
          <ns0:t>gemini-2.5-flash-nothinking</ns0:t>
        </ns0:is>
      </ns0:c>
      <ns0:c r="E235">
        <ns0:f>COUNTIF(Cases!$B$2:$B$1859,A235)</ns0:f>
        <ns0:v>2</ns0:v>
      </ns0:c>
      <ns0:c r="F235">
        <ns0:f>IF(COUNTIFS(Cases!$B$2:$B$1859,A235,Cases!$G$2:$G$1859,1)&gt;0,1,0)</ns0:f>
        <ns0:v>0</ns0:v>
      </ns0:c>
      <ns0:c r="G235">
        <ns0:f>IF(COUNTIFS(Cases!$B$2:$B$1859,A235,Cases!$L$2:$L$1859,1)&gt;0,1,0)</ns0:f>
        <ns0:v>1</ns0:v>
      </ns0:c>
      <ns0:c r="H235">
        <ns0:f>IF(COUNTIFS(Cases!$B$2:$B$1859,A235,Cases!$Q$2:$Q$1859,1)&gt;0,1,0)</ns0:f>
        <ns0:v>0</ns0:v>
      </ns0:c>
      <ns0:c r="I235">
        <ns0:f>IF(COUNTIFS(Cases!$B$2:$B$1859,A235,Cases!$R$2:$R$1859,1)&gt;0,1,0)</ns0:f>
        <ns0:v>0</ns0:v>
      </ns0:c>
    </ns0:row>
    <ns0:row r="236">
      <ns0:c r="A236" t="inlineStr">
        <ns0:is>
          <ns0:t>function_0235</ns0:t>
        </ns0:is>
      </ns0:c>
      <ns0:c r="B236" t="inlineStr">
        <ns0:is>
          <ns0:t>run_012</ns0:t>
        </ns0:is>
      </ns0:c>
      <ns0:c r="C236" t="inlineStr">
        <ns0:is>
          <ns0:t>mio</ns0:t>
        </ns0:is>
      </ns0:c>
      <ns0:c r="D236" t="inlineStr">
        <ns0:is>
          <ns0:t>gemini-2.5-flash-nothinking</ns0:t>
        </ns0:is>
      </ns0:c>
      <ns0:c r="E236">
        <ns0:f>COUNTIF(Cases!$B$2:$B$1859,A236)</ns0:f>
        <ns0:v>2</ns0:v>
      </ns0:c>
      <ns0:c r="F236">
        <ns0:f>IF(COUNTIFS(Cases!$B$2:$B$1859,A236,Cases!$G$2:$G$1859,1)&gt;0,1,0)</ns0:f>
        <ns0:v>0</ns0:v>
      </ns0:c>
      <ns0:c r="G236">
        <ns0:f>IF(COUNTIFS(Cases!$B$2:$B$1859,A236,Cases!$L$2:$L$1859,1)&gt;0,1,0)</ns0:f>
        <ns0:v>1</ns0:v>
      </ns0:c>
      <ns0:c r="H236">
        <ns0:f>IF(COUNTIFS(Cases!$B$2:$B$1859,A236,Cases!$Q$2:$Q$1859,1)&gt;0,1,0)</ns0:f>
        <ns0:v>0</ns0:v>
      </ns0:c>
      <ns0:c r="I236">
        <ns0:f>IF(COUNTIFS(Cases!$B$2:$B$1859,A236,Cases!$R$2:$R$1859,1)&gt;0,1,0)</ns0:f>
        <ns0:v>0</ns0:v>
      </ns0:c>
    </ns0:row>
    <ns0:row r="237">
      <ns0:c r="A237" t="inlineStr">
        <ns0:is>
          <ns0:t>function_0236</ns0:t>
        </ns0:is>
      </ns0:c>
      <ns0:c r="B237" t="inlineStr">
        <ns0:is>
          <ns0:t>run_012</ns0:t>
        </ns0:is>
      </ns0:c>
      <ns0:c r="C237" t="inlineStr">
        <ns0:is>
          <ns0:t>mio</ns0:t>
        </ns0:is>
      </ns0:c>
      <ns0:c r="D237" t="inlineStr">
        <ns0:is>
          <ns0:t>gemini-2.5-flash-nothinking</ns0:t>
        </ns0:is>
      </ns0:c>
      <ns0:c r="E237">
        <ns0:f>COUNTIF(Cases!$B$2:$B$1859,A237)</ns0:f>
        <ns0:v>2</ns0:v>
      </ns0:c>
      <ns0:c r="F237">
        <ns0:f>IF(COUNTIFS(Cases!$B$2:$B$1859,A237,Cases!$G$2:$G$1859,1)&gt;0,1,0)</ns0:f>
        <ns0:v>0</ns0:v>
      </ns0:c>
      <ns0:c r="G237">
        <ns0:f>IF(COUNTIFS(Cases!$B$2:$B$1859,A237,Cases!$L$2:$L$1859,1)&gt;0,1,0)</ns0:f>
        <ns0:v>0</ns0:v>
      </ns0:c>
      <ns0:c r="H237">
        <ns0:f>IF(COUNTIFS(Cases!$B$2:$B$1859,A237,Cases!$Q$2:$Q$1859,1)&gt;0,1,0)</ns0:f>
        <ns0:v>0</ns0:v>
      </ns0:c>
      <ns0:c r="I237">
        <ns0:f>IF(COUNTIFS(Cases!$B$2:$B$1859,A237,Cases!$R$2:$R$1859,1)&gt;0,1,0)</ns0:f>
        <ns0:v>0</ns0:v>
      </ns0:c>
    </ns0:row>
    <ns0:row r="238">
      <ns0:c r="A238" t="inlineStr">
        <ns0:is>
          <ns0:t>function_0237</ns0:t>
        </ns0:is>
      </ns0:c>
      <ns0:c r="B238" t="inlineStr">
        <ns0:is>
          <ns0:t>run_012</ns0:t>
        </ns0:is>
      </ns0:c>
      <ns0:c r="C238" t="inlineStr">
        <ns0:is>
          <ns0:t>mio</ns0:t>
        </ns0:is>
      </ns0:c>
      <ns0:c r="D238" t="inlineStr">
        <ns0:is>
          <ns0:t>gemini-2.5-flash-nothinking</ns0:t>
        </ns0:is>
      </ns0:c>
      <ns0:c r="E238">
        <ns0:f>COUNTIF(Cases!$B$2:$B$1859,A238)</ns0:f>
        <ns0:v>2</ns0:v>
      </ns0:c>
      <ns0:c r="F238">
        <ns0:f>IF(COUNTIFS(Cases!$B$2:$B$1859,A238,Cases!$G$2:$G$1859,1)&gt;0,1,0)</ns0:f>
        <ns0:v>0</ns0:v>
      </ns0:c>
      <ns0:c r="G238">
        <ns0:f>IF(COUNTIFS(Cases!$B$2:$B$1859,A238,Cases!$L$2:$L$1859,1)&gt;0,1,0)</ns0:f>
        <ns0:v>0</ns0:v>
      </ns0:c>
      <ns0:c r="H238">
        <ns0:f>IF(COUNTIFS(Cases!$B$2:$B$1859,A238,Cases!$Q$2:$Q$1859,1)&gt;0,1,0)</ns0:f>
        <ns0:v>0</ns0:v>
      </ns0:c>
      <ns0:c r="I238">
        <ns0:f>IF(COUNTIFS(Cases!$B$2:$B$1859,A238,Cases!$R$2:$R$1859,1)&gt;0,1,0)</ns0:f>
        <ns0:v>0</ns0:v>
      </ns0:c>
    </ns0:row>
    <ns0:row r="239">
      <ns0:c r="A239" t="inlineStr">
        <ns0:is>
          <ns0:t>function_0238</ns0:t>
        </ns0:is>
      </ns0:c>
      <ns0:c r="B239" t="inlineStr">
        <ns0:is>
          <ns0:t>run_012</ns0:t>
        </ns0:is>
      </ns0:c>
      <ns0:c r="C239" t="inlineStr">
        <ns0:is>
          <ns0:t>mio</ns0:t>
        </ns0:is>
      </ns0:c>
      <ns0:c r="D239" t="inlineStr">
        <ns0:is>
          <ns0:t>gemini-2.5-flash-nothinking</ns0:t>
        </ns0:is>
      </ns0:c>
      <ns0:c r="E239">
        <ns0:f>COUNTIF(Cases!$B$2:$B$1859,A239)</ns0:f>
        <ns0:v>2</ns0:v>
      </ns0:c>
      <ns0:c r="F239">
        <ns0:f>IF(COUNTIFS(Cases!$B$2:$B$1859,A239,Cases!$G$2:$G$1859,1)&gt;0,1,0)</ns0:f>
        <ns0:v>0</ns0:v>
      </ns0:c>
      <ns0:c r="G239">
        <ns0:f>IF(COUNTIFS(Cases!$B$2:$B$1859,A239,Cases!$L$2:$L$1859,1)&gt;0,1,0)</ns0:f>
        <ns0:v>0</ns0:v>
      </ns0:c>
      <ns0:c r="H239">
        <ns0:f>IF(COUNTIFS(Cases!$B$2:$B$1859,A239,Cases!$Q$2:$Q$1859,1)&gt;0,1,0)</ns0:f>
        <ns0:v>0</ns0:v>
      </ns0:c>
      <ns0:c r="I239">
        <ns0:f>IF(COUNTIFS(Cases!$B$2:$B$1859,A239,Cases!$R$2:$R$1859,1)&gt;0,1,0)</ns0:f>
        <ns0:v>0</ns0:v>
      </ns0:c>
    </ns0:row>
    <ns0:row r="240">
      <ns0:c r="A240" t="inlineStr">
        <ns0:is>
          <ns0:t>function_0239</ns0:t>
        </ns0:is>
      </ns0:c>
      <ns0:c r="B240" t="inlineStr">
        <ns0:is>
          <ns0:t>run_012</ns0:t>
        </ns0:is>
      </ns0:c>
      <ns0:c r="C240" t="inlineStr">
        <ns0:is>
          <ns0:t>mio</ns0:t>
        </ns0:is>
      </ns0:c>
      <ns0:c r="D240" t="inlineStr">
        <ns0:is>
          <ns0:t>gemini-2.5-flash-nothinking</ns0:t>
        </ns0:is>
      </ns0:c>
      <ns0:c r="E240">
        <ns0:f>COUNTIF(Cases!$B$2:$B$1859,A240)</ns0:f>
        <ns0:v>2</ns0:v>
      </ns0:c>
      <ns0:c r="F240">
        <ns0:f>IF(COUNTIFS(Cases!$B$2:$B$1859,A240,Cases!$G$2:$G$1859,1)&gt;0,1,0)</ns0:f>
        <ns0:v>0</ns0:v>
      </ns0:c>
      <ns0:c r="G240">
        <ns0:f>IF(COUNTIFS(Cases!$B$2:$B$1859,A240,Cases!$L$2:$L$1859,1)&gt;0,1,0)</ns0:f>
        <ns0:v>1</ns0:v>
      </ns0:c>
      <ns0:c r="H240">
        <ns0:f>IF(COUNTIFS(Cases!$B$2:$B$1859,A240,Cases!$Q$2:$Q$1859,1)&gt;0,1,0)</ns0:f>
        <ns0:v>0</ns0:v>
      </ns0:c>
      <ns0:c r="I240">
        <ns0:f>IF(COUNTIFS(Cases!$B$2:$B$1859,A240,Cases!$R$2:$R$1859,1)&gt;0,1,0)</ns0:f>
        <ns0:v>0</ns0:v>
      </ns0:c>
    </ns0:row>
    <ns0:row r="241">
      <ns0:c r="A241" t="inlineStr">
        <ns0:is>
          <ns0:t>function_0240</ns0:t>
        </ns0:is>
      </ns0:c>
      <ns0:c r="B241" t="inlineStr">
        <ns0:is>
          <ns0:t>run_012</ns0:t>
        </ns0:is>
      </ns0:c>
      <ns0:c r="C241" t="inlineStr">
        <ns0:is>
          <ns0:t>mio</ns0:t>
        </ns0:is>
      </ns0:c>
      <ns0:c r="D241" t="inlineStr">
        <ns0:is>
          <ns0:t>gemini-2.5-flash-nothinking</ns0:t>
        </ns0:is>
      </ns0:c>
      <ns0:c r="E241">
        <ns0:f>COUNTIF(Cases!$B$2:$B$1859,A241)</ns0:f>
        <ns0:v>3</ns0:v>
      </ns0:c>
      <ns0:c r="F241">
        <ns0:f>IF(COUNTIFS(Cases!$B$2:$B$1859,A241,Cases!$G$2:$G$1859,1)&gt;0,1,0)</ns0:f>
        <ns0:v>0</ns0:v>
      </ns0:c>
      <ns0:c r="G241">
        <ns0:f>IF(COUNTIFS(Cases!$B$2:$B$1859,A241,Cases!$L$2:$L$1859,1)&gt;0,1,0)</ns0:f>
        <ns0:v>1</ns0:v>
      </ns0:c>
      <ns0:c r="H241">
        <ns0:f>IF(COUNTIFS(Cases!$B$2:$B$1859,A241,Cases!$Q$2:$Q$1859,1)&gt;0,1,0)</ns0:f>
        <ns0:v>0</ns0:v>
      </ns0:c>
      <ns0:c r="I241">
        <ns0:f>IF(COUNTIFS(Cases!$B$2:$B$1859,A241,Cases!$R$2:$R$1859,1)&gt;0,1,0)</ns0:f>
        <ns0:v>0</ns0:v>
      </ns0:c>
    </ns0:row>
    <ns0:row r="242">
      <ns0:c r="A242" t="inlineStr">
        <ns0:is>
          <ns0:t>function_0241</ns0:t>
        </ns0:is>
      </ns0:c>
      <ns0:c r="B242" t="inlineStr">
        <ns0:is>
          <ns0:t>run_012</ns0:t>
        </ns0:is>
      </ns0:c>
      <ns0:c r="C242" t="inlineStr">
        <ns0:is>
          <ns0:t>mio</ns0:t>
        </ns0:is>
      </ns0:c>
      <ns0:c r="D242" t="inlineStr">
        <ns0:is>
          <ns0:t>gemini-2.5-flash-nothinking</ns0:t>
        </ns0:is>
      </ns0:c>
      <ns0:c r="E242">
        <ns0:f>COUNTIF(Cases!$B$2:$B$1859,A242)</ns0:f>
        <ns0:v>4</ns0:v>
      </ns0:c>
      <ns0:c r="F242">
        <ns0:f>IF(COUNTIFS(Cases!$B$2:$B$1859,A242,Cases!$G$2:$G$1859,1)&gt;0,1,0)</ns0:f>
        <ns0:v>0</ns0:v>
      </ns0:c>
      <ns0:c r="G242">
        <ns0:f>IF(COUNTIFS(Cases!$B$2:$B$1859,A242,Cases!$L$2:$L$1859,1)&gt;0,1,0)</ns0:f>
        <ns0:v>0</ns0:v>
      </ns0:c>
      <ns0:c r="H242">
        <ns0:f>IF(COUNTIFS(Cases!$B$2:$B$1859,A242,Cases!$Q$2:$Q$1859,1)&gt;0,1,0)</ns0:f>
        <ns0:v>0</ns0:v>
      </ns0:c>
      <ns0:c r="I242">
        <ns0:f>IF(COUNTIFS(Cases!$B$2:$B$1859,A242,Cases!$R$2:$R$1859,1)&gt;0,1,0)</ns0:f>
        <ns0:v>0</ns0:v>
      </ns0:c>
    </ns0:row>
    <ns0:row r="243">
      <ns0:c r="A243" t="inlineStr">
        <ns0:is>
          <ns0:t>function_0242</ns0:t>
        </ns0:is>
      </ns0:c>
      <ns0:c r="B243" t="inlineStr">
        <ns0:is>
          <ns0:t>run_012</ns0:t>
        </ns0:is>
      </ns0:c>
      <ns0:c r="C243" t="inlineStr">
        <ns0:is>
          <ns0:t>mio</ns0:t>
        </ns0:is>
      </ns0:c>
      <ns0:c r="D243" t="inlineStr">
        <ns0:is>
          <ns0:t>gemini-2.5-flash-nothinking</ns0:t>
        </ns0:is>
      </ns0:c>
      <ns0:c r="E243">
        <ns0:f>COUNTIF(Cases!$B$2:$B$1859,A243)</ns0:f>
        <ns0:v>4</ns0:v>
      </ns0:c>
      <ns0:c r="F243">
        <ns0:f>IF(COUNTIFS(Cases!$B$2:$B$1859,A243,Cases!$G$2:$G$1859,1)&gt;0,1,0)</ns0:f>
        <ns0:v>0</ns0:v>
      </ns0:c>
      <ns0:c r="G243">
        <ns0:f>IF(COUNTIFS(Cases!$B$2:$B$1859,A243,Cases!$L$2:$L$1859,1)&gt;0,1,0)</ns0:f>
        <ns0:v>1</ns0:v>
      </ns0:c>
      <ns0:c r="H243">
        <ns0:f>IF(COUNTIFS(Cases!$B$2:$B$1859,A243,Cases!$Q$2:$Q$1859,1)&gt;0,1,0)</ns0:f>
        <ns0:v>0</ns0:v>
      </ns0:c>
      <ns0:c r="I243">
        <ns0:f>IF(COUNTIFS(Cases!$B$2:$B$1859,A243,Cases!$R$2:$R$1859,1)&gt;0,1,0)</ns0:f>
        <ns0:v>0</ns0:v>
      </ns0:c>
    </ns0:row>
    <ns0:row r="244">
      <ns0:c r="A244" t="inlineStr">
        <ns0:is>
          <ns0:t>function_0243</ns0:t>
        </ns0:is>
      </ns0:c>
      <ns0:c r="B244" t="inlineStr">
        <ns0:is>
          <ns0:t>run_012</ns0:t>
        </ns0:is>
      </ns0:c>
      <ns0:c r="C244" t="inlineStr">
        <ns0:is>
          <ns0:t>mio</ns0:t>
        </ns0:is>
      </ns0:c>
      <ns0:c r="D244" t="inlineStr">
        <ns0:is>
          <ns0:t>gemini-2.5-flash-nothinking</ns0:t>
        </ns0:is>
      </ns0:c>
      <ns0:c r="E244">
        <ns0:f>COUNTIF(Cases!$B$2:$B$1859,A244)</ns0:f>
        <ns0:v>4</ns0:v>
      </ns0:c>
      <ns0:c r="F244">
        <ns0:f>IF(COUNTIFS(Cases!$B$2:$B$1859,A244,Cases!$G$2:$G$1859,1)&gt;0,1,0)</ns0:f>
        <ns0:v>0</ns0:v>
      </ns0:c>
      <ns0:c r="G244">
        <ns0:f>IF(COUNTIFS(Cases!$B$2:$B$1859,A244,Cases!$L$2:$L$1859,1)&gt;0,1,0)</ns0:f>
        <ns0:v>1</ns0:v>
      </ns0:c>
      <ns0:c r="H244">
        <ns0:f>IF(COUNTIFS(Cases!$B$2:$B$1859,A244,Cases!$Q$2:$Q$1859,1)&gt;0,1,0)</ns0:f>
        <ns0:v>0</ns0:v>
      </ns0:c>
      <ns0:c r="I244">
        <ns0:f>IF(COUNTIFS(Cases!$B$2:$B$1859,A244,Cases!$R$2:$R$1859,1)&gt;0,1,0)</ns0:f>
        <ns0:v>0</ns0:v>
      </ns0:c>
    </ns0:row>
    <ns0:row r="245">
      <ns0:c r="A245" t="inlineStr">
        <ns0:is>
          <ns0:t>function_0244</ns0:t>
        </ns0:is>
      </ns0:c>
      <ns0:c r="B245" t="inlineStr">
        <ns0:is>
          <ns0:t>run_012</ns0:t>
        </ns0:is>
      </ns0:c>
      <ns0:c r="C245" t="inlineStr">
        <ns0:is>
          <ns0:t>mio</ns0:t>
        </ns0:is>
      </ns0:c>
      <ns0:c r="D245" t="inlineStr">
        <ns0:is>
          <ns0:t>gemini-2.5-flash-nothinking</ns0:t>
        </ns0:is>
      </ns0:c>
      <ns0:c r="E245">
        <ns0:f>COUNTIF(Cases!$B$2:$B$1859,A245)</ns0:f>
        <ns0:v>4</ns0:v>
      </ns0:c>
      <ns0:c r="F245">
        <ns0:f>IF(COUNTIFS(Cases!$B$2:$B$1859,A245,Cases!$G$2:$G$1859,1)&gt;0,1,0)</ns0:f>
        <ns0:v>0</ns0:v>
      </ns0:c>
      <ns0:c r="G245">
        <ns0:f>IF(COUNTIFS(Cases!$B$2:$B$1859,A245,Cases!$L$2:$L$1859,1)&gt;0,1,0)</ns0:f>
        <ns0:v>0</ns0:v>
      </ns0:c>
      <ns0:c r="H245">
        <ns0:f>IF(COUNTIFS(Cases!$B$2:$B$1859,A245,Cases!$Q$2:$Q$1859,1)&gt;0,1,0)</ns0:f>
        <ns0:v>0</ns0:v>
      </ns0:c>
      <ns0:c r="I245">
        <ns0:f>IF(COUNTIFS(Cases!$B$2:$B$1859,A245,Cases!$R$2:$R$1859,1)&gt;0,1,0)</ns0:f>
        <ns0:v>0</ns0:v>
      </ns0:c>
    </ns0:row>
    <ns0:row r="246">
      <ns0:c r="A246" t="inlineStr">
        <ns0:is>
          <ns0:t>function_0245</ns0:t>
        </ns0:is>
      </ns0:c>
      <ns0:c r="B246" t="inlineStr">
        <ns0:is>
          <ns0:t>run_012</ns0:t>
        </ns0:is>
      </ns0:c>
      <ns0:c r="C246" t="inlineStr">
        <ns0:is>
          <ns0:t>mio</ns0:t>
        </ns0:is>
      </ns0:c>
      <ns0:c r="D246" t="inlineStr">
        <ns0:is>
          <ns0:t>gemini-2.5-flash-nothinking</ns0:t>
        </ns0:is>
      </ns0:c>
      <ns0:c r="E246">
        <ns0:f>COUNTIF(Cases!$B$2:$B$1859,A246)</ns0:f>
        <ns0:v>4</ns0:v>
      </ns0:c>
      <ns0:c r="F246">
        <ns0:f>IF(COUNTIFS(Cases!$B$2:$B$1859,A246,Cases!$G$2:$G$1859,1)&gt;0,1,0)</ns0:f>
        <ns0:v>0</ns0:v>
      </ns0:c>
      <ns0:c r="G246">
        <ns0:f>IF(COUNTIFS(Cases!$B$2:$B$1859,A246,Cases!$L$2:$L$1859,1)&gt;0,1,0)</ns0:f>
        <ns0:v>0</ns0:v>
      </ns0:c>
      <ns0:c r="H246">
        <ns0:f>IF(COUNTIFS(Cases!$B$2:$B$1859,A246,Cases!$Q$2:$Q$1859,1)&gt;0,1,0)</ns0:f>
        <ns0:v>0</ns0:v>
      </ns0:c>
      <ns0:c r="I246">
        <ns0:f>IF(COUNTIFS(Cases!$B$2:$B$1859,A246,Cases!$R$2:$R$1859,1)&gt;0,1,0)</ns0:f>
        <ns0:v>0</ns0:v>
      </ns0:c>
    </ns0:row>
    <ns0:row r="247">
      <ns0:c r="A247" t="inlineStr">
        <ns0:is>
          <ns0:t>function_0246</ns0:t>
        </ns0:is>
      </ns0:c>
      <ns0:c r="B247" t="inlineStr">
        <ns0:is>
          <ns0:t>run_012</ns0:t>
        </ns0:is>
      </ns0:c>
      <ns0:c r="C247" t="inlineStr">
        <ns0:is>
          <ns0:t>mio</ns0:t>
        </ns0:is>
      </ns0:c>
      <ns0:c r="D247" t="inlineStr">
        <ns0:is>
          <ns0:t>gemini-2.5-flash-nothinking</ns0:t>
        </ns0:is>
      </ns0:c>
      <ns0:c r="E247">
        <ns0:f>COUNTIF(Cases!$B$2:$B$1859,A247)</ns0:f>
        <ns0:v>4</ns0:v>
      </ns0:c>
      <ns0:c r="F247">
        <ns0:f>IF(COUNTIFS(Cases!$B$2:$B$1859,A247,Cases!$G$2:$G$1859,1)&gt;0,1,0)</ns0:f>
        <ns0:v>0</ns0:v>
      </ns0:c>
      <ns0:c r="G247">
        <ns0:f>IF(COUNTIFS(Cases!$B$2:$B$1859,A247,Cases!$L$2:$L$1859,1)&gt;0,1,0)</ns0:f>
        <ns0:v>0</ns0:v>
      </ns0:c>
      <ns0:c r="H247">
        <ns0:f>IF(COUNTIFS(Cases!$B$2:$B$1859,A247,Cases!$Q$2:$Q$1859,1)&gt;0,1,0)</ns0:f>
        <ns0:v>0</ns0:v>
      </ns0:c>
      <ns0:c r="I247">
        <ns0:f>IF(COUNTIFS(Cases!$B$2:$B$1859,A247,Cases!$R$2:$R$1859,1)&gt;0,1,0)</ns0:f>
        <ns0:v>0</ns0:v>
      </ns0:c>
    </ns0:row>
    <ns0:row r="248">
      <ns0:c r="A248" t="inlineStr">
        <ns0:is>
          <ns0:t>function_0247</ns0:t>
        </ns0:is>
      </ns0:c>
      <ns0:c r="B248" t="inlineStr">
        <ns0:is>
          <ns0:t>run_012</ns0:t>
        </ns0:is>
      </ns0:c>
      <ns0:c r="C248" t="inlineStr">
        <ns0:is>
          <ns0:t>mio</ns0:t>
        </ns0:is>
      </ns0:c>
      <ns0:c r="D248" t="inlineStr">
        <ns0:is>
          <ns0:t>gemini-2.5-flash-nothinking</ns0:t>
        </ns0:is>
      </ns0:c>
      <ns0:c r="E248">
        <ns0:f>COUNTIF(Cases!$B$2:$B$1859,A248)</ns0:f>
        <ns0:v>4</ns0:v>
      </ns0:c>
      <ns0:c r="F248">
        <ns0:f>IF(COUNTIFS(Cases!$B$2:$B$1859,A248,Cases!$G$2:$G$1859,1)&gt;0,1,0)</ns0:f>
        <ns0:v>0</ns0:v>
      </ns0:c>
      <ns0:c r="G248">
        <ns0:f>IF(COUNTIFS(Cases!$B$2:$B$1859,A248,Cases!$L$2:$L$1859,1)&gt;0,1,0)</ns0:f>
        <ns0:v>0</ns0:v>
      </ns0:c>
      <ns0:c r="H248">
        <ns0:f>IF(COUNTIFS(Cases!$B$2:$B$1859,A248,Cases!$Q$2:$Q$1859,1)&gt;0,1,0)</ns0:f>
        <ns0:v>0</ns0:v>
      </ns0:c>
      <ns0:c r="I248">
        <ns0:f>IF(COUNTIFS(Cases!$B$2:$B$1859,A248,Cases!$R$2:$R$1859,1)&gt;0,1,0)</ns0:f>
        <ns0:v>0</ns0:v>
      </ns0:c>
    </ns0:row>
    <ns0:row r="249">
      <ns0:c r="A249" t="inlineStr">
        <ns0:is>
          <ns0:t>function_0248</ns0:t>
        </ns0:is>
      </ns0:c>
      <ns0:c r="B249" t="inlineStr">
        <ns0:is>
          <ns0:t>run_012</ns0:t>
        </ns0:is>
      </ns0:c>
      <ns0:c r="C249" t="inlineStr">
        <ns0:is>
          <ns0:t>mio</ns0:t>
        </ns0:is>
      </ns0:c>
      <ns0:c r="D249" t="inlineStr">
        <ns0:is>
          <ns0:t>gemini-2.5-flash-nothinking</ns0:t>
        </ns0:is>
      </ns0:c>
      <ns0:c r="E249">
        <ns0:f>COUNTIF(Cases!$B$2:$B$1859,A249)</ns0:f>
        <ns0:v>4</ns0:v>
      </ns0:c>
      <ns0:c r="F249">
        <ns0:f>IF(COUNTIFS(Cases!$B$2:$B$1859,A249,Cases!$G$2:$G$1859,1)&gt;0,1,0)</ns0:f>
        <ns0:v>0</ns0:v>
      </ns0:c>
      <ns0:c r="G249">
        <ns0:f>IF(COUNTIFS(Cases!$B$2:$B$1859,A249,Cases!$L$2:$L$1859,1)&gt;0,1,0)</ns0:f>
        <ns0:v>0</ns0:v>
      </ns0:c>
      <ns0:c r="H249">
        <ns0:f>IF(COUNTIFS(Cases!$B$2:$B$1859,A249,Cases!$Q$2:$Q$1859,1)&gt;0,1,0)</ns0:f>
        <ns0:v>0</ns0:v>
      </ns0:c>
      <ns0:c r="I249">
        <ns0:f>IF(COUNTIFS(Cases!$B$2:$B$1859,A249,Cases!$R$2:$R$1859,1)&gt;0,1,0)</ns0:f>
        <ns0:v>0</ns0:v>
      </ns0:c>
    </ns0:row>
    <ns0:row r="250">
      <ns0:c r="A250" t="inlineStr">
        <ns0:is>
          <ns0:t>function_0249</ns0:t>
        </ns0:is>
      </ns0:c>
      <ns0:c r="B250" t="inlineStr">
        <ns0:is>
          <ns0:t>run_012</ns0:t>
        </ns0:is>
      </ns0:c>
      <ns0:c r="C250" t="inlineStr">
        <ns0:is>
          <ns0:t>mio</ns0:t>
        </ns0:is>
      </ns0:c>
      <ns0:c r="D250" t="inlineStr">
        <ns0:is>
          <ns0:t>gemini-2.5-flash-nothinking</ns0:t>
        </ns0:is>
      </ns0:c>
      <ns0:c r="E250">
        <ns0:f>COUNTIF(Cases!$B$2:$B$1859,A250)</ns0:f>
        <ns0:v>4</ns0:v>
      </ns0:c>
      <ns0:c r="F250">
        <ns0:f>IF(COUNTIFS(Cases!$B$2:$B$1859,A250,Cases!$G$2:$G$1859,1)&gt;0,1,0)</ns0:f>
        <ns0:v>0</ns0:v>
      </ns0:c>
      <ns0:c r="G250">
        <ns0:f>IF(COUNTIFS(Cases!$B$2:$B$1859,A250,Cases!$L$2:$L$1859,1)&gt;0,1,0)</ns0:f>
        <ns0:v>0</ns0:v>
      </ns0:c>
      <ns0:c r="H250">
        <ns0:f>IF(COUNTIFS(Cases!$B$2:$B$1859,A250,Cases!$Q$2:$Q$1859,1)&gt;0,1,0)</ns0:f>
        <ns0:v>0</ns0:v>
      </ns0:c>
      <ns0:c r="I250">
        <ns0:f>IF(COUNTIFS(Cases!$B$2:$B$1859,A250,Cases!$R$2:$R$1859,1)&gt;0,1,0)</ns0:f>
        <ns0:v>0</ns0:v>
      </ns0:c>
    </ns0:row>
    <ns0:row r="251">
      <ns0:c r="A251" t="inlineStr">
        <ns0:is>
          <ns0:t>function_0250</ns0:t>
        </ns0:is>
      </ns0:c>
      <ns0:c r="B251" t="inlineStr">
        <ns0:is>
          <ns0:t>run_012</ns0:t>
        </ns0:is>
      </ns0:c>
      <ns0:c r="C251" t="inlineStr">
        <ns0:is>
          <ns0:t>mio</ns0:t>
        </ns0:is>
      </ns0:c>
      <ns0:c r="D251" t="inlineStr">
        <ns0:is>
          <ns0:t>gemini-2.5-flash-nothinking</ns0:t>
        </ns0:is>
      </ns0:c>
      <ns0:c r="E251">
        <ns0:f>COUNTIF(Cases!$B$2:$B$1859,A251)</ns0:f>
        <ns0:v>2</ns0:v>
      </ns0:c>
      <ns0:c r="F251">
        <ns0:f>IF(COUNTIFS(Cases!$B$2:$B$1859,A251,Cases!$G$2:$G$1859,1)&gt;0,1,0)</ns0:f>
        <ns0:v>0</ns0:v>
      </ns0:c>
      <ns0:c r="G251">
        <ns0:f>IF(COUNTIFS(Cases!$B$2:$B$1859,A251,Cases!$L$2:$L$1859,1)&gt;0,1,0)</ns0:f>
        <ns0:v>1</ns0:v>
      </ns0:c>
      <ns0:c r="H251">
        <ns0:f>IF(COUNTIFS(Cases!$B$2:$B$1859,A251,Cases!$Q$2:$Q$1859,1)&gt;0,1,0)</ns0:f>
        <ns0:v>1</ns0:v>
      </ns0:c>
      <ns0:c r="I251">
        <ns0:f>IF(COUNTIFS(Cases!$B$2:$B$1859,A251,Cases!$R$2:$R$1859,1)&gt;0,1,0)</ns0:f>
        <ns0:v>1</ns0:v>
      </ns0:c>
    </ns0:row>
    <ns0:row r="252">
      <ns0:c r="A252" t="inlineStr">
        <ns0:is>
          <ns0:t>function_0251</ns0:t>
        </ns0:is>
      </ns0:c>
      <ns0:c r="B252" t="inlineStr">
        <ns0:is>
          <ns0:t>run_012</ns0:t>
        </ns0:is>
      </ns0:c>
      <ns0:c r="C252" t="inlineStr">
        <ns0:is>
          <ns0:t>mio</ns0:t>
        </ns0:is>
      </ns0:c>
      <ns0:c r="D252" t="inlineStr">
        <ns0:is>
          <ns0:t>gemini-2.5-flash-nothinking</ns0:t>
        </ns0:is>
      </ns0:c>
      <ns0:c r="E252">
        <ns0:f>COUNTIF(Cases!$B$2:$B$1859,A252)</ns0:f>
        <ns0:v>4</ns0:v>
      </ns0:c>
      <ns0:c r="F252">
        <ns0:f>IF(COUNTIFS(Cases!$B$2:$B$1859,A252,Cases!$G$2:$G$1859,1)&gt;0,1,0)</ns0:f>
        <ns0:v>0</ns0:v>
      </ns0:c>
      <ns0:c r="G252">
        <ns0:f>IF(COUNTIFS(Cases!$B$2:$B$1859,A252,Cases!$L$2:$L$1859,1)&gt;0,1,0)</ns0:f>
        <ns0:v>1</ns0:v>
      </ns0:c>
      <ns0:c r="H252">
        <ns0:f>IF(COUNTIFS(Cases!$B$2:$B$1859,A252,Cases!$Q$2:$Q$1859,1)&gt;0,1,0)</ns0:f>
        <ns0:v>0</ns0:v>
      </ns0:c>
      <ns0:c r="I252">
        <ns0:f>IF(COUNTIFS(Cases!$B$2:$B$1859,A252,Cases!$R$2:$R$1859,1)&gt;0,1,0)</ns0:f>
        <ns0:v>1</ns0:v>
      </ns0:c>
    </ns0:row>
    <ns0:row r="253">
      <ns0:c r="A253" t="inlineStr">
        <ns0:is>
          <ns0:t>function_0252</ns0:t>
        </ns0:is>
      </ns0:c>
      <ns0:c r="B253" t="inlineStr">
        <ns0:is>
          <ns0:t>run_012</ns0:t>
        </ns0:is>
      </ns0:c>
      <ns0:c r="C253" t="inlineStr">
        <ns0:is>
          <ns0:t>mio</ns0:t>
        </ns0:is>
      </ns0:c>
      <ns0:c r="D253" t="inlineStr">
        <ns0:is>
          <ns0:t>gemini-2.5-flash-nothinking</ns0:t>
        </ns0:is>
      </ns0:c>
      <ns0:c r="E253">
        <ns0:f>COUNTIF(Cases!$B$2:$B$1859,A253)</ns0:f>
        <ns0:v>4</ns0:v>
      </ns0:c>
      <ns0:c r="F253">
        <ns0:f>IF(COUNTIFS(Cases!$B$2:$B$1859,A253,Cases!$G$2:$G$1859,1)&gt;0,1,0)</ns0:f>
        <ns0:v>0</ns0:v>
      </ns0:c>
      <ns0:c r="G253">
        <ns0:f>IF(COUNTIFS(Cases!$B$2:$B$1859,A253,Cases!$L$2:$L$1859,1)&gt;0,1,0)</ns0:f>
        <ns0:v>1</ns0:v>
      </ns0:c>
      <ns0:c r="H253">
        <ns0:f>IF(COUNTIFS(Cases!$B$2:$B$1859,A253,Cases!$Q$2:$Q$1859,1)&gt;0,1,0)</ns0:f>
        <ns0:v>1</ns0:v>
      </ns0:c>
      <ns0:c r="I253">
        <ns0:f>IF(COUNTIFS(Cases!$B$2:$B$1859,A253,Cases!$R$2:$R$1859,1)&gt;0,1,0)</ns0:f>
        <ns0:v>1</ns0:v>
      </ns0:c>
    </ns0:row>
    <ns0:row r="254">
      <ns0:c r="A254" t="inlineStr">
        <ns0:is>
          <ns0:t>function_0253</ns0:t>
        </ns0:is>
      </ns0:c>
      <ns0:c r="B254" t="inlineStr">
        <ns0:is>
          <ns0:t>run_012</ns0:t>
        </ns0:is>
      </ns0:c>
      <ns0:c r="C254" t="inlineStr">
        <ns0:is>
          <ns0:t>mio</ns0:t>
        </ns0:is>
      </ns0:c>
      <ns0:c r="D254" t="inlineStr">
        <ns0:is>
          <ns0:t>gemini-2.5-flash-nothinking</ns0:t>
        </ns0:is>
      </ns0:c>
      <ns0:c r="E254">
        <ns0:f>COUNTIF(Cases!$B$2:$B$1859,A254)</ns0:f>
        <ns0:v>4</ns0:v>
      </ns0:c>
      <ns0:c r="F254">
        <ns0:f>IF(COUNTIFS(Cases!$B$2:$B$1859,A254,Cases!$G$2:$G$1859,1)&gt;0,1,0)</ns0:f>
        <ns0:v>0</ns0:v>
      </ns0:c>
      <ns0:c r="G254">
        <ns0:f>IF(COUNTIFS(Cases!$B$2:$B$1859,A254,Cases!$L$2:$L$1859,1)&gt;0,1,0)</ns0:f>
        <ns0:v>1</ns0:v>
      </ns0:c>
      <ns0:c r="H254">
        <ns0:f>IF(COUNTIFS(Cases!$B$2:$B$1859,A254,Cases!$Q$2:$Q$1859,1)&gt;0,1,0)</ns0:f>
        <ns0:v>0</ns0:v>
      </ns0:c>
      <ns0:c r="I254">
        <ns0:f>IF(COUNTIFS(Cases!$B$2:$B$1859,A254,Cases!$R$2:$R$1859,1)&gt;0,1,0)</ns0:f>
        <ns0:v>1</ns0:v>
      </ns0:c>
    </ns0:row>
    <ns0:row r="255">
      <ns0:c r="A255" t="inlineStr">
        <ns0:is>
          <ns0:t>function_0254</ns0:t>
        </ns0:is>
      </ns0:c>
      <ns0:c r="B255" t="inlineStr">
        <ns0:is>
          <ns0:t>run_012</ns0:t>
        </ns0:is>
      </ns0:c>
      <ns0:c r="C255" t="inlineStr">
        <ns0:is>
          <ns0:t>mio</ns0:t>
        </ns0:is>
      </ns0:c>
      <ns0:c r="D255" t="inlineStr">
        <ns0:is>
          <ns0:t>gemini-2.5-flash-nothinking</ns0:t>
        </ns0:is>
      </ns0:c>
      <ns0:c r="E255">
        <ns0:f>COUNTIF(Cases!$B$2:$B$1859,A255)</ns0:f>
        <ns0:v>4</ns0:v>
      </ns0:c>
      <ns0:c r="F255">
        <ns0:f>IF(COUNTIFS(Cases!$B$2:$B$1859,A255,Cases!$G$2:$G$1859,1)&gt;0,1,0)</ns0:f>
        <ns0:v>0</ns0:v>
      </ns0:c>
      <ns0:c r="G255">
        <ns0:f>IF(COUNTIFS(Cases!$B$2:$B$1859,A255,Cases!$L$2:$L$1859,1)&gt;0,1,0)</ns0:f>
        <ns0:v>1</ns0:v>
      </ns0:c>
      <ns0:c r="H255">
        <ns0:f>IF(COUNTIFS(Cases!$B$2:$B$1859,A255,Cases!$Q$2:$Q$1859,1)&gt;0,1,0)</ns0:f>
        <ns0:v>1</ns0:v>
      </ns0:c>
      <ns0:c r="I255">
        <ns0:f>IF(COUNTIFS(Cases!$B$2:$B$1859,A255,Cases!$R$2:$R$1859,1)&gt;0,1,0)</ns0:f>
        <ns0:v>1</ns0:v>
      </ns0:c>
    </ns0:row>
    <ns0:row r="256">
      <ns0:c r="A256" t="inlineStr">
        <ns0:is>
          <ns0:t>function_0255</ns0:t>
        </ns0:is>
      </ns0:c>
      <ns0:c r="B256" t="inlineStr">
        <ns0:is>
          <ns0:t>run_012</ns0:t>
        </ns0:is>
      </ns0:c>
      <ns0:c r="C256" t="inlineStr">
        <ns0:is>
          <ns0:t>mio</ns0:t>
        </ns0:is>
      </ns0:c>
      <ns0:c r="D256" t="inlineStr">
        <ns0:is>
          <ns0:t>gemini-2.5-flash-nothinking</ns0:t>
        </ns0:is>
      </ns0:c>
      <ns0:c r="E256">
        <ns0:f>COUNTIF(Cases!$B$2:$B$1859,A256)</ns0:f>
        <ns0:v>3</ns0:v>
      </ns0:c>
      <ns0:c r="F256">
        <ns0:f>IF(COUNTIFS(Cases!$B$2:$B$1859,A256,Cases!$G$2:$G$1859,1)&gt;0,1,0)</ns0:f>
        <ns0:v>0</ns0:v>
      </ns0:c>
      <ns0:c r="G256">
        <ns0:f>IF(COUNTIFS(Cases!$B$2:$B$1859,A256,Cases!$L$2:$L$1859,1)&gt;0,1,0)</ns0:f>
        <ns0:v>1</ns0:v>
      </ns0:c>
      <ns0:c r="H256">
        <ns0:f>IF(COUNTIFS(Cases!$B$2:$B$1859,A256,Cases!$Q$2:$Q$1859,1)&gt;0,1,0)</ns0:f>
        <ns0:v>1</ns0:v>
      </ns0:c>
      <ns0:c r="I256">
        <ns0:f>IF(COUNTIFS(Cases!$B$2:$B$1859,A256,Cases!$R$2:$R$1859,1)&gt;0,1,0)</ns0:f>
        <ns0:v>1</ns0:v>
      </ns0:c>
    </ns0:row>
    <ns0:row r="257">
      <ns0:c r="A257" t="inlineStr">
        <ns0:is>
          <ns0:t>function_0256</ns0:t>
        </ns0:is>
      </ns0:c>
      <ns0:c r="B257" t="inlineStr">
        <ns0:is>
          <ns0:t>run_012</ns0:t>
        </ns0:is>
      </ns0:c>
      <ns0:c r="C257" t="inlineStr">
        <ns0:is>
          <ns0:t>mio</ns0:t>
        </ns0:is>
      </ns0:c>
      <ns0:c r="D257" t="inlineStr">
        <ns0:is>
          <ns0:t>gemini-2.5-flash-nothinking</ns0:t>
        </ns0:is>
      </ns0:c>
      <ns0:c r="E257">
        <ns0:f>COUNTIF(Cases!$B$2:$B$1859,A257)</ns0:f>
        <ns0:v>4</ns0:v>
      </ns0:c>
      <ns0:c r="F257">
        <ns0:f>IF(COUNTIFS(Cases!$B$2:$B$1859,A257,Cases!$G$2:$G$1859,1)&gt;0,1,0)</ns0:f>
        <ns0:v>1</ns0:v>
      </ns0:c>
      <ns0:c r="G257">
        <ns0:f>IF(COUNTIFS(Cases!$B$2:$B$1859,A257,Cases!$L$2:$L$1859,1)&gt;0,1,0)</ns0:f>
        <ns0:v>1</ns0:v>
      </ns0:c>
      <ns0:c r="H257">
        <ns0:f>IF(COUNTIFS(Cases!$B$2:$B$1859,A257,Cases!$Q$2:$Q$1859,1)&gt;0,1,0)</ns0:f>
        <ns0:v>0</ns0:v>
      </ns0:c>
      <ns0:c r="I257">
        <ns0:f>IF(COUNTIFS(Cases!$B$2:$B$1859,A257,Cases!$R$2:$R$1859,1)&gt;0,1,0)</ns0:f>
        <ns0:v>1</ns0:v>
      </ns0:c>
    </ns0:row>
    <ns0:row r="258">
      <ns0:c r="A258" t="inlineStr">
        <ns0:is>
          <ns0:t>function_0257</ns0:t>
        </ns0:is>
      </ns0:c>
      <ns0:c r="B258" t="inlineStr">
        <ns0:is>
          <ns0:t>run_012</ns0:t>
        </ns0:is>
      </ns0:c>
      <ns0:c r="C258" t="inlineStr">
        <ns0:is>
          <ns0:t>mio</ns0:t>
        </ns0:is>
      </ns0:c>
      <ns0:c r="D258" t="inlineStr">
        <ns0:is>
          <ns0:t>gemini-2.5-flash-nothinking</ns0:t>
        </ns0:is>
      </ns0:c>
      <ns0:c r="E258">
        <ns0:f>COUNTIF(Cases!$B$2:$B$1859,A258)</ns0:f>
        <ns0:v>4</ns0:v>
      </ns0:c>
      <ns0:c r="F258">
        <ns0:f>IF(COUNTIFS(Cases!$B$2:$B$1859,A258,Cases!$G$2:$G$1859,1)&gt;0,1,0)</ns0:f>
        <ns0:v>1</ns0:v>
      </ns0:c>
      <ns0:c r="G258">
        <ns0:f>IF(COUNTIFS(Cases!$B$2:$B$1859,A258,Cases!$L$2:$L$1859,1)&gt;0,1,0)</ns0:f>
        <ns0:v>1</ns0:v>
      </ns0:c>
      <ns0:c r="H258">
        <ns0:f>IF(COUNTIFS(Cases!$B$2:$B$1859,A258,Cases!$Q$2:$Q$1859,1)&gt;0,1,0)</ns0:f>
        <ns0:v>0</ns0:v>
      </ns0:c>
      <ns0:c r="I258">
        <ns0:f>IF(COUNTIFS(Cases!$B$2:$B$1859,A258,Cases!$R$2:$R$1859,1)&gt;0,1,0)</ns0:f>
        <ns0:v>1</ns0:v>
      </ns0:c>
    </ns0:row>
    <ns0:row r="259">
      <ns0:c r="A259" t="inlineStr">
        <ns0:is>
          <ns0:t>function_0258</ns0:t>
        </ns0:is>
      </ns0:c>
      <ns0:c r="B259" t="inlineStr">
        <ns0:is>
          <ns0:t>run_012</ns0:t>
        </ns0:is>
      </ns0:c>
      <ns0:c r="C259" t="inlineStr">
        <ns0:is>
          <ns0:t>mio</ns0:t>
        </ns0:is>
      </ns0:c>
      <ns0:c r="D259" t="inlineStr">
        <ns0:is>
          <ns0:t>gemini-2.5-flash-nothinking</ns0:t>
        </ns0:is>
      </ns0:c>
      <ns0:c r="E259">
        <ns0:f>COUNTIF(Cases!$B$2:$B$1859,A259)</ns0:f>
        <ns0:v>4</ns0:v>
      </ns0:c>
      <ns0:c r="F259">
        <ns0:f>IF(COUNTIFS(Cases!$B$2:$B$1859,A259,Cases!$G$2:$G$1859,1)&gt;0,1,0)</ns0:f>
        <ns0:v>0</ns0:v>
      </ns0:c>
      <ns0:c r="G259">
        <ns0:f>IF(COUNTIFS(Cases!$B$2:$B$1859,A259,Cases!$L$2:$L$1859,1)&gt;0,1,0)</ns0:f>
        <ns0:v>1</ns0:v>
      </ns0:c>
      <ns0:c r="H259">
        <ns0:f>IF(COUNTIFS(Cases!$B$2:$B$1859,A259,Cases!$Q$2:$Q$1859,1)&gt;0,1,0)</ns0:f>
        <ns0:v>1</ns0:v>
      </ns0:c>
      <ns0:c r="I259">
        <ns0:f>IF(COUNTIFS(Cases!$B$2:$B$1859,A259,Cases!$R$2:$R$1859,1)&gt;0,1,0)</ns0:f>
        <ns0:v>1</ns0:v>
      </ns0:c>
    </ns0:row>
    <ns0:row r="260">
      <ns0:c r="A260" t="inlineStr">
        <ns0:is>
          <ns0:t>function_0259</ns0:t>
        </ns0:is>
      </ns0:c>
      <ns0:c r="B260" t="inlineStr">
        <ns0:is>
          <ns0:t>run_012</ns0:t>
        </ns0:is>
      </ns0:c>
      <ns0:c r="C260" t="inlineStr">
        <ns0:is>
          <ns0:t>mio</ns0:t>
        </ns0:is>
      </ns0:c>
      <ns0:c r="D260" t="inlineStr">
        <ns0:is>
          <ns0:t>gemini-2.5-flash-nothinking</ns0:t>
        </ns0:is>
      </ns0:c>
      <ns0:c r="E260">
        <ns0:f>COUNTIF(Cases!$B$2:$B$1859,A260)</ns0:f>
        <ns0:v>4</ns0:v>
      </ns0:c>
      <ns0:c r="F260">
        <ns0:f>IF(COUNTIFS(Cases!$B$2:$B$1859,A260,Cases!$G$2:$G$1859,1)&gt;0,1,0)</ns0:f>
        <ns0:v>0</ns0:v>
      </ns0:c>
      <ns0:c r="G260">
        <ns0:f>IF(COUNTIFS(Cases!$B$2:$B$1859,A260,Cases!$L$2:$L$1859,1)&gt;0,1,0)</ns0:f>
        <ns0:v>0</ns0:v>
      </ns0:c>
      <ns0:c r="H260">
        <ns0:f>IF(COUNTIFS(Cases!$B$2:$B$1859,A260,Cases!$Q$2:$Q$1859,1)&gt;0,1,0)</ns0:f>
        <ns0:v>0</ns0:v>
      </ns0:c>
      <ns0:c r="I260">
        <ns0:f>IF(COUNTIFS(Cases!$B$2:$B$1859,A260,Cases!$R$2:$R$1859,1)&gt;0,1,0)</ns0:f>
        <ns0:v>0</ns0:v>
      </ns0:c>
    </ns0:row>
    <ns0:row r="261">
      <ns0:c r="A261" t="inlineStr">
        <ns0:is>
          <ns0:t>function_0260</ns0:t>
        </ns0:is>
      </ns0:c>
      <ns0:c r="B261" t="inlineStr">
        <ns0:is>
          <ns0:t>run_012</ns0:t>
        </ns0:is>
      </ns0:c>
      <ns0:c r="C261" t="inlineStr">
        <ns0:is>
          <ns0:t>mio</ns0:t>
        </ns0:is>
      </ns0:c>
      <ns0:c r="D261" t="inlineStr">
        <ns0:is>
          <ns0:t>gemini-2.5-flash-nothinking</ns0:t>
        </ns0:is>
      </ns0:c>
      <ns0:c r="E261">
        <ns0:f>COUNTIF(Cases!$B$2:$B$1859,A261)</ns0:f>
        <ns0:v>4</ns0:v>
      </ns0:c>
      <ns0:c r="F261">
        <ns0:f>IF(COUNTIFS(Cases!$B$2:$B$1859,A261,Cases!$G$2:$G$1859,1)&gt;0,1,0)</ns0:f>
        <ns0:v>0</ns0:v>
      </ns0:c>
      <ns0:c r="G261">
        <ns0:f>IF(COUNTIFS(Cases!$B$2:$B$1859,A261,Cases!$L$2:$L$1859,1)&gt;0,1,0)</ns0:f>
        <ns0:v>1</ns0:v>
      </ns0:c>
      <ns0:c r="H261">
        <ns0:f>IF(COUNTIFS(Cases!$B$2:$B$1859,A261,Cases!$Q$2:$Q$1859,1)&gt;0,1,0)</ns0:f>
        <ns0:v>0</ns0:v>
      </ns0:c>
      <ns0:c r="I261">
        <ns0:f>IF(COUNTIFS(Cases!$B$2:$B$1859,A261,Cases!$R$2:$R$1859,1)&gt;0,1,0)</ns0:f>
        <ns0:v>0</ns0:v>
      </ns0:c>
    </ns0:row>
    <ns0:row r="262">
      <ns0:c r="A262" t="inlineStr">
        <ns0:is>
          <ns0:t>function_0261</ns0:t>
        </ns0:is>
      </ns0:c>
      <ns0:c r="B262" t="inlineStr">
        <ns0:is>
          <ns0:t>run_012</ns0:t>
        </ns0:is>
      </ns0:c>
      <ns0:c r="C262" t="inlineStr">
        <ns0:is>
          <ns0:t>mio</ns0:t>
        </ns0:is>
      </ns0:c>
      <ns0:c r="D262" t="inlineStr">
        <ns0:is>
          <ns0:t>gemini-2.5-flash-nothinking</ns0:t>
        </ns0:is>
      </ns0:c>
      <ns0:c r="E262">
        <ns0:f>COUNTIF(Cases!$B$2:$B$1859,A262)</ns0:f>
        <ns0:v>4</ns0:v>
      </ns0:c>
      <ns0:c r="F262">
        <ns0:f>IF(COUNTIFS(Cases!$B$2:$B$1859,A262,Cases!$G$2:$G$1859,1)&gt;0,1,0)</ns0:f>
        <ns0:v>0</ns0:v>
      </ns0:c>
      <ns0:c r="G262">
        <ns0:f>IF(COUNTIFS(Cases!$B$2:$B$1859,A262,Cases!$L$2:$L$1859,1)&gt;0,1,0)</ns0:f>
        <ns0:v>0</ns0:v>
      </ns0:c>
      <ns0:c r="H262">
        <ns0:f>IF(COUNTIFS(Cases!$B$2:$B$1859,A262,Cases!$Q$2:$Q$1859,1)&gt;0,1,0)</ns0:f>
        <ns0:v>0</ns0:v>
      </ns0:c>
      <ns0:c r="I262">
        <ns0:f>IF(COUNTIFS(Cases!$B$2:$B$1859,A262,Cases!$R$2:$R$1859,1)&gt;0,1,0)</ns0:f>
        <ns0:v>0</ns0:v>
      </ns0:c>
    </ns0:row>
    <ns0:row r="263">
      <ns0:c r="A263" t="inlineStr">
        <ns0:is>
          <ns0:t>function_0262</ns0:t>
        </ns0:is>
      </ns0:c>
      <ns0:c r="B263" t="inlineStr">
        <ns0:is>
          <ns0:t>run_012</ns0:t>
        </ns0:is>
      </ns0:c>
      <ns0:c r="C263" t="inlineStr">
        <ns0:is>
          <ns0:t>mio</ns0:t>
        </ns0:is>
      </ns0:c>
      <ns0:c r="D263" t="inlineStr">
        <ns0:is>
          <ns0:t>gemini-2.5-flash-nothinking</ns0:t>
        </ns0:is>
      </ns0:c>
      <ns0:c r="E263">
        <ns0:f>COUNTIF(Cases!$B$2:$B$1859,A263)</ns0:f>
        <ns0:v>4</ns0:v>
      </ns0:c>
      <ns0:c r="F263">
        <ns0:f>IF(COUNTIFS(Cases!$B$2:$B$1859,A263,Cases!$G$2:$G$1859,1)&gt;0,1,0)</ns0:f>
        <ns0:v>0</ns0:v>
      </ns0:c>
      <ns0:c r="G263">
        <ns0:f>IF(COUNTIFS(Cases!$B$2:$B$1859,A263,Cases!$L$2:$L$1859,1)&gt;0,1,0)</ns0:f>
        <ns0:v>0</ns0:v>
      </ns0:c>
      <ns0:c r="H263">
        <ns0:f>IF(COUNTIFS(Cases!$B$2:$B$1859,A263,Cases!$Q$2:$Q$1859,1)&gt;0,1,0)</ns0:f>
        <ns0:v>0</ns0:v>
      </ns0:c>
      <ns0:c r="I263">
        <ns0:f>IF(COUNTIFS(Cases!$B$2:$B$1859,A263,Cases!$R$2:$R$1859,1)&gt;0,1,0)</ns0:f>
        <ns0:v>0</ns0:v>
      </ns0:c>
    </ns0:row>
    <ns0:row r="264">
      <ns0:c r="A264" t="inlineStr">
        <ns0:is>
          <ns0:t>function_0263</ns0:t>
        </ns0:is>
      </ns0:c>
      <ns0:c r="B264" t="inlineStr">
        <ns0:is>
          <ns0:t>run_012</ns0:t>
        </ns0:is>
      </ns0:c>
      <ns0:c r="C264" t="inlineStr">
        <ns0:is>
          <ns0:t>mio</ns0:t>
        </ns0:is>
      </ns0:c>
      <ns0:c r="D264" t="inlineStr">
        <ns0:is>
          <ns0:t>gemini-2.5-flash-nothinking</ns0:t>
        </ns0:is>
      </ns0:c>
      <ns0:c r="E264">
        <ns0:f>COUNTIF(Cases!$B$2:$B$1859,A264)</ns0:f>
        <ns0:v>4</ns0:v>
      </ns0:c>
      <ns0:c r="F264">
        <ns0:f>IF(COUNTIFS(Cases!$B$2:$B$1859,A264,Cases!$G$2:$G$1859,1)&gt;0,1,0)</ns0:f>
        <ns0:v>0</ns0:v>
      </ns0:c>
      <ns0:c r="G264">
        <ns0:f>IF(COUNTIFS(Cases!$B$2:$B$1859,A264,Cases!$L$2:$L$1859,1)&gt;0,1,0)</ns0:f>
        <ns0:v>1</ns0:v>
      </ns0:c>
      <ns0:c r="H264">
        <ns0:f>IF(COUNTIFS(Cases!$B$2:$B$1859,A264,Cases!$Q$2:$Q$1859,1)&gt;0,1,0)</ns0:f>
        <ns0:v>0</ns0:v>
      </ns0:c>
      <ns0:c r="I264">
        <ns0:f>IF(COUNTIFS(Cases!$B$2:$B$1859,A264,Cases!$R$2:$R$1859,1)&gt;0,1,0)</ns0:f>
        <ns0:v>0</ns0:v>
      </ns0:c>
    </ns0:row>
    <ns0:row r="265">
      <ns0:c r="A265" t="inlineStr">
        <ns0:is>
          <ns0:t>function_0264</ns0:t>
        </ns0:is>
      </ns0:c>
      <ns0:c r="B265" t="inlineStr">
        <ns0:is>
          <ns0:t>run_012</ns0:t>
        </ns0:is>
      </ns0:c>
      <ns0:c r="C265" t="inlineStr">
        <ns0:is>
          <ns0:t>mio</ns0:t>
        </ns0:is>
      </ns0:c>
      <ns0:c r="D265" t="inlineStr">
        <ns0:is>
          <ns0:t>gemini-2.5-flash-nothinking</ns0:t>
        </ns0:is>
      </ns0:c>
      <ns0:c r="E265">
        <ns0:f>COUNTIF(Cases!$B$2:$B$1859,A265)</ns0:f>
        <ns0:v>4</ns0:v>
      </ns0:c>
      <ns0:c r="F265">
        <ns0:f>IF(COUNTIFS(Cases!$B$2:$B$1859,A265,Cases!$G$2:$G$1859,1)&gt;0,1,0)</ns0:f>
        <ns0:v>0</ns0:v>
      </ns0:c>
      <ns0:c r="G265">
        <ns0:f>IF(COUNTIFS(Cases!$B$2:$B$1859,A265,Cases!$L$2:$L$1859,1)&gt;0,1,0)</ns0:f>
        <ns0:v>1</ns0:v>
      </ns0:c>
      <ns0:c r="H265">
        <ns0:f>IF(COUNTIFS(Cases!$B$2:$B$1859,A265,Cases!$Q$2:$Q$1859,1)&gt;0,1,0)</ns0:f>
        <ns0:v>0</ns0:v>
      </ns0:c>
      <ns0:c r="I265">
        <ns0:f>IF(COUNTIFS(Cases!$B$2:$B$1859,A265,Cases!$R$2:$R$1859,1)&gt;0,1,0)</ns0:f>
        <ns0:v>1</ns0:v>
      </ns0:c>
    </ns0:row>
    <ns0:row r="266">
      <ns0:c r="A266" t="inlineStr">
        <ns0:is>
          <ns0:t>function_0265</ns0:t>
        </ns0:is>
      </ns0:c>
      <ns0:c r="B266" t="inlineStr">
        <ns0:is>
          <ns0:t>run_012</ns0:t>
        </ns0:is>
      </ns0:c>
      <ns0:c r="C266" t="inlineStr">
        <ns0:is>
          <ns0:t>mio</ns0:t>
        </ns0:is>
      </ns0:c>
      <ns0:c r="D266" t="inlineStr">
        <ns0:is>
          <ns0:t>gemini-2.5-flash-nothinking</ns0:t>
        </ns0:is>
      </ns0:c>
      <ns0:c r="E266">
        <ns0:f>COUNTIF(Cases!$B$2:$B$1859,A266)</ns0:f>
        <ns0:v>4</ns0:v>
      </ns0:c>
      <ns0:c r="F266">
        <ns0:f>IF(COUNTIFS(Cases!$B$2:$B$1859,A266,Cases!$G$2:$G$1859,1)&gt;0,1,0)</ns0:f>
        <ns0:v>0</ns0:v>
      </ns0:c>
      <ns0:c r="G266">
        <ns0:f>IF(COUNTIFS(Cases!$B$2:$B$1859,A266,Cases!$L$2:$L$1859,1)&gt;0,1,0)</ns0:f>
        <ns0:v>0</ns0:v>
      </ns0:c>
      <ns0:c r="H266">
        <ns0:f>IF(COUNTIFS(Cases!$B$2:$B$1859,A266,Cases!$Q$2:$Q$1859,1)&gt;0,1,0)</ns0:f>
        <ns0:v>0</ns0:v>
      </ns0:c>
      <ns0:c r="I266">
        <ns0:f>IF(COUNTIFS(Cases!$B$2:$B$1859,A266,Cases!$R$2:$R$1859,1)&gt;0,1,0)</ns0:f>
        <ns0:v>0</ns0:v>
      </ns0:c>
    </ns0:row>
    <ns0:row r="267">
      <ns0:c r="A267" t="inlineStr">
        <ns0:is>
          <ns0:t>function_0266</ns0:t>
        </ns0:is>
      </ns0:c>
      <ns0:c r="B267" t="inlineStr">
        <ns0:is>
          <ns0:t>run_012</ns0:t>
        </ns0:is>
      </ns0:c>
      <ns0:c r="C267" t="inlineStr">
        <ns0:is>
          <ns0:t>mio</ns0:t>
        </ns0:is>
      </ns0:c>
      <ns0:c r="D267" t="inlineStr">
        <ns0:is>
          <ns0:t>gemini-2.5-flash-nothinking</ns0:t>
        </ns0:is>
      </ns0:c>
      <ns0:c r="E267">
        <ns0:f>COUNTIF(Cases!$B$2:$B$1859,A267)</ns0:f>
        <ns0:v>4</ns0:v>
      </ns0:c>
      <ns0:c r="F267">
        <ns0:f>IF(COUNTIFS(Cases!$B$2:$B$1859,A267,Cases!$G$2:$G$1859,1)&gt;0,1,0)</ns0:f>
        <ns0:v>0</ns0:v>
      </ns0:c>
      <ns0:c r="G267">
        <ns0:f>IF(COUNTIFS(Cases!$B$2:$B$1859,A267,Cases!$L$2:$L$1859,1)&gt;0,1,0)</ns0:f>
        <ns0:v>1</ns0:v>
      </ns0:c>
      <ns0:c r="H267">
        <ns0:f>IF(COUNTIFS(Cases!$B$2:$B$1859,A267,Cases!$Q$2:$Q$1859,1)&gt;0,1,0)</ns0:f>
        <ns0:v>0</ns0:v>
      </ns0:c>
      <ns0:c r="I267">
        <ns0:f>IF(COUNTIFS(Cases!$B$2:$B$1859,A267,Cases!$R$2:$R$1859,1)&gt;0,1,0)</ns0:f>
        <ns0:v>0</ns0:v>
      </ns0:c>
    </ns0:row>
    <ns0:row r="268">
      <ns0:c r="A268" t="inlineStr">
        <ns0:is>
          <ns0:t>function_0267</ns0:t>
        </ns0:is>
      </ns0:c>
      <ns0:c r="B268" t="inlineStr">
        <ns0:is>
          <ns0:t>run_012</ns0:t>
        </ns0:is>
      </ns0:c>
      <ns0:c r="C268" t="inlineStr">
        <ns0:is>
          <ns0:t>mio</ns0:t>
        </ns0:is>
      </ns0:c>
      <ns0:c r="D268" t="inlineStr">
        <ns0:is>
          <ns0:t>gemini-2.5-flash-nothinking</ns0:t>
        </ns0:is>
      </ns0:c>
      <ns0:c r="E268">
        <ns0:f>COUNTIF(Cases!$B$2:$B$1859,A268)</ns0:f>
        <ns0:v>4</ns0:v>
      </ns0:c>
      <ns0:c r="F268">
        <ns0:f>IF(COUNTIFS(Cases!$B$2:$B$1859,A268,Cases!$G$2:$G$1859,1)&gt;0,1,0)</ns0:f>
        <ns0:v>0</ns0:v>
      </ns0:c>
      <ns0:c r="G268">
        <ns0:f>IF(COUNTIFS(Cases!$B$2:$B$1859,A268,Cases!$L$2:$L$1859,1)&gt;0,1,0)</ns0:f>
        <ns0:v>1</ns0:v>
      </ns0:c>
      <ns0:c r="H268">
        <ns0:f>IF(COUNTIFS(Cases!$B$2:$B$1859,A268,Cases!$Q$2:$Q$1859,1)&gt;0,1,0)</ns0:f>
        <ns0:v>0</ns0:v>
      </ns0:c>
      <ns0:c r="I268">
        <ns0:f>IF(COUNTIFS(Cases!$B$2:$B$1859,A268,Cases!$R$2:$R$1859,1)&gt;0,1,0)</ns0:f>
        <ns0:v>0</ns0:v>
      </ns0:c>
    </ns0:row>
    <ns0:row r="269">
      <ns0:c r="A269" t="inlineStr">
        <ns0:is>
          <ns0:t>function_0268</ns0:t>
        </ns0:is>
      </ns0:c>
      <ns0:c r="B269" t="inlineStr">
        <ns0:is>
          <ns0:t>run_012</ns0:t>
        </ns0:is>
      </ns0:c>
      <ns0:c r="C269" t="inlineStr">
        <ns0:is>
          <ns0:t>mio</ns0:t>
        </ns0:is>
      </ns0:c>
      <ns0:c r="D269" t="inlineStr">
        <ns0:is>
          <ns0:t>gemini-2.5-flash-nothinking</ns0:t>
        </ns0:is>
      </ns0:c>
      <ns0:c r="E269">
        <ns0:f>COUNTIF(Cases!$B$2:$B$1859,A269)</ns0:f>
        <ns0:v>4</ns0:v>
      </ns0:c>
      <ns0:c r="F269">
        <ns0:f>IF(COUNTIFS(Cases!$B$2:$B$1859,A269,Cases!$G$2:$G$1859,1)&gt;0,1,0)</ns0:f>
        <ns0:v>0</ns0:v>
      </ns0:c>
      <ns0:c r="G269">
        <ns0:f>IF(COUNTIFS(Cases!$B$2:$B$1859,A269,Cases!$L$2:$L$1859,1)&gt;0,1,0)</ns0:f>
        <ns0:v>1</ns0:v>
      </ns0:c>
      <ns0:c r="H269">
        <ns0:f>IF(COUNTIFS(Cases!$B$2:$B$1859,A269,Cases!$Q$2:$Q$1859,1)&gt;0,1,0)</ns0:f>
        <ns0:v>0</ns0:v>
      </ns0:c>
      <ns0:c r="I269">
        <ns0:f>IF(COUNTIFS(Cases!$B$2:$B$1859,A269,Cases!$R$2:$R$1859,1)&gt;0,1,0)</ns0:f>
        <ns0:v>0</ns0:v>
      </ns0:c>
    </ns0:row>
    <ns0:row r="270">
      <ns0:c r="A270" t="inlineStr">
        <ns0:is>
          <ns0:t>function_0269</ns0:t>
        </ns0:is>
      </ns0:c>
      <ns0:c r="B270" t="inlineStr">
        <ns0:is>
          <ns0:t>run_012</ns0:t>
        </ns0:is>
      </ns0:c>
      <ns0:c r="C270" t="inlineStr">
        <ns0:is>
          <ns0:t>mio</ns0:t>
        </ns0:is>
      </ns0:c>
      <ns0:c r="D270" t="inlineStr">
        <ns0:is>
          <ns0:t>gemini-2.5-flash-nothinking</ns0:t>
        </ns0:is>
      </ns0:c>
      <ns0:c r="E270">
        <ns0:f>COUNTIF(Cases!$B$2:$B$1859,A270)</ns0:f>
        <ns0:v>4</ns0:v>
      </ns0:c>
      <ns0:c r="F270">
        <ns0:f>IF(COUNTIFS(Cases!$B$2:$B$1859,A270,Cases!$G$2:$G$1859,1)&gt;0,1,0)</ns0:f>
        <ns0:v>0</ns0:v>
      </ns0:c>
      <ns0:c r="G270">
        <ns0:f>IF(COUNTIFS(Cases!$B$2:$B$1859,A270,Cases!$L$2:$L$1859,1)&gt;0,1,0)</ns0:f>
        <ns0:v>1</ns0:v>
      </ns0:c>
      <ns0:c r="H270">
        <ns0:f>IF(COUNTIFS(Cases!$B$2:$B$1859,A270,Cases!$Q$2:$Q$1859,1)&gt;0,1,0)</ns0:f>
        <ns0:v>0</ns0:v>
      </ns0:c>
      <ns0:c r="I270">
        <ns0:f>IF(COUNTIFS(Cases!$B$2:$B$1859,A270,Cases!$R$2:$R$1859,1)&gt;0,1,0)</ns0:f>
        <ns0:v>1</ns0:v>
      </ns0:c>
    </ns0:row>
    <ns0:row r="271">
      <ns0:c r="A271" t="inlineStr">
        <ns0:is>
          <ns0:t>function_0270</ns0:t>
        </ns0:is>
      </ns0:c>
      <ns0:c r="B271" t="inlineStr">
        <ns0:is>
          <ns0:t>run_012</ns0:t>
        </ns0:is>
      </ns0:c>
      <ns0:c r="C271" t="inlineStr">
        <ns0:is>
          <ns0:t>mio</ns0:t>
        </ns0:is>
      </ns0:c>
      <ns0:c r="D271" t="inlineStr">
        <ns0:is>
          <ns0:t>gemini-2.5-flash-nothinking</ns0:t>
        </ns0:is>
      </ns0:c>
      <ns0:c r="E271">
        <ns0:f>COUNTIF(Cases!$B$2:$B$1859,A271)</ns0:f>
        <ns0:v>2</ns0:v>
      </ns0:c>
      <ns0:c r="F271">
        <ns0:f>IF(COUNTIFS(Cases!$B$2:$B$1859,A271,Cases!$G$2:$G$1859,1)&gt;0,1,0)</ns0:f>
        <ns0:v>0</ns0:v>
      </ns0:c>
      <ns0:c r="G271">
        <ns0:f>IF(COUNTIFS(Cases!$B$2:$B$1859,A271,Cases!$L$2:$L$1859,1)&gt;0,1,0)</ns0:f>
        <ns0:v>1</ns0:v>
      </ns0:c>
      <ns0:c r="H271">
        <ns0:f>IF(COUNTIFS(Cases!$B$2:$B$1859,A271,Cases!$Q$2:$Q$1859,1)&gt;0,1,0)</ns0:f>
        <ns0:v>0</ns0:v>
      </ns0:c>
      <ns0:c r="I271">
        <ns0:f>IF(COUNTIFS(Cases!$B$2:$B$1859,A271,Cases!$R$2:$R$1859,1)&gt;0,1,0)</ns0:f>
        <ns0:v>1</ns0:v>
      </ns0:c>
    </ns0:row>
    <ns0:row r="272">
      <ns0:c r="A272" t="inlineStr">
        <ns0:is>
          <ns0:t>function_0271</ns0:t>
        </ns0:is>
      </ns0:c>
      <ns0:c r="B272" t="inlineStr">
        <ns0:is>
          <ns0:t>run_012</ns0:t>
        </ns0:is>
      </ns0:c>
      <ns0:c r="C272" t="inlineStr">
        <ns0:is>
          <ns0:t>mio</ns0:t>
        </ns0:is>
      </ns0:c>
      <ns0:c r="D272" t="inlineStr">
        <ns0:is>
          <ns0:t>gemini-2.5-flash-nothinking</ns0:t>
        </ns0:is>
      </ns0:c>
      <ns0:c r="E272">
        <ns0:f>COUNTIF(Cases!$B$2:$B$1859,A272)</ns0:f>
        <ns0:v>2</ns0:v>
      </ns0:c>
      <ns0:c r="F272">
        <ns0:f>IF(COUNTIFS(Cases!$B$2:$B$1859,A272,Cases!$G$2:$G$1859,1)&gt;0,1,0)</ns0:f>
        <ns0:v>0</ns0:v>
      </ns0:c>
      <ns0:c r="G272">
        <ns0:f>IF(COUNTIFS(Cases!$B$2:$B$1859,A272,Cases!$L$2:$L$1859,1)&gt;0,1,0)</ns0:f>
        <ns0:v>1</ns0:v>
      </ns0:c>
      <ns0:c r="H272">
        <ns0:f>IF(COUNTIFS(Cases!$B$2:$B$1859,A272,Cases!$Q$2:$Q$1859,1)&gt;0,1,0)</ns0:f>
        <ns0:v>0</ns0:v>
      </ns0:c>
      <ns0:c r="I272">
        <ns0:f>IF(COUNTIFS(Cases!$B$2:$B$1859,A272,Cases!$R$2:$R$1859,1)&gt;0,1,0)</ns0:f>
        <ns0:v>1</ns0:v>
      </ns0:c>
    </ns0:row>
    <ns0:row r="273">
      <ns0:c r="A273" t="inlineStr">
        <ns0:is>
          <ns0:t>function_0272</ns0:t>
        </ns0:is>
      </ns0:c>
      <ns0:c r="B273" t="inlineStr">
        <ns0:is>
          <ns0:t>run_012</ns0:t>
        </ns0:is>
      </ns0:c>
      <ns0:c r="C273" t="inlineStr">
        <ns0:is>
          <ns0:t>mio</ns0:t>
        </ns0:is>
      </ns0:c>
      <ns0:c r="D273" t="inlineStr">
        <ns0:is>
          <ns0:t>gemini-2.5-flash-nothinking</ns0:t>
        </ns0:is>
      </ns0:c>
      <ns0:c r="E273">
        <ns0:f>COUNTIF(Cases!$B$2:$B$1859,A273)</ns0:f>
        <ns0:v>2</ns0:v>
      </ns0:c>
      <ns0:c r="F273">
        <ns0:f>IF(COUNTIFS(Cases!$B$2:$B$1859,A273,Cases!$G$2:$G$1859,1)&gt;0,1,0)</ns0:f>
        <ns0:v>0</ns0:v>
      </ns0:c>
      <ns0:c r="G273">
        <ns0:f>IF(COUNTIFS(Cases!$B$2:$B$1859,A273,Cases!$L$2:$L$1859,1)&gt;0,1,0)</ns0:f>
        <ns0:v>1</ns0:v>
      </ns0:c>
      <ns0:c r="H273">
        <ns0:f>IF(COUNTIFS(Cases!$B$2:$B$1859,A273,Cases!$Q$2:$Q$1859,1)&gt;0,1,0)</ns0:f>
        <ns0:v>0</ns0:v>
      </ns0:c>
      <ns0:c r="I273">
        <ns0:f>IF(COUNTIFS(Cases!$B$2:$B$1859,A273,Cases!$R$2:$R$1859,1)&gt;0,1,0)</ns0:f>
        <ns0:v>1</ns0:v>
      </ns0:c>
    </ns0:row>
    <ns0:row r="274">
      <ns0:c r="A274" t="inlineStr">
        <ns0:is>
          <ns0:t>function_0273</ns0:t>
        </ns0:is>
      </ns0:c>
      <ns0:c r="B274" t="inlineStr">
        <ns0:is>
          <ns0:t>run_012</ns0:t>
        </ns0:is>
      </ns0:c>
      <ns0:c r="C274" t="inlineStr">
        <ns0:is>
          <ns0:t>mio</ns0:t>
        </ns0:is>
      </ns0:c>
      <ns0:c r="D274" t="inlineStr">
        <ns0:is>
          <ns0:t>gemini-2.5-flash-nothinking</ns0:t>
        </ns0:is>
      </ns0:c>
      <ns0:c r="E274">
        <ns0:f>COUNTIF(Cases!$B$2:$B$1859,A274)</ns0:f>
        <ns0:v>2</ns0:v>
      </ns0:c>
      <ns0:c r="F274">
        <ns0:f>IF(COUNTIFS(Cases!$B$2:$B$1859,A274,Cases!$G$2:$G$1859,1)&gt;0,1,0)</ns0:f>
        <ns0:v>0</ns0:v>
      </ns0:c>
      <ns0:c r="G274">
        <ns0:f>IF(COUNTIFS(Cases!$B$2:$B$1859,A274,Cases!$L$2:$L$1859,1)&gt;0,1,0)</ns0:f>
        <ns0:v>1</ns0:v>
      </ns0:c>
      <ns0:c r="H274">
        <ns0:f>IF(COUNTIFS(Cases!$B$2:$B$1859,A274,Cases!$Q$2:$Q$1859,1)&gt;0,1,0)</ns0:f>
        <ns0:v>0</ns0:v>
      </ns0:c>
      <ns0:c r="I274">
        <ns0:f>IF(COUNTIFS(Cases!$B$2:$B$1859,A274,Cases!$R$2:$R$1859,1)&gt;0,1,0)</ns0:f>
        <ns0:v>0</ns0:v>
      </ns0:c>
    </ns0:row>
    <ns0:row r="275">
      <ns0:c r="A275" t="inlineStr">
        <ns0:is>
          <ns0:t>function_0274</ns0:t>
        </ns0:is>
      </ns0:c>
      <ns0:c r="B275" t="inlineStr">
        <ns0:is>
          <ns0:t>run_012</ns0:t>
        </ns0:is>
      </ns0:c>
      <ns0:c r="C275" t="inlineStr">
        <ns0:is>
          <ns0:t>mio</ns0:t>
        </ns0:is>
      </ns0:c>
      <ns0:c r="D275" t="inlineStr">
        <ns0:is>
          <ns0:t>gemini-2.5-flash-nothinking</ns0:t>
        </ns0:is>
      </ns0:c>
      <ns0:c r="E275">
        <ns0:f>COUNTIF(Cases!$B$2:$B$1859,A275)</ns0:f>
        <ns0:v>2</ns0:v>
      </ns0:c>
      <ns0:c r="F275">
        <ns0:f>IF(COUNTIFS(Cases!$B$2:$B$1859,A275,Cases!$G$2:$G$1859,1)&gt;0,1,0)</ns0:f>
        <ns0:v>1</ns0:v>
      </ns0:c>
      <ns0:c r="G275">
        <ns0:f>IF(COUNTIFS(Cases!$B$2:$B$1859,A275,Cases!$L$2:$L$1859,1)&gt;0,1,0)</ns0:f>
        <ns0:v>1</ns0:v>
      </ns0:c>
      <ns0:c r="H275">
        <ns0:f>IF(COUNTIFS(Cases!$B$2:$B$1859,A275,Cases!$Q$2:$Q$1859,1)&gt;0,1,0)</ns0:f>
        <ns0:v>0</ns0:v>
      </ns0:c>
      <ns0:c r="I275">
        <ns0:f>IF(COUNTIFS(Cases!$B$2:$B$1859,A275,Cases!$R$2:$R$1859,1)&gt;0,1,0)</ns0:f>
        <ns0:v>1</ns0:v>
      </ns0:c>
    </ns0:row>
    <ns0:row r="276">
      <ns0:c r="A276" t="inlineStr">
        <ns0:is>
          <ns0:t>function_0275</ns0:t>
        </ns0:is>
      </ns0:c>
      <ns0:c r="B276" t="inlineStr">
        <ns0:is>
          <ns0:t>run_012</ns0:t>
        </ns0:is>
      </ns0:c>
      <ns0:c r="C276" t="inlineStr">
        <ns0:is>
          <ns0:t>mio</ns0:t>
        </ns0:is>
      </ns0:c>
      <ns0:c r="D276" t="inlineStr">
        <ns0:is>
          <ns0:t>gemini-2.5-flash-nothinking</ns0:t>
        </ns0:is>
      </ns0:c>
      <ns0:c r="E276">
        <ns0:f>COUNTIF(Cases!$B$2:$B$1859,A276)</ns0:f>
        <ns0:v>2</ns0:v>
      </ns0:c>
      <ns0:c r="F276">
        <ns0:f>IF(COUNTIFS(Cases!$B$2:$B$1859,A276,Cases!$G$2:$G$1859,1)&gt;0,1,0)</ns0:f>
        <ns0:v>0</ns0:v>
      </ns0:c>
      <ns0:c r="G276">
        <ns0:f>IF(COUNTIFS(Cases!$B$2:$B$1859,A276,Cases!$L$2:$L$1859,1)&gt;0,1,0)</ns0:f>
        <ns0:v>1</ns0:v>
      </ns0:c>
      <ns0:c r="H276">
        <ns0:f>IF(COUNTIFS(Cases!$B$2:$B$1859,A276,Cases!$Q$2:$Q$1859,1)&gt;0,1,0)</ns0:f>
        <ns0:v>0</ns0:v>
      </ns0:c>
      <ns0:c r="I276">
        <ns0:f>IF(COUNTIFS(Cases!$B$2:$B$1859,A276,Cases!$R$2:$R$1859,1)&gt;0,1,0)</ns0:f>
        <ns0:v>0</ns0:v>
      </ns0:c>
    </ns0:row>
    <ns0:row r="277">
      <ns0:c r="A277" t="inlineStr">
        <ns0:is>
          <ns0:t>function_0276</ns0:t>
        </ns0:is>
      </ns0:c>
      <ns0:c r="B277" t="inlineStr">
        <ns0:is>
          <ns0:t>run_012</ns0:t>
        </ns0:is>
      </ns0:c>
      <ns0:c r="C277" t="inlineStr">
        <ns0:is>
          <ns0:t>mio</ns0:t>
        </ns0:is>
      </ns0:c>
      <ns0:c r="D277" t="inlineStr">
        <ns0:is>
          <ns0:t>gemini-2.5-flash-nothinking</ns0:t>
        </ns0:is>
      </ns0:c>
      <ns0:c r="E277">
        <ns0:f>COUNTIF(Cases!$B$2:$B$1859,A277)</ns0:f>
        <ns0:v>2</ns0:v>
      </ns0:c>
      <ns0:c r="F277">
        <ns0:f>IF(COUNTIFS(Cases!$B$2:$B$1859,A277,Cases!$G$2:$G$1859,1)&gt;0,1,0)</ns0:f>
        <ns0:v>0</ns0:v>
      </ns0:c>
      <ns0:c r="G277">
        <ns0:f>IF(COUNTIFS(Cases!$B$2:$B$1859,A277,Cases!$L$2:$L$1859,1)&gt;0,1,0)</ns0:f>
        <ns0:v>1</ns0:v>
      </ns0:c>
      <ns0:c r="H277">
        <ns0:f>IF(COUNTIFS(Cases!$B$2:$B$1859,A277,Cases!$Q$2:$Q$1859,1)&gt;0,1,0)</ns0:f>
        <ns0:v>0</ns0:v>
      </ns0:c>
      <ns0:c r="I277">
        <ns0:f>IF(COUNTIFS(Cases!$B$2:$B$1859,A277,Cases!$R$2:$R$1859,1)&gt;0,1,0)</ns0:f>
        <ns0:v>0</ns0:v>
      </ns0:c>
    </ns0:row>
    <ns0:row r="278">
      <ns0:c r="A278" t="inlineStr">
        <ns0:is>
          <ns0:t>function_0277</ns0:t>
        </ns0:is>
      </ns0:c>
      <ns0:c r="B278" t="inlineStr">
        <ns0:is>
          <ns0:t>run_012</ns0:t>
        </ns0:is>
      </ns0:c>
      <ns0:c r="C278" t="inlineStr">
        <ns0:is>
          <ns0:t>mio</ns0:t>
        </ns0:is>
      </ns0:c>
      <ns0:c r="D278" t="inlineStr">
        <ns0:is>
          <ns0:t>gemini-2.5-flash-nothinking</ns0:t>
        </ns0:is>
      </ns0:c>
      <ns0:c r="E278">
        <ns0:f>COUNTIF(Cases!$B$2:$B$1859,A278)</ns0:f>
        <ns0:v>2</ns0:v>
      </ns0:c>
      <ns0:c r="F278">
        <ns0:f>IF(COUNTIFS(Cases!$B$2:$B$1859,A278,Cases!$G$2:$G$1859,1)&gt;0,1,0)</ns0:f>
        <ns0:v>1</ns0:v>
      </ns0:c>
      <ns0:c r="G278">
        <ns0:f>IF(COUNTIFS(Cases!$B$2:$B$1859,A278,Cases!$L$2:$L$1859,1)&gt;0,1,0)</ns0:f>
        <ns0:v>1</ns0:v>
      </ns0:c>
      <ns0:c r="H278">
        <ns0:f>IF(COUNTIFS(Cases!$B$2:$B$1859,A278,Cases!$Q$2:$Q$1859,1)&gt;0,1,0)</ns0:f>
        <ns0:v>1</ns0:v>
      </ns0:c>
      <ns0:c r="I278">
        <ns0:f>IF(COUNTIFS(Cases!$B$2:$B$1859,A278,Cases!$R$2:$R$1859,1)&gt;0,1,0)</ns0:f>
        <ns0:v>1</ns0:v>
      </ns0:c>
    </ns0:row>
    <ns0:row r="279">
      <ns0:c r="A279" t="inlineStr">
        <ns0:is>
          <ns0:t>function_0278</ns0:t>
        </ns0:is>
      </ns0:c>
      <ns0:c r="B279" t="inlineStr">
        <ns0:is>
          <ns0:t>run_012</ns0:t>
        </ns0:is>
      </ns0:c>
      <ns0:c r="C279" t="inlineStr">
        <ns0:is>
          <ns0:t>mio</ns0:t>
        </ns0:is>
      </ns0:c>
      <ns0:c r="D279" t="inlineStr">
        <ns0:is>
          <ns0:t>gemini-2.5-flash-nothinking</ns0:t>
        </ns0:is>
      </ns0:c>
      <ns0:c r="E279">
        <ns0:f>COUNTIF(Cases!$B$2:$B$1859,A279)</ns0:f>
        <ns0:v>2</ns0:v>
      </ns0:c>
      <ns0:c r="F279">
        <ns0:f>IF(COUNTIFS(Cases!$B$2:$B$1859,A279,Cases!$G$2:$G$1859,1)&gt;0,1,0)</ns0:f>
        <ns0:v>0</ns0:v>
      </ns0:c>
      <ns0:c r="G279">
        <ns0:f>IF(COUNTIFS(Cases!$B$2:$B$1859,A279,Cases!$L$2:$L$1859,1)&gt;0,1,0)</ns0:f>
        <ns0:v>1</ns0:v>
      </ns0:c>
      <ns0:c r="H279">
        <ns0:f>IF(COUNTIFS(Cases!$B$2:$B$1859,A279,Cases!$Q$2:$Q$1859,1)&gt;0,1,0)</ns0:f>
        <ns0:v>0</ns0:v>
      </ns0:c>
      <ns0:c r="I279">
        <ns0:f>IF(COUNTIFS(Cases!$B$2:$B$1859,A279,Cases!$R$2:$R$1859,1)&gt;0,1,0)</ns0:f>
        <ns0:v>0</ns0:v>
      </ns0:c>
    </ns0:row>
    <ns0:row r="280">
      <ns0:c r="A280" t="inlineStr">
        <ns0:is>
          <ns0:t>function_0279</ns0:t>
        </ns0:is>
      </ns0:c>
      <ns0:c r="B280" t="inlineStr">
        <ns0:is>
          <ns0:t>run_012</ns0:t>
        </ns0:is>
      </ns0:c>
      <ns0:c r="C280" t="inlineStr">
        <ns0:is>
          <ns0:t>mio</ns0:t>
        </ns0:is>
      </ns0:c>
      <ns0:c r="D280" t="inlineStr">
        <ns0:is>
          <ns0:t>gemini-2.5-flash-nothinking</ns0:t>
        </ns0:is>
      </ns0:c>
      <ns0:c r="E280">
        <ns0:f>COUNTIF(Cases!$B$2:$B$1859,A280)</ns0:f>
        <ns0:v>2</ns0:v>
      </ns0:c>
      <ns0:c r="F280">
        <ns0:f>IF(COUNTIFS(Cases!$B$2:$B$1859,A280,Cases!$G$2:$G$1859,1)&gt;0,1,0)</ns0:f>
        <ns0:v>0</ns0:v>
      </ns0:c>
      <ns0:c r="G280">
        <ns0:f>IF(COUNTIFS(Cases!$B$2:$B$1859,A280,Cases!$L$2:$L$1859,1)&gt;0,1,0)</ns0:f>
        <ns0:v>1</ns0:v>
      </ns0:c>
      <ns0:c r="H280">
        <ns0:f>IF(COUNTIFS(Cases!$B$2:$B$1859,A280,Cases!$Q$2:$Q$1859,1)&gt;0,1,0)</ns0:f>
        <ns0:v>0</ns0:v>
      </ns0:c>
      <ns0:c r="I280">
        <ns0:f>IF(COUNTIFS(Cases!$B$2:$B$1859,A280,Cases!$R$2:$R$1859,1)&gt;0,1,0)</ns0:f>
        <ns0:v>0</ns0:v>
      </ns0:c>
    </ns0:row>
    <ns0:row r="281">
      <ns0:c r="A281" t="inlineStr">
        <ns0:is>
          <ns0:t>function_0280</ns0:t>
        </ns0:is>
      </ns0:c>
      <ns0:c r="B281" t="inlineStr">
        <ns0:is>
          <ns0:t>run_012</ns0:t>
        </ns0:is>
      </ns0:c>
      <ns0:c r="C281" t="inlineStr">
        <ns0:is>
          <ns0:t>mio</ns0:t>
        </ns0:is>
      </ns0:c>
      <ns0:c r="D281" t="inlineStr">
        <ns0:is>
          <ns0:t>gemini-2.5-flash-nothinking</ns0:t>
        </ns0:is>
      </ns0:c>
      <ns0:c r="E281">
        <ns0:f>COUNTIF(Cases!$B$2:$B$1859,A281)</ns0:f>
        <ns0:v>3</ns0:v>
      </ns0:c>
      <ns0:c r="F281">
        <ns0:f>IF(COUNTIFS(Cases!$B$2:$B$1859,A281,Cases!$G$2:$G$1859,1)&gt;0,1,0)</ns0:f>
        <ns0:v>0</ns0:v>
      </ns0:c>
      <ns0:c r="G281">
        <ns0:f>IF(COUNTIFS(Cases!$B$2:$B$1859,A281,Cases!$L$2:$L$1859,1)&gt;0,1,0)</ns0:f>
        <ns0:v>1</ns0:v>
      </ns0:c>
      <ns0:c r="H281">
        <ns0:f>IF(COUNTIFS(Cases!$B$2:$B$1859,A281,Cases!$Q$2:$Q$1859,1)&gt;0,1,0)</ns0:f>
        <ns0:v>0</ns0:v>
      </ns0:c>
      <ns0:c r="I281">
        <ns0:f>IF(COUNTIFS(Cases!$B$2:$B$1859,A281,Cases!$R$2:$R$1859,1)&gt;0,1,0)</ns0:f>
        <ns0:v>0</ns0:v>
      </ns0:c>
    </ns0:row>
    <ns0:row r="282">
      <ns0:c r="A282" t="inlineStr">
        <ns0:is>
          <ns0:t>function_0281</ns0:t>
        </ns0:is>
      </ns0:c>
      <ns0:c r="B282" t="inlineStr">
        <ns0:is>
          <ns0:t>run_012</ns0:t>
        </ns0:is>
      </ns0:c>
      <ns0:c r="C282" t="inlineStr">
        <ns0:is>
          <ns0:t>mio</ns0:t>
        </ns0:is>
      </ns0:c>
      <ns0:c r="D282" t="inlineStr">
        <ns0:is>
          <ns0:t>gemini-2.5-flash-nothinking</ns0:t>
        </ns0:is>
      </ns0:c>
      <ns0:c r="E282">
        <ns0:f>COUNTIF(Cases!$B$2:$B$1859,A282)</ns0:f>
        <ns0:v>4</ns0:v>
      </ns0:c>
      <ns0:c r="F282">
        <ns0:f>IF(COUNTIFS(Cases!$B$2:$B$1859,A282,Cases!$G$2:$G$1859,1)&gt;0,1,0)</ns0:f>
        <ns0:v>0</ns0:v>
      </ns0:c>
      <ns0:c r="G282">
        <ns0:f>IF(COUNTIFS(Cases!$B$2:$B$1859,A282,Cases!$L$2:$L$1859,1)&gt;0,1,0)</ns0:f>
        <ns0:v>1</ns0:v>
      </ns0:c>
      <ns0:c r="H282">
        <ns0:f>IF(COUNTIFS(Cases!$B$2:$B$1859,A282,Cases!$Q$2:$Q$1859,1)&gt;0,1,0)</ns0:f>
        <ns0:v>1</ns0:v>
      </ns0:c>
      <ns0:c r="I282">
        <ns0:f>IF(COUNTIFS(Cases!$B$2:$B$1859,A282,Cases!$R$2:$R$1859,1)&gt;0,1,0)</ns0:f>
        <ns0:v>1</ns0:v>
      </ns0:c>
    </ns0:row>
    <ns0:row r="283">
      <ns0:c r="A283" t="inlineStr">
        <ns0:is>
          <ns0:t>function_0282</ns0:t>
        </ns0:is>
      </ns0:c>
      <ns0:c r="B283" t="inlineStr">
        <ns0:is>
          <ns0:t>run_012</ns0:t>
        </ns0:is>
      </ns0:c>
      <ns0:c r="C283" t="inlineStr">
        <ns0:is>
          <ns0:t>mio</ns0:t>
        </ns0:is>
      </ns0:c>
      <ns0:c r="D283" t="inlineStr">
        <ns0:is>
          <ns0:t>gemini-2.5-flash-nothinking</ns0:t>
        </ns0:is>
      </ns0:c>
      <ns0:c r="E283">
        <ns0:f>COUNTIF(Cases!$B$2:$B$1859,A283)</ns0:f>
        <ns0:v>1</ns0:v>
      </ns0:c>
      <ns0:c r="F283">
        <ns0:f>IF(COUNTIFS(Cases!$B$2:$B$1859,A283,Cases!$G$2:$G$1859,1)&gt;0,1,0)</ns0:f>
        <ns0:v>0</ns0:v>
      </ns0:c>
      <ns0:c r="G283">
        <ns0:f>IF(COUNTIFS(Cases!$B$2:$B$1859,A283,Cases!$L$2:$L$1859,1)&gt;0,1,0)</ns0:f>
        <ns0:v>1</ns0:v>
      </ns0:c>
      <ns0:c r="H283">
        <ns0:f>IF(COUNTIFS(Cases!$B$2:$B$1859,A283,Cases!$Q$2:$Q$1859,1)&gt;0,1,0)</ns0:f>
        <ns0:v>0</ns0:v>
      </ns0:c>
      <ns0:c r="I283">
        <ns0:f>IF(COUNTIFS(Cases!$B$2:$B$1859,A283,Cases!$R$2:$R$1859,1)&gt;0,1,0)</ns0:f>
        <ns0:v>1</ns0:v>
      </ns0:c>
    </ns0:row>
    <ns0:row r="284">
      <ns0:c r="A284" t="inlineStr">
        <ns0:is>
          <ns0:t>function_0283</ns0:t>
        </ns0:is>
      </ns0:c>
      <ns0:c r="B284" t="inlineStr">
        <ns0:is>
          <ns0:t>run_012</ns0:t>
        </ns0:is>
      </ns0:c>
      <ns0:c r="C284" t="inlineStr">
        <ns0:is>
          <ns0:t>mio</ns0:t>
        </ns0:is>
      </ns0:c>
      <ns0:c r="D284" t="inlineStr">
        <ns0:is>
          <ns0:t>gemini-2.5-flash-nothinking</ns0:t>
        </ns0:is>
      </ns0:c>
      <ns0:c r="E284">
        <ns0:f>COUNTIF(Cases!$B$2:$B$1859,A284)</ns0:f>
        <ns0:v>3</ns0:v>
      </ns0:c>
      <ns0:c r="F284">
        <ns0:f>IF(COUNTIFS(Cases!$B$2:$B$1859,A284,Cases!$G$2:$G$1859,1)&gt;0,1,0)</ns0:f>
        <ns0:v>0</ns0:v>
      </ns0:c>
      <ns0:c r="G284">
        <ns0:f>IF(COUNTIFS(Cases!$B$2:$B$1859,A284,Cases!$L$2:$L$1859,1)&gt;0,1,0)</ns0:f>
        <ns0:v>0</ns0:v>
      </ns0:c>
      <ns0:c r="H284">
        <ns0:f>IF(COUNTIFS(Cases!$B$2:$B$1859,A284,Cases!$Q$2:$Q$1859,1)&gt;0,1,0)</ns0:f>
        <ns0:v>0</ns0:v>
      </ns0:c>
      <ns0:c r="I284">
        <ns0:f>IF(COUNTIFS(Cases!$B$2:$B$1859,A284,Cases!$R$2:$R$1859,1)&gt;0,1,0)</ns0:f>
        <ns0:v>0</ns0:v>
      </ns0:c>
    </ns0:row>
    <ns0:row r="285">
      <ns0:c r="A285" t="inlineStr">
        <ns0:is>
          <ns0:t>function_0284</ns0:t>
        </ns0:is>
      </ns0:c>
      <ns0:c r="B285" t="inlineStr">
        <ns0:is>
          <ns0:t>run_012</ns0:t>
        </ns0:is>
      </ns0:c>
      <ns0:c r="C285" t="inlineStr">
        <ns0:is>
          <ns0:t>mio</ns0:t>
        </ns0:is>
      </ns0:c>
      <ns0:c r="D285" t="inlineStr">
        <ns0:is>
          <ns0:t>gemini-2.5-flash-nothinking</ns0:t>
        </ns0:is>
      </ns0:c>
      <ns0:c r="E285">
        <ns0:f>COUNTIF(Cases!$B$2:$B$1859,A285)</ns0:f>
        <ns0:v>4</ns0:v>
      </ns0:c>
      <ns0:c r="F285">
        <ns0:f>IF(COUNTIFS(Cases!$B$2:$B$1859,A285,Cases!$G$2:$G$1859,1)&gt;0,1,0)</ns0:f>
        <ns0:v>0</ns0:v>
      </ns0:c>
      <ns0:c r="G285">
        <ns0:f>IF(COUNTIFS(Cases!$B$2:$B$1859,A285,Cases!$L$2:$L$1859,1)&gt;0,1,0)</ns0:f>
        <ns0:v>0</ns0:v>
      </ns0:c>
      <ns0:c r="H285">
        <ns0:f>IF(COUNTIFS(Cases!$B$2:$B$1859,A285,Cases!$Q$2:$Q$1859,1)&gt;0,1,0)</ns0:f>
        <ns0:v>0</ns0:v>
      </ns0:c>
      <ns0:c r="I285">
        <ns0:f>IF(COUNTIFS(Cases!$B$2:$B$1859,A285,Cases!$R$2:$R$1859,1)&gt;0,1,0)</ns0:f>
        <ns0:v>0</ns0:v>
      </ns0:c>
    </ns0:row>
    <ns0:row r="286">
      <ns0:c r="A286" t="inlineStr">
        <ns0:is>
          <ns0:t>function_0285</ns0:t>
        </ns0:is>
      </ns0:c>
      <ns0:c r="B286" t="inlineStr">
        <ns0:is>
          <ns0:t>run_013</ns0:t>
        </ns0:is>
      </ns0:c>
      <ns0:c r="C286" t="inlineStr">
        <ns0:is>
          <ns0:t>rand</ns0:t>
        </ns0:is>
      </ns0:c>
      <ns0:c r="D286" t="inlineStr">
        <ns0:is>
          <ns0:t>gemini-2.5-flash-nothinking</ns0:t>
        </ns0:is>
      </ns0:c>
      <ns0:c r="E286">
        <ns0:f>COUNTIF(Cases!$B$2:$B$1859,A286)</ns0:f>
        <ns0:v>1</ns0:v>
      </ns0:c>
      <ns0:c r="F286">
        <ns0:f>IF(COUNTIFS(Cases!$B$2:$B$1859,A286,Cases!$G$2:$G$1859,1)&gt;0,1,0)</ns0:f>
        <ns0:v>1</ns0:v>
      </ns0:c>
      <ns0:c r="G286">
        <ns0:f>IF(COUNTIFS(Cases!$B$2:$B$1859,A286,Cases!$L$2:$L$1859,1)&gt;0,1,0)</ns0:f>
        <ns0:v>1</ns0:v>
      </ns0:c>
      <ns0:c r="H286">
        <ns0:f>IF(COUNTIFS(Cases!$B$2:$B$1859,A286,Cases!$Q$2:$Q$1859,1)&gt;0,1,0)</ns0:f>
        <ns0:v>0</ns0:v>
      </ns0:c>
      <ns0:c r="I286">
        <ns0:f>IF(COUNTIFS(Cases!$B$2:$B$1859,A286,Cases!$R$2:$R$1859,1)&gt;0,1,0)</ns0:f>
        <ns0:v>0</ns0:v>
      </ns0:c>
    </ns0:row>
    <ns0:row r="287">
      <ns0:c r="A287" t="inlineStr">
        <ns0:is>
          <ns0:t>function_0286</ns0:t>
        </ns0:is>
      </ns0:c>
      <ns0:c r="B287" t="inlineStr">
        <ns0:is>
          <ns0:t>run_013</ns0:t>
        </ns0:is>
      </ns0:c>
      <ns0:c r="C287" t="inlineStr">
        <ns0:is>
          <ns0:t>rand</ns0:t>
        </ns0:is>
      </ns0:c>
      <ns0:c r="D287" t="inlineStr">
        <ns0:is>
          <ns0:t>gemini-2.5-flash-nothinking</ns0:t>
        </ns0:is>
      </ns0:c>
      <ns0:c r="E287">
        <ns0:f>COUNTIF(Cases!$B$2:$B$1859,A287)</ns0:f>
        <ns0:v>2</ns0:v>
      </ns0:c>
      <ns0:c r="F287">
        <ns0:f>IF(COUNTIFS(Cases!$B$2:$B$1859,A287,Cases!$G$2:$G$1859,1)&gt;0,1,0)</ns0:f>
        <ns0:v>1</ns0:v>
      </ns0:c>
      <ns0:c r="G287">
        <ns0:f>IF(COUNTIFS(Cases!$B$2:$B$1859,A287,Cases!$L$2:$L$1859,1)&gt;0,1,0)</ns0:f>
        <ns0:v>0</ns0:v>
      </ns0:c>
      <ns0:c r="H287">
        <ns0:f>IF(COUNTIFS(Cases!$B$2:$B$1859,A287,Cases!$Q$2:$Q$1859,1)&gt;0,1,0)</ns0:f>
        <ns0:v>0</ns0:v>
      </ns0:c>
      <ns0:c r="I287">
        <ns0:f>IF(COUNTIFS(Cases!$B$2:$B$1859,A287,Cases!$R$2:$R$1859,1)&gt;0,1,0)</ns0:f>
        <ns0:v>0</ns0:v>
      </ns0:c>
    </ns0:row>
    <ns0:row r="288">
      <ns0:c r="A288" t="inlineStr">
        <ns0:is>
          <ns0:t>function_0287</ns0:t>
        </ns0:is>
      </ns0:c>
      <ns0:c r="B288" t="inlineStr">
        <ns0:is>
          <ns0:t>run_013</ns0:t>
        </ns0:is>
      </ns0:c>
      <ns0:c r="C288" t="inlineStr">
        <ns0:is>
          <ns0:t>rand</ns0:t>
        </ns0:is>
      </ns0:c>
      <ns0:c r="D288" t="inlineStr">
        <ns0:is>
          <ns0:t>gemini-2.5-flash-nothinking</ns0:t>
        </ns0:is>
      </ns0:c>
      <ns0:c r="E288">
        <ns0:f>COUNTIF(Cases!$B$2:$B$1859,A288)</ns0:f>
        <ns0:v>2</ns0:v>
      </ns0:c>
      <ns0:c r="F288">
        <ns0:f>IF(COUNTIFS(Cases!$B$2:$B$1859,A288,Cases!$G$2:$G$1859,1)&gt;0,1,0)</ns0:f>
        <ns0:v>1</ns0:v>
      </ns0:c>
      <ns0:c r="G288">
        <ns0:f>IF(COUNTIFS(Cases!$B$2:$B$1859,A288,Cases!$L$2:$L$1859,1)&gt;0,1,0)</ns0:f>
        <ns0:v>1</ns0:v>
      </ns0:c>
      <ns0:c r="H288">
        <ns0:f>IF(COUNTIFS(Cases!$B$2:$B$1859,A288,Cases!$Q$2:$Q$1859,1)&gt;0,1,0)</ns0:f>
        <ns0:v>1</ns0:v>
      </ns0:c>
      <ns0:c r="I288">
        <ns0:f>IF(COUNTIFS(Cases!$B$2:$B$1859,A288,Cases!$R$2:$R$1859,1)&gt;0,1,0)</ns0:f>
        <ns0:v>1</ns0:v>
      </ns0:c>
    </ns0:row>
    <ns0:row r="289">
      <ns0:c r="A289" t="inlineStr">
        <ns0:is>
          <ns0:t>function_0288</ns0:t>
        </ns0:is>
      </ns0:c>
      <ns0:c r="B289" t="inlineStr">
        <ns0:is>
          <ns0:t>run_013</ns0:t>
        </ns0:is>
      </ns0:c>
      <ns0:c r="C289" t="inlineStr">
        <ns0:is>
          <ns0:t>rand</ns0:t>
        </ns0:is>
      </ns0:c>
      <ns0:c r="D289" t="inlineStr">
        <ns0:is>
          <ns0:t>gemini-2.5-flash-nothinking</ns0:t>
        </ns0:is>
      </ns0:c>
      <ns0:c r="E289">
        <ns0:f>COUNTIF(Cases!$B$2:$B$1859,A289)</ns0:f>
        <ns0:v>2</ns0:v>
      </ns0:c>
      <ns0:c r="F289">
        <ns0:f>IF(COUNTIFS(Cases!$B$2:$B$1859,A289,Cases!$G$2:$G$1859,1)&gt;0,1,0)</ns0:f>
        <ns0:v>0</ns0:v>
      </ns0:c>
      <ns0:c r="G289">
        <ns0:f>IF(COUNTIFS(Cases!$B$2:$B$1859,A289,Cases!$L$2:$L$1859,1)&gt;0,1,0)</ns0:f>
        <ns0:v>1</ns0:v>
      </ns0:c>
      <ns0:c r="H289">
        <ns0:f>IF(COUNTIFS(Cases!$B$2:$B$1859,A289,Cases!$Q$2:$Q$1859,1)&gt;0,1,0)</ns0:f>
        <ns0:v>1</ns0:v>
      </ns0:c>
      <ns0:c r="I289">
        <ns0:f>IF(COUNTIFS(Cases!$B$2:$B$1859,A289,Cases!$R$2:$R$1859,1)&gt;0,1,0)</ns0:f>
        <ns0:v>1</ns0:v>
      </ns0:c>
    </ns0:row>
    <ns0:row r="290">
      <ns0:c r="A290" t="inlineStr">
        <ns0:is>
          <ns0:t>function_0289</ns0:t>
        </ns0:is>
      </ns0:c>
      <ns0:c r="B290" t="inlineStr">
        <ns0:is>
          <ns0:t>run_013</ns0:t>
        </ns0:is>
      </ns0:c>
      <ns0:c r="C290" t="inlineStr">
        <ns0:is>
          <ns0:t>rand</ns0:t>
        </ns0:is>
      </ns0:c>
      <ns0:c r="D290" t="inlineStr">
        <ns0:is>
          <ns0:t>gemini-2.5-flash-nothinking</ns0:t>
        </ns0:is>
      </ns0:c>
      <ns0:c r="E290">
        <ns0:f>COUNTIF(Cases!$B$2:$B$1859,A290)</ns0:f>
        <ns0:v>2</ns0:v>
      </ns0:c>
      <ns0:c r="F290">
        <ns0:f>IF(COUNTIFS(Cases!$B$2:$B$1859,A290,Cases!$G$2:$G$1859,1)&gt;0,1,0)</ns0:f>
        <ns0:v>1</ns0:v>
      </ns0:c>
      <ns0:c r="G290">
        <ns0:f>IF(COUNTIFS(Cases!$B$2:$B$1859,A290,Cases!$L$2:$L$1859,1)&gt;0,1,0)</ns0:f>
        <ns0:v>1</ns0:v>
      </ns0:c>
      <ns0:c r="H290">
        <ns0:f>IF(COUNTIFS(Cases!$B$2:$B$1859,A290,Cases!$Q$2:$Q$1859,1)&gt;0,1,0)</ns0:f>
        <ns0:v>0</ns0:v>
      </ns0:c>
      <ns0:c r="I290">
        <ns0:f>IF(COUNTIFS(Cases!$B$2:$B$1859,A290,Cases!$R$2:$R$1859,1)&gt;0,1,0)</ns0:f>
        <ns0:v>1</ns0:v>
      </ns0:c>
    </ns0:row>
    <ns0:row r="291">
      <ns0:c r="A291" t="inlineStr">
        <ns0:is>
          <ns0:t>function_0290</ns0:t>
        </ns0:is>
      </ns0:c>
      <ns0:c r="B291" t="inlineStr">
        <ns0:is>
          <ns0:t>run_013</ns0:t>
        </ns0:is>
      </ns0:c>
      <ns0:c r="C291" t="inlineStr">
        <ns0:is>
          <ns0:t>rand</ns0:t>
        </ns0:is>
      </ns0:c>
      <ns0:c r="D291" t="inlineStr">
        <ns0:is>
          <ns0:t>gemini-2.5-flash-nothinking</ns0:t>
        </ns0:is>
      </ns0:c>
      <ns0:c r="E291">
        <ns0:f>COUNTIF(Cases!$B$2:$B$1859,A291)</ns0:f>
        <ns0:v>1</ns0:v>
      </ns0:c>
      <ns0:c r="F291">
        <ns0:f>IF(COUNTIFS(Cases!$B$2:$B$1859,A291,Cases!$G$2:$G$1859,1)&gt;0,1,0)</ns0:f>
        <ns0:v>1</ns0:v>
      </ns0:c>
      <ns0:c r="G291">
        <ns0:f>IF(COUNTIFS(Cases!$B$2:$B$1859,A291,Cases!$L$2:$L$1859,1)&gt;0,1,0)</ns0:f>
        <ns0:v>1</ns0:v>
      </ns0:c>
      <ns0:c r="H291">
        <ns0:f>IF(COUNTIFS(Cases!$B$2:$B$1859,A291,Cases!$Q$2:$Q$1859,1)&gt;0,1,0)</ns0:f>
        <ns0:v>1</ns0:v>
      </ns0:c>
      <ns0:c r="I291">
        <ns0:f>IF(COUNTIFS(Cases!$B$2:$B$1859,A291,Cases!$R$2:$R$1859,1)&gt;0,1,0)</ns0:f>
        <ns0:v>1</ns0:v>
      </ns0:c>
    </ns0:row>
    <ns0:row r="292">
      <ns0:c r="A292" t="inlineStr">
        <ns0:is>
          <ns0:t>function_0291</ns0:t>
        </ns0:is>
      </ns0:c>
      <ns0:c r="B292" t="inlineStr">
        <ns0:is>
          <ns0:t>run_013</ns0:t>
        </ns0:is>
      </ns0:c>
      <ns0:c r="C292" t="inlineStr">
        <ns0:is>
          <ns0:t>rand</ns0:t>
        </ns0:is>
      </ns0:c>
      <ns0:c r="D292" t="inlineStr">
        <ns0:is>
          <ns0:t>gemini-2.5-flash-nothinking</ns0:t>
        </ns0:is>
      </ns0:c>
      <ns0:c r="E292">
        <ns0:f>COUNTIF(Cases!$B$2:$B$1859,A292)</ns0:f>
        <ns0:v>2</ns0:v>
      </ns0:c>
      <ns0:c r="F292">
        <ns0:f>IF(COUNTIFS(Cases!$B$2:$B$1859,A292,Cases!$G$2:$G$1859,1)&gt;0,1,0)</ns0:f>
        <ns0:v>1</ns0:v>
      </ns0:c>
      <ns0:c r="G292">
        <ns0:f>IF(COUNTIFS(Cases!$B$2:$B$1859,A292,Cases!$L$2:$L$1859,1)&gt;0,1,0)</ns0:f>
        <ns0:v>1</ns0:v>
      </ns0:c>
      <ns0:c r="H292">
        <ns0:f>IF(COUNTIFS(Cases!$B$2:$B$1859,A292,Cases!$Q$2:$Q$1859,1)&gt;0,1,0)</ns0:f>
        <ns0:v>1</ns0:v>
      </ns0:c>
      <ns0:c r="I292">
        <ns0:f>IF(COUNTIFS(Cases!$B$2:$B$1859,A292,Cases!$R$2:$R$1859,1)&gt;0,1,0)</ns0:f>
        <ns0:v>1</ns0:v>
      </ns0:c>
    </ns0:row>
    <ns0:row r="293">
      <ns0:c r="A293" t="inlineStr">
        <ns0:is>
          <ns0:t>function_0292</ns0:t>
        </ns0:is>
      </ns0:c>
      <ns0:c r="B293" t="inlineStr">
        <ns0:is>
          <ns0:t>run_013</ns0:t>
        </ns0:is>
      </ns0:c>
      <ns0:c r="C293" t="inlineStr">
        <ns0:is>
          <ns0:t>rand</ns0:t>
        </ns0:is>
      </ns0:c>
      <ns0:c r="D293" t="inlineStr">
        <ns0:is>
          <ns0:t>gemini-2.5-flash-nothinking</ns0:t>
        </ns0:is>
      </ns0:c>
      <ns0:c r="E293">
        <ns0:f>COUNTIF(Cases!$B$2:$B$1859,A293)</ns0:f>
        <ns0:v>2</ns0:v>
      </ns0:c>
      <ns0:c r="F293">
        <ns0:f>IF(COUNTIFS(Cases!$B$2:$B$1859,A293,Cases!$G$2:$G$1859,1)&gt;0,1,0)</ns0:f>
        <ns0:v>1</ns0:v>
      </ns0:c>
      <ns0:c r="G293">
        <ns0:f>IF(COUNTIFS(Cases!$B$2:$B$1859,A293,Cases!$L$2:$L$1859,1)&gt;0,1,0)</ns0:f>
        <ns0:v>1</ns0:v>
      </ns0:c>
      <ns0:c r="H293">
        <ns0:f>IF(COUNTIFS(Cases!$B$2:$B$1859,A293,Cases!$Q$2:$Q$1859,1)&gt;0,1,0)</ns0:f>
        <ns0:v>1</ns0:v>
      </ns0:c>
      <ns0:c r="I293">
        <ns0:f>IF(COUNTIFS(Cases!$B$2:$B$1859,A293,Cases!$R$2:$R$1859,1)&gt;0,1,0)</ns0:f>
        <ns0:v>1</ns0:v>
      </ns0:c>
    </ns0:row>
    <ns0:row r="294">
      <ns0:c r="A294" t="inlineStr">
        <ns0:is>
          <ns0:t>function_0293</ns0:t>
        </ns0:is>
      </ns0:c>
      <ns0:c r="B294" t="inlineStr">
        <ns0:is>
          <ns0:t>run_013</ns0:t>
        </ns0:is>
      </ns0:c>
      <ns0:c r="C294" t="inlineStr">
        <ns0:is>
          <ns0:t>rand</ns0:t>
        </ns0:is>
      </ns0:c>
      <ns0:c r="D294" t="inlineStr">
        <ns0:is>
          <ns0:t>gemini-2.5-flash-nothinking</ns0:t>
        </ns0:is>
      </ns0:c>
      <ns0:c r="E294">
        <ns0:f>COUNTIF(Cases!$B$2:$B$1859,A294)</ns0:f>
        <ns0:v>2</ns0:v>
      </ns0:c>
      <ns0:c r="F294">
        <ns0:f>IF(COUNTIFS(Cases!$B$2:$B$1859,A294,Cases!$G$2:$G$1859,1)&gt;0,1,0)</ns0:f>
        <ns0:v>1</ns0:v>
      </ns0:c>
      <ns0:c r="G294">
        <ns0:f>IF(COUNTIFS(Cases!$B$2:$B$1859,A294,Cases!$L$2:$L$1859,1)&gt;0,1,0)</ns0:f>
        <ns0:v>1</ns0:v>
      </ns0:c>
      <ns0:c r="H294">
        <ns0:f>IF(COUNTIFS(Cases!$B$2:$B$1859,A294,Cases!$Q$2:$Q$1859,1)&gt;0,1,0)</ns0:f>
        <ns0:v>0</ns0:v>
      </ns0:c>
      <ns0:c r="I294">
        <ns0:f>IF(COUNTIFS(Cases!$B$2:$B$1859,A294,Cases!$R$2:$R$1859,1)&gt;0,1,0)</ns0:f>
        <ns0:v>0</ns0:v>
      </ns0:c>
    </ns0:row>
    <ns0:row r="295">
      <ns0:c r="A295" t="inlineStr">
        <ns0:is>
          <ns0:t>function_0294</ns0:t>
        </ns0:is>
      </ns0:c>
      <ns0:c r="B295" t="inlineStr">
        <ns0:is>
          <ns0:t>run_013</ns0:t>
        </ns0:is>
      </ns0:c>
      <ns0:c r="C295" t="inlineStr">
        <ns0:is>
          <ns0:t>rand</ns0:t>
        </ns0:is>
      </ns0:c>
      <ns0:c r="D295" t="inlineStr">
        <ns0:is>
          <ns0:t>gemini-2.5-flash-nothinking</ns0:t>
        </ns0:is>
      </ns0:c>
      <ns0:c r="E295">
        <ns0:f>COUNTIF(Cases!$B$2:$B$1859,A295)</ns0:f>
        <ns0:v>2</ns0:v>
      </ns0:c>
      <ns0:c r="F295">
        <ns0:f>IF(COUNTIFS(Cases!$B$2:$B$1859,A295,Cases!$G$2:$G$1859,1)&gt;0,1,0)</ns0:f>
        <ns0:v>1</ns0:v>
      </ns0:c>
      <ns0:c r="G295">
        <ns0:f>IF(COUNTIFS(Cases!$B$2:$B$1859,A295,Cases!$L$2:$L$1859,1)&gt;0,1,0)</ns0:f>
        <ns0:v>1</ns0:v>
      </ns0:c>
      <ns0:c r="H295">
        <ns0:f>IF(COUNTIFS(Cases!$B$2:$B$1859,A295,Cases!$Q$2:$Q$1859,1)&gt;0,1,0)</ns0:f>
        <ns0:v>0</ns0:v>
      </ns0:c>
      <ns0:c r="I295">
        <ns0:f>IF(COUNTIFS(Cases!$B$2:$B$1859,A295,Cases!$R$2:$R$1859,1)&gt;0,1,0)</ns0:f>
        <ns0:v>0</ns0:v>
      </ns0:c>
    </ns0:row>
    <ns0:row r="296">
      <ns0:c r="A296" t="inlineStr">
        <ns0:is>
          <ns0:t>function_0295</ns0:t>
        </ns0:is>
      </ns0:c>
      <ns0:c r="B296" t="inlineStr">
        <ns0:is>
          <ns0:t>run_013</ns0:t>
        </ns0:is>
      </ns0:c>
      <ns0:c r="C296" t="inlineStr">
        <ns0:is>
          <ns0:t>rand</ns0:t>
        </ns0:is>
      </ns0:c>
      <ns0:c r="D296" t="inlineStr">
        <ns0:is>
          <ns0:t>gemini-2.5-flash-nothinking</ns0:t>
        </ns0:is>
      </ns0:c>
      <ns0:c r="E296">
        <ns0:f>COUNTIF(Cases!$B$2:$B$1859,A296)</ns0:f>
        <ns0:v>2</ns0:v>
      </ns0:c>
      <ns0:c r="F296">
        <ns0:f>IF(COUNTIFS(Cases!$B$2:$B$1859,A296,Cases!$G$2:$G$1859,1)&gt;0,1,0)</ns0:f>
        <ns0:v>1</ns0:v>
      </ns0:c>
      <ns0:c r="G296">
        <ns0:f>IF(COUNTIFS(Cases!$B$2:$B$1859,A296,Cases!$L$2:$L$1859,1)&gt;0,1,0)</ns0:f>
        <ns0:v>1</ns0:v>
      </ns0:c>
      <ns0:c r="H296">
        <ns0:f>IF(COUNTIFS(Cases!$B$2:$B$1859,A296,Cases!$Q$2:$Q$1859,1)&gt;0,1,0)</ns0:f>
        <ns0:v>0</ns0:v>
      </ns0:c>
      <ns0:c r="I296">
        <ns0:f>IF(COUNTIFS(Cases!$B$2:$B$1859,A296,Cases!$R$2:$R$1859,1)&gt;0,1,0)</ns0:f>
        <ns0:v>0</ns0:v>
      </ns0:c>
    </ns0:row>
    <ns0:row r="297">
      <ns0:c r="A297" t="inlineStr">
        <ns0:is>
          <ns0:t>function_0296</ns0:t>
        </ns0:is>
      </ns0:c>
      <ns0:c r="B297" t="inlineStr">
        <ns0:is>
          <ns0:t>run_013</ns0:t>
        </ns0:is>
      </ns0:c>
      <ns0:c r="C297" t="inlineStr">
        <ns0:is>
          <ns0:t>rand</ns0:t>
        </ns0:is>
      </ns0:c>
      <ns0:c r="D297" t="inlineStr">
        <ns0:is>
          <ns0:t>gemini-2.5-flash-nothinking</ns0:t>
        </ns0:is>
      </ns0:c>
      <ns0:c r="E297">
        <ns0:f>COUNTIF(Cases!$B$2:$B$1859,A297)</ns0:f>
        <ns0:v>2</ns0:v>
      </ns0:c>
      <ns0:c r="F297">
        <ns0:f>IF(COUNTIFS(Cases!$B$2:$B$1859,A297,Cases!$G$2:$G$1859,1)&gt;0,1,0)</ns0:f>
        <ns0:v>1</ns0:v>
      </ns0:c>
      <ns0:c r="G297">
        <ns0:f>IF(COUNTIFS(Cases!$B$2:$B$1859,A297,Cases!$L$2:$L$1859,1)&gt;0,1,0)</ns0:f>
        <ns0:v>1</ns0:v>
      </ns0:c>
      <ns0:c r="H297">
        <ns0:f>IF(COUNTIFS(Cases!$B$2:$B$1859,A297,Cases!$Q$2:$Q$1859,1)&gt;0,1,0)</ns0:f>
        <ns0:v>1</ns0:v>
      </ns0:c>
      <ns0:c r="I297">
        <ns0:f>IF(COUNTIFS(Cases!$B$2:$B$1859,A297,Cases!$R$2:$R$1859,1)&gt;0,1,0)</ns0:f>
        <ns0:v>1</ns0:v>
      </ns0:c>
    </ns0:row>
    <ns0:row r="298">
      <ns0:c r="A298" t="inlineStr">
        <ns0:is>
          <ns0:t>function_0297</ns0:t>
        </ns0:is>
      </ns0:c>
      <ns0:c r="B298" t="inlineStr">
        <ns0:is>
          <ns0:t>run_013</ns0:t>
        </ns0:is>
      </ns0:c>
      <ns0:c r="C298" t="inlineStr">
        <ns0:is>
          <ns0:t>rand</ns0:t>
        </ns0:is>
      </ns0:c>
      <ns0:c r="D298" t="inlineStr">
        <ns0:is>
          <ns0:t>gemini-2.5-flash-nothinking</ns0:t>
        </ns0:is>
      </ns0:c>
      <ns0:c r="E298">
        <ns0:f>COUNTIF(Cases!$B$2:$B$1859,A298)</ns0:f>
        <ns0:v>2</ns0:v>
      </ns0:c>
      <ns0:c r="F298">
        <ns0:f>IF(COUNTIFS(Cases!$B$2:$B$1859,A298,Cases!$G$2:$G$1859,1)&gt;0,1,0)</ns0:f>
        <ns0:v>1</ns0:v>
      </ns0:c>
      <ns0:c r="G298">
        <ns0:f>IF(COUNTIFS(Cases!$B$2:$B$1859,A298,Cases!$L$2:$L$1859,1)&gt;0,1,0)</ns0:f>
        <ns0:v>1</ns0:v>
      </ns0:c>
      <ns0:c r="H298">
        <ns0:f>IF(COUNTIFS(Cases!$B$2:$B$1859,A298,Cases!$Q$2:$Q$1859,1)&gt;0,1,0)</ns0:f>
        <ns0:v>1</ns0:v>
      </ns0:c>
      <ns0:c r="I298">
        <ns0:f>IF(COUNTIFS(Cases!$B$2:$B$1859,A298,Cases!$R$2:$R$1859,1)&gt;0,1,0)</ns0:f>
        <ns0:v>1</ns0:v>
      </ns0:c>
    </ns0:row>
    <ns0:row r="299">
      <ns0:c r="A299" t="inlineStr">
        <ns0:is>
          <ns0:t>function_0298</ns0:t>
        </ns0:is>
      </ns0:c>
      <ns0:c r="B299" t="inlineStr">
        <ns0:is>
          <ns0:t>run_013</ns0:t>
        </ns0:is>
      </ns0:c>
      <ns0:c r="C299" t="inlineStr">
        <ns0:is>
          <ns0:t>rand</ns0:t>
        </ns0:is>
      </ns0:c>
      <ns0:c r="D299" t="inlineStr">
        <ns0:is>
          <ns0:t>gemini-2.5-flash-nothinking</ns0:t>
        </ns0:is>
      </ns0:c>
      <ns0:c r="E299">
        <ns0:f>COUNTIF(Cases!$B$2:$B$1859,A299)</ns0:f>
        <ns0:v>2</ns0:v>
      </ns0:c>
      <ns0:c r="F299">
        <ns0:f>IF(COUNTIFS(Cases!$B$2:$B$1859,A299,Cases!$G$2:$G$1859,1)&gt;0,1,0)</ns0:f>
        <ns0:v>1</ns0:v>
      </ns0:c>
      <ns0:c r="G299">
        <ns0:f>IF(COUNTIFS(Cases!$B$2:$B$1859,A299,Cases!$L$2:$L$1859,1)&gt;0,1,0)</ns0:f>
        <ns0:v>1</ns0:v>
      </ns0:c>
      <ns0:c r="H299">
        <ns0:f>IF(COUNTIFS(Cases!$B$2:$B$1859,A299,Cases!$Q$2:$Q$1859,1)&gt;0,1,0)</ns0:f>
        <ns0:v>0</ns0:v>
      </ns0:c>
      <ns0:c r="I299">
        <ns0:f>IF(COUNTIFS(Cases!$B$2:$B$1859,A299,Cases!$R$2:$R$1859,1)&gt;0,1,0)</ns0:f>
        <ns0:v>0</ns0:v>
      </ns0:c>
    </ns0:row>
    <ns0:row r="300">
      <ns0:c r="A300" t="inlineStr">
        <ns0:is>
          <ns0:t>function_0299</ns0:t>
        </ns0:is>
      </ns0:c>
      <ns0:c r="B300" t="inlineStr">
        <ns0:is>
          <ns0:t>run_013</ns0:t>
        </ns0:is>
      </ns0:c>
      <ns0:c r="C300" t="inlineStr">
        <ns0:is>
          <ns0:t>rand</ns0:t>
        </ns0:is>
      </ns0:c>
      <ns0:c r="D300" t="inlineStr">
        <ns0:is>
          <ns0:t>gemini-2.5-flash-nothinking</ns0:t>
        </ns0:is>
      </ns0:c>
      <ns0:c r="E300">
        <ns0:f>COUNTIF(Cases!$B$2:$B$1859,A300)</ns0:f>
        <ns0:v>2</ns0:v>
      </ns0:c>
      <ns0:c r="F300">
        <ns0:f>IF(COUNTIFS(Cases!$B$2:$B$1859,A300,Cases!$G$2:$G$1859,1)&gt;0,1,0)</ns0:f>
        <ns0:v>1</ns0:v>
      </ns0:c>
      <ns0:c r="G300">
        <ns0:f>IF(COUNTIFS(Cases!$B$2:$B$1859,A300,Cases!$L$2:$L$1859,1)&gt;0,1,0)</ns0:f>
        <ns0:v>1</ns0:v>
      </ns0:c>
      <ns0:c r="H300">
        <ns0:f>IF(COUNTIFS(Cases!$B$2:$B$1859,A300,Cases!$Q$2:$Q$1859,1)&gt;0,1,0)</ns0:f>
        <ns0:v>0</ns0:v>
      </ns0:c>
      <ns0:c r="I300">
        <ns0:f>IF(COUNTIFS(Cases!$B$2:$B$1859,A300,Cases!$R$2:$R$1859,1)&gt;0,1,0)</ns0:f>
        <ns0:v>1</ns0:v>
      </ns0:c>
    </ns0:row>
    <ns0:row r="301">
      <ns0:c r="A301" t="inlineStr">
        <ns0:is>
          <ns0:t>function_0300</ns0:t>
        </ns0:is>
      </ns0:c>
      <ns0:c r="B301" t="inlineStr">
        <ns0:is>
          <ns0:t>run_013</ns0:t>
        </ns0:is>
      </ns0:c>
      <ns0:c r="C301" t="inlineStr">
        <ns0:is>
          <ns0:t>rand</ns0:t>
        </ns0:is>
      </ns0:c>
      <ns0:c r="D301" t="inlineStr">
        <ns0:is>
          <ns0:t>gemini-2.5-flash-nothinking</ns0:t>
        </ns0:is>
      </ns0:c>
      <ns0:c r="E301">
        <ns0:f>COUNTIF(Cases!$B$2:$B$1859,A301)</ns0:f>
        <ns0:v>1</ns0:v>
      </ns0:c>
      <ns0:c r="F301">
        <ns0:f>IF(COUNTIFS(Cases!$B$2:$B$1859,A301,Cases!$G$2:$G$1859,1)&gt;0,1,0)</ns0:f>
        <ns0:v>1</ns0:v>
      </ns0:c>
      <ns0:c r="G301">
        <ns0:f>IF(COUNTIFS(Cases!$B$2:$B$1859,A301,Cases!$L$2:$L$1859,1)&gt;0,1,0)</ns0:f>
        <ns0:v>0</ns0:v>
      </ns0:c>
      <ns0:c r="H301">
        <ns0:f>IF(COUNTIFS(Cases!$B$2:$B$1859,A301,Cases!$Q$2:$Q$1859,1)&gt;0,1,0)</ns0:f>
        <ns0:v>0</ns0:v>
      </ns0:c>
      <ns0:c r="I301">
        <ns0:f>IF(COUNTIFS(Cases!$B$2:$B$1859,A301,Cases!$R$2:$R$1859,1)&gt;0,1,0)</ns0:f>
        <ns0:v>0</ns0:v>
      </ns0:c>
    </ns0:row>
    <ns0:row r="302">
      <ns0:c r="A302" t="inlineStr">
        <ns0:is>
          <ns0:t>function_0301</ns0:t>
        </ns0:is>
      </ns0:c>
      <ns0:c r="B302" t="inlineStr">
        <ns0:is>
          <ns0:t>run_013</ns0:t>
        </ns0:is>
      </ns0:c>
      <ns0:c r="C302" t="inlineStr">
        <ns0:is>
          <ns0:t>rand</ns0:t>
        </ns0:is>
      </ns0:c>
      <ns0:c r="D302" t="inlineStr">
        <ns0:is>
          <ns0:t>gemini-2.5-flash-nothinking</ns0:t>
        </ns0:is>
      </ns0:c>
      <ns0:c r="E302">
        <ns0:f>COUNTIF(Cases!$B$2:$B$1859,A302)</ns0:f>
        <ns0:v>1</ns0:v>
      </ns0:c>
      <ns0:c r="F302">
        <ns0:f>IF(COUNTIFS(Cases!$B$2:$B$1859,A302,Cases!$G$2:$G$1859,1)&gt;0,1,0)</ns0:f>
        <ns0:v>1</ns0:v>
      </ns0:c>
      <ns0:c r="G302">
        <ns0:f>IF(COUNTIFS(Cases!$B$2:$B$1859,A302,Cases!$L$2:$L$1859,1)&gt;0,1,0)</ns0:f>
        <ns0:v>1</ns0:v>
      </ns0:c>
      <ns0:c r="H302">
        <ns0:f>IF(COUNTIFS(Cases!$B$2:$B$1859,A302,Cases!$Q$2:$Q$1859,1)&gt;0,1,0)</ns0:f>
        <ns0:v>1</ns0:v>
      </ns0:c>
      <ns0:c r="I302">
        <ns0:f>IF(COUNTIFS(Cases!$B$2:$B$1859,A302,Cases!$R$2:$R$1859,1)&gt;0,1,0)</ns0:f>
        <ns0:v>1</ns0:v>
      </ns0:c>
    </ns0:row>
    <ns0:row r="303">
      <ns0:c r="A303" t="inlineStr">
        <ns0:is>
          <ns0:t>function_0302</ns0:t>
        </ns0:is>
      </ns0:c>
      <ns0:c r="B303" t="inlineStr">
        <ns0:is>
          <ns0:t>run_013</ns0:t>
        </ns0:is>
      </ns0:c>
      <ns0:c r="C303" t="inlineStr">
        <ns0:is>
          <ns0:t>rand</ns0:t>
        </ns0:is>
      </ns0:c>
      <ns0:c r="D303" t="inlineStr">
        <ns0:is>
          <ns0:t>gemini-2.5-flash-nothinking</ns0:t>
        </ns0:is>
      </ns0:c>
      <ns0:c r="E303">
        <ns0:f>COUNTIF(Cases!$B$2:$B$1859,A303)</ns0:f>
        <ns0:v>2</ns0:v>
      </ns0:c>
      <ns0:c r="F303">
        <ns0:f>IF(COUNTIFS(Cases!$B$2:$B$1859,A303,Cases!$G$2:$G$1859,1)&gt;0,1,0)</ns0:f>
        <ns0:v>1</ns0:v>
      </ns0:c>
      <ns0:c r="G303">
        <ns0:f>IF(COUNTIFS(Cases!$B$2:$B$1859,A303,Cases!$L$2:$L$1859,1)&gt;0,1,0)</ns0:f>
        <ns0:v>1</ns0:v>
      </ns0:c>
      <ns0:c r="H303">
        <ns0:f>IF(COUNTIFS(Cases!$B$2:$B$1859,A303,Cases!$Q$2:$Q$1859,1)&gt;0,1,0)</ns0:f>
        <ns0:v>0</ns0:v>
      </ns0:c>
      <ns0:c r="I303">
        <ns0:f>IF(COUNTIFS(Cases!$B$2:$B$1859,A303,Cases!$R$2:$R$1859,1)&gt;0,1,0)</ns0:f>
        <ns0:v>1</ns0:v>
      </ns0:c>
    </ns0:row>
    <ns0:row r="304">
      <ns0:c r="A304" t="inlineStr">
        <ns0:is>
          <ns0:t>function_0303</ns0:t>
        </ns0:is>
      </ns0:c>
      <ns0:c r="B304" t="inlineStr">
        <ns0:is>
          <ns0:t>run_013</ns0:t>
        </ns0:is>
      </ns0:c>
      <ns0:c r="C304" t="inlineStr">
        <ns0:is>
          <ns0:t>rand</ns0:t>
        </ns0:is>
      </ns0:c>
      <ns0:c r="D304" t="inlineStr">
        <ns0:is>
          <ns0:t>gemini-2.5-flash-nothinking</ns0:t>
        </ns0:is>
      </ns0:c>
      <ns0:c r="E304">
        <ns0:f>COUNTIF(Cases!$B$2:$B$1859,A304)</ns0:f>
        <ns0:v>2</ns0:v>
      </ns0:c>
      <ns0:c r="F304">
        <ns0:f>IF(COUNTIFS(Cases!$B$2:$B$1859,A304,Cases!$G$2:$G$1859,1)&gt;0,1,0)</ns0:f>
        <ns0:v>1</ns0:v>
      </ns0:c>
      <ns0:c r="G304">
        <ns0:f>IF(COUNTIFS(Cases!$B$2:$B$1859,A304,Cases!$L$2:$L$1859,1)&gt;0,1,0)</ns0:f>
        <ns0:v>1</ns0:v>
      </ns0:c>
      <ns0:c r="H304">
        <ns0:f>IF(COUNTIFS(Cases!$B$2:$B$1859,A304,Cases!$Q$2:$Q$1859,1)&gt;0,1,0)</ns0:f>
        <ns0:v>0</ns0:v>
      </ns0:c>
      <ns0:c r="I304">
        <ns0:f>IF(COUNTIFS(Cases!$B$2:$B$1859,A304,Cases!$R$2:$R$1859,1)&gt;0,1,0)</ns0:f>
        <ns0:v>0</ns0:v>
      </ns0:c>
    </ns0:row>
    <ns0:row r="305">
      <ns0:c r="A305" t="inlineStr">
        <ns0:is>
          <ns0:t>function_0304</ns0:t>
        </ns0:is>
      </ns0:c>
      <ns0:c r="B305" t="inlineStr">
        <ns0:is>
          <ns0:t>run_013</ns0:t>
        </ns0:is>
      </ns0:c>
      <ns0:c r="C305" t="inlineStr">
        <ns0:is>
          <ns0:t>rand</ns0:t>
        </ns0:is>
      </ns0:c>
      <ns0:c r="D305" t="inlineStr">
        <ns0:is>
          <ns0:t>gemini-2.5-flash-nothinking</ns0:t>
        </ns0:is>
      </ns0:c>
      <ns0:c r="E305">
        <ns0:f>COUNTIF(Cases!$B$2:$B$1859,A305)</ns0:f>
        <ns0:v>1</ns0:v>
      </ns0:c>
      <ns0:c r="F305">
        <ns0:f>IF(COUNTIFS(Cases!$B$2:$B$1859,A305,Cases!$G$2:$G$1859,1)&gt;0,1,0)</ns0:f>
        <ns0:v>1</ns0:v>
      </ns0:c>
      <ns0:c r="G305">
        <ns0:f>IF(COUNTIFS(Cases!$B$2:$B$1859,A305,Cases!$L$2:$L$1859,1)&gt;0,1,0)</ns0:f>
        <ns0:v>1</ns0:v>
      </ns0:c>
      <ns0:c r="H305">
        <ns0:f>IF(COUNTIFS(Cases!$B$2:$B$1859,A305,Cases!$Q$2:$Q$1859,1)&gt;0,1,0)</ns0:f>
        <ns0:v>1</ns0:v>
      </ns0:c>
      <ns0:c r="I305">
        <ns0:f>IF(COUNTIFS(Cases!$B$2:$B$1859,A305,Cases!$R$2:$R$1859,1)&gt;0,1,0)</ns0:f>
        <ns0:v>1</ns0:v>
      </ns0:c>
    </ns0:row>
    <ns0:row r="306">
      <ns0:c r="A306" t="inlineStr">
        <ns0:is>
          <ns0:t>function_0305</ns0:t>
        </ns0:is>
      </ns0:c>
      <ns0:c r="B306" t="inlineStr">
        <ns0:is>
          <ns0:t>run_013</ns0:t>
        </ns0:is>
      </ns0:c>
      <ns0:c r="C306" t="inlineStr">
        <ns0:is>
          <ns0:t>rand</ns0:t>
        </ns0:is>
      </ns0:c>
      <ns0:c r="D306" t="inlineStr">
        <ns0:is>
          <ns0:t>gemini-2.5-flash-nothinking</ns0:t>
        </ns0:is>
      </ns0:c>
      <ns0:c r="E306">
        <ns0:f>COUNTIF(Cases!$B$2:$B$1859,A306)</ns0:f>
        <ns0:v>1</ns0:v>
      </ns0:c>
      <ns0:c r="F306">
        <ns0:f>IF(COUNTIFS(Cases!$B$2:$B$1859,A306,Cases!$G$2:$G$1859,1)&gt;0,1,0)</ns0:f>
        <ns0:v>1</ns0:v>
      </ns0:c>
      <ns0:c r="G306">
        <ns0:f>IF(COUNTIFS(Cases!$B$2:$B$1859,A306,Cases!$L$2:$L$1859,1)&gt;0,1,0)</ns0:f>
        <ns0:v>1</ns0:v>
      </ns0:c>
      <ns0:c r="H306">
        <ns0:f>IF(COUNTIFS(Cases!$B$2:$B$1859,A306,Cases!$Q$2:$Q$1859,1)&gt;0,1,0)</ns0:f>
        <ns0:v>1</ns0:v>
      </ns0:c>
      <ns0:c r="I306">
        <ns0:f>IF(COUNTIFS(Cases!$B$2:$B$1859,A306,Cases!$R$2:$R$1859,1)&gt;0,1,0)</ns0:f>
        <ns0:v>1</ns0:v>
      </ns0:c>
    </ns0:row>
    <ns0:row r="307">
      <ns0:c r="A307" t="inlineStr">
        <ns0:is>
          <ns0:t>function_0306</ns0:t>
        </ns0:is>
      </ns0:c>
      <ns0:c r="B307" t="inlineStr">
        <ns0:is>
          <ns0:t>run_013</ns0:t>
        </ns0:is>
      </ns0:c>
      <ns0:c r="C307" t="inlineStr">
        <ns0:is>
          <ns0:t>rand</ns0:t>
        </ns0:is>
      </ns0:c>
      <ns0:c r="D307" t="inlineStr">
        <ns0:is>
          <ns0:t>gemini-2.5-flash-nothinking</ns0:t>
        </ns0:is>
      </ns0:c>
      <ns0:c r="E307">
        <ns0:f>COUNTIF(Cases!$B$2:$B$1859,A307)</ns0:f>
        <ns0:v>2</ns0:v>
      </ns0:c>
      <ns0:c r="F307">
        <ns0:f>IF(COUNTIFS(Cases!$B$2:$B$1859,A307,Cases!$G$2:$G$1859,1)&gt;0,1,0)</ns0:f>
        <ns0:v>1</ns0:v>
      </ns0:c>
      <ns0:c r="G307">
        <ns0:f>IF(COUNTIFS(Cases!$B$2:$B$1859,A307,Cases!$L$2:$L$1859,1)&gt;0,1,0)</ns0:f>
        <ns0:v>1</ns0:v>
      </ns0:c>
      <ns0:c r="H307">
        <ns0:f>IF(COUNTIFS(Cases!$B$2:$B$1859,A307,Cases!$Q$2:$Q$1859,1)&gt;0,1,0)</ns0:f>
        <ns0:v>1</ns0:v>
      </ns0:c>
      <ns0:c r="I307">
        <ns0:f>IF(COUNTIFS(Cases!$B$2:$B$1859,A307,Cases!$R$2:$R$1859,1)&gt;0,1,0)</ns0:f>
        <ns0:v>1</ns0:v>
      </ns0:c>
    </ns0:row>
    <ns0:row r="308">
      <ns0:c r="A308" t="inlineStr">
        <ns0:is>
          <ns0:t>function_0307</ns0:t>
        </ns0:is>
      </ns0:c>
      <ns0:c r="B308" t="inlineStr">
        <ns0:is>
          <ns0:t>run_013</ns0:t>
        </ns0:is>
      </ns0:c>
      <ns0:c r="C308" t="inlineStr">
        <ns0:is>
          <ns0:t>rand</ns0:t>
        </ns0:is>
      </ns0:c>
      <ns0:c r="D308" t="inlineStr">
        <ns0:is>
          <ns0:t>gemini-2.5-flash-nothinking</ns0:t>
        </ns0:is>
      </ns0:c>
      <ns0:c r="E308">
        <ns0:f>COUNTIF(Cases!$B$2:$B$1859,A308)</ns0:f>
        <ns0:v>1</ns0:v>
      </ns0:c>
      <ns0:c r="F308">
        <ns0:f>IF(COUNTIFS(Cases!$B$2:$B$1859,A308,Cases!$G$2:$G$1859,1)&gt;0,1,0)</ns0:f>
        <ns0:v>1</ns0:v>
      </ns0:c>
      <ns0:c r="G308">
        <ns0:f>IF(COUNTIFS(Cases!$B$2:$B$1859,A308,Cases!$L$2:$L$1859,1)&gt;0,1,0)</ns0:f>
        <ns0:v>1</ns0:v>
      </ns0:c>
      <ns0:c r="H308">
        <ns0:f>IF(COUNTIFS(Cases!$B$2:$B$1859,A308,Cases!$Q$2:$Q$1859,1)&gt;0,1,0)</ns0:f>
        <ns0:v>0</ns0:v>
      </ns0:c>
      <ns0:c r="I308">
        <ns0:f>IF(COUNTIFS(Cases!$B$2:$B$1859,A308,Cases!$R$2:$R$1859,1)&gt;0,1,0)</ns0:f>
        <ns0:v>1</ns0:v>
      </ns0:c>
    </ns0:row>
    <ns0:row r="309">
      <ns0:c r="A309" t="inlineStr">
        <ns0:is>
          <ns0:t>function_0308</ns0:t>
        </ns0:is>
      </ns0:c>
      <ns0:c r="B309" t="inlineStr">
        <ns0:is>
          <ns0:t>run_013</ns0:t>
        </ns0:is>
      </ns0:c>
      <ns0:c r="C309" t="inlineStr">
        <ns0:is>
          <ns0:t>rand</ns0:t>
        </ns0:is>
      </ns0:c>
      <ns0:c r="D309" t="inlineStr">
        <ns0:is>
          <ns0:t>gemini-2.5-flash-nothinking</ns0:t>
        </ns0:is>
      </ns0:c>
      <ns0:c r="E309">
        <ns0:f>COUNTIF(Cases!$B$2:$B$1859,A309)</ns0:f>
        <ns0:v>1</ns0:v>
      </ns0:c>
      <ns0:c r="F309">
        <ns0:f>IF(COUNTIFS(Cases!$B$2:$B$1859,A309,Cases!$G$2:$G$1859,1)&gt;0,1,0)</ns0:f>
        <ns0:v>1</ns0:v>
      </ns0:c>
      <ns0:c r="G309">
        <ns0:f>IF(COUNTIFS(Cases!$B$2:$B$1859,A309,Cases!$L$2:$L$1859,1)&gt;0,1,0)</ns0:f>
        <ns0:v>1</ns0:v>
      </ns0:c>
      <ns0:c r="H309">
        <ns0:f>IF(COUNTIFS(Cases!$B$2:$B$1859,A309,Cases!$Q$2:$Q$1859,1)&gt;0,1,0)</ns0:f>
        <ns0:v>0</ns0:v>
      </ns0:c>
      <ns0:c r="I309">
        <ns0:f>IF(COUNTIFS(Cases!$B$2:$B$1859,A309,Cases!$R$2:$R$1859,1)&gt;0,1,0)</ns0:f>
        <ns0:v>1</ns0:v>
      </ns0:c>
    </ns0:row>
    <ns0:row r="310">
      <ns0:c r="A310" t="inlineStr">
        <ns0:is>
          <ns0:t>function_0309</ns0:t>
        </ns0:is>
      </ns0:c>
      <ns0:c r="B310" t="inlineStr">
        <ns0:is>
          <ns0:t>run_013</ns0:t>
        </ns0:is>
      </ns0:c>
      <ns0:c r="C310" t="inlineStr">
        <ns0:is>
          <ns0:t>rand</ns0:t>
        </ns0:is>
      </ns0:c>
      <ns0:c r="D310" t="inlineStr">
        <ns0:is>
          <ns0:t>gemini-2.5-flash-nothinking</ns0:t>
        </ns0:is>
      </ns0:c>
      <ns0:c r="E310">
        <ns0:f>COUNTIF(Cases!$B$2:$B$1859,A310)</ns0:f>
        <ns0:v>2</ns0:v>
      </ns0:c>
      <ns0:c r="F310">
        <ns0:f>IF(COUNTIFS(Cases!$B$2:$B$1859,A310,Cases!$G$2:$G$1859,1)&gt;0,1,0)</ns0:f>
        <ns0:v>1</ns0:v>
      </ns0:c>
      <ns0:c r="G310">
        <ns0:f>IF(COUNTIFS(Cases!$B$2:$B$1859,A310,Cases!$L$2:$L$1859,1)&gt;0,1,0)</ns0:f>
        <ns0:v>1</ns0:v>
      </ns0:c>
      <ns0:c r="H310">
        <ns0:f>IF(COUNTIFS(Cases!$B$2:$B$1859,A310,Cases!$Q$2:$Q$1859,1)&gt;0,1,0)</ns0:f>
        <ns0:v>1</ns0:v>
      </ns0:c>
      <ns0:c r="I310">
        <ns0:f>IF(COUNTIFS(Cases!$B$2:$B$1859,A310,Cases!$R$2:$R$1859,1)&gt;0,1,0)</ns0:f>
        <ns0:v>1</ns0:v>
      </ns0:c>
    </ns0:row>
    <ns0:row r="311">
      <ns0:c r="A311" t="inlineStr">
        <ns0:is>
          <ns0:t>function_0310</ns0:t>
        </ns0:is>
      </ns0:c>
      <ns0:c r="B311" t="inlineStr">
        <ns0:is>
          <ns0:t>run_013</ns0:t>
        </ns0:is>
      </ns0:c>
      <ns0:c r="C311" t="inlineStr">
        <ns0:is>
          <ns0:t>rand</ns0:t>
        </ns0:is>
      </ns0:c>
      <ns0:c r="D311" t="inlineStr">
        <ns0:is>
          <ns0:t>gemini-2.5-flash-nothinking</ns0:t>
        </ns0:is>
      </ns0:c>
      <ns0:c r="E311">
        <ns0:f>COUNTIF(Cases!$B$2:$B$1859,A311)</ns0:f>
        <ns0:v>1</ns0:v>
      </ns0:c>
      <ns0:c r="F311">
        <ns0:f>IF(COUNTIFS(Cases!$B$2:$B$1859,A311,Cases!$G$2:$G$1859,1)&gt;0,1,0)</ns0:f>
        <ns0:v>1</ns0:v>
      </ns0:c>
      <ns0:c r="G311">
        <ns0:f>IF(COUNTIFS(Cases!$B$2:$B$1859,A311,Cases!$L$2:$L$1859,1)&gt;0,1,0)</ns0:f>
        <ns0:v>1</ns0:v>
      </ns0:c>
      <ns0:c r="H311">
        <ns0:f>IF(COUNTIFS(Cases!$B$2:$B$1859,A311,Cases!$Q$2:$Q$1859,1)&gt;0,1,0)</ns0:f>
        <ns0:v>0</ns0:v>
      </ns0:c>
      <ns0:c r="I311">
        <ns0:f>IF(COUNTIFS(Cases!$B$2:$B$1859,A311,Cases!$R$2:$R$1859,1)&gt;0,1,0)</ns0:f>
        <ns0:v>1</ns0:v>
      </ns0:c>
    </ns0:row>
    <ns0:row r="312">
      <ns0:c r="A312" t="inlineStr">
        <ns0:is>
          <ns0:t>function_0311</ns0:t>
        </ns0:is>
      </ns0:c>
      <ns0:c r="B312" t="inlineStr">
        <ns0:is>
          <ns0:t>run_013</ns0:t>
        </ns0:is>
      </ns0:c>
      <ns0:c r="C312" t="inlineStr">
        <ns0:is>
          <ns0:t>rand</ns0:t>
        </ns0:is>
      </ns0:c>
      <ns0:c r="D312" t="inlineStr">
        <ns0:is>
          <ns0:t>gemini-2.5-flash-nothinking</ns0:t>
        </ns0:is>
      </ns0:c>
      <ns0:c r="E312">
        <ns0:f>COUNTIF(Cases!$B$2:$B$1859,A312)</ns0:f>
        <ns0:v>1</ns0:v>
      </ns0:c>
      <ns0:c r="F312">
        <ns0:f>IF(COUNTIFS(Cases!$B$2:$B$1859,A312,Cases!$G$2:$G$1859,1)&gt;0,1,0)</ns0:f>
        <ns0:v>1</ns0:v>
      </ns0:c>
      <ns0:c r="G312">
        <ns0:f>IF(COUNTIFS(Cases!$B$2:$B$1859,A312,Cases!$L$2:$L$1859,1)&gt;0,1,0)</ns0:f>
        <ns0:v>1</ns0:v>
      </ns0:c>
      <ns0:c r="H312">
        <ns0:f>IF(COUNTIFS(Cases!$B$2:$B$1859,A312,Cases!$Q$2:$Q$1859,1)&gt;0,1,0)</ns0:f>
        <ns0:v>1</ns0:v>
      </ns0:c>
      <ns0:c r="I312">
        <ns0:f>IF(COUNTIFS(Cases!$B$2:$B$1859,A312,Cases!$R$2:$R$1859,1)&gt;0,1,0)</ns0:f>
        <ns0:v>1</ns0:v>
      </ns0:c>
    </ns0:row>
    <ns0:row r="313">
      <ns0:c r="A313" t="inlineStr">
        <ns0:is>
          <ns0:t>function_0312</ns0:t>
        </ns0:is>
      </ns0:c>
      <ns0:c r="B313" t="inlineStr">
        <ns0:is>
          <ns0:t>run_013</ns0:t>
        </ns0:is>
      </ns0:c>
      <ns0:c r="C313" t="inlineStr">
        <ns0:is>
          <ns0:t>rand</ns0:t>
        </ns0:is>
      </ns0:c>
      <ns0:c r="D313" t="inlineStr">
        <ns0:is>
          <ns0:t>gemini-2.5-flash-nothinking</ns0:t>
        </ns0:is>
      </ns0:c>
      <ns0:c r="E313">
        <ns0:f>COUNTIF(Cases!$B$2:$B$1859,A313)</ns0:f>
        <ns0:v>1</ns0:v>
      </ns0:c>
      <ns0:c r="F313">
        <ns0:f>IF(COUNTIFS(Cases!$B$2:$B$1859,A313,Cases!$G$2:$G$1859,1)&gt;0,1,0)</ns0:f>
        <ns0:v>1</ns0:v>
      </ns0:c>
      <ns0:c r="G313">
        <ns0:f>IF(COUNTIFS(Cases!$B$2:$B$1859,A313,Cases!$L$2:$L$1859,1)&gt;0,1,0)</ns0:f>
        <ns0:v>1</ns0:v>
      </ns0:c>
      <ns0:c r="H313">
        <ns0:f>IF(COUNTIFS(Cases!$B$2:$B$1859,A313,Cases!$Q$2:$Q$1859,1)&gt;0,1,0)</ns0:f>
        <ns0:v>0</ns0:v>
      </ns0:c>
      <ns0:c r="I313">
        <ns0:f>IF(COUNTIFS(Cases!$B$2:$B$1859,A313,Cases!$R$2:$R$1859,1)&gt;0,1,0)</ns0:f>
        <ns0:v>1</ns0:v>
      </ns0:c>
    </ns0:row>
    <ns0:row r="314">
      <ns0:c r="A314" t="inlineStr">
        <ns0:is>
          <ns0:t>function_0313</ns0:t>
        </ns0:is>
      </ns0:c>
      <ns0:c r="B314" t="inlineStr">
        <ns0:is>
          <ns0:t>run_013</ns0:t>
        </ns0:is>
      </ns0:c>
      <ns0:c r="C314" t="inlineStr">
        <ns0:is>
          <ns0:t>rand</ns0:t>
        </ns0:is>
      </ns0:c>
      <ns0:c r="D314" t="inlineStr">
        <ns0:is>
          <ns0:t>gemini-2.5-flash-nothinking</ns0:t>
        </ns0:is>
      </ns0:c>
      <ns0:c r="E314">
        <ns0:f>COUNTIF(Cases!$B$2:$B$1859,A314)</ns0:f>
        <ns0:v>1</ns0:v>
      </ns0:c>
      <ns0:c r="F314">
        <ns0:f>IF(COUNTIFS(Cases!$B$2:$B$1859,A314,Cases!$G$2:$G$1859,1)&gt;0,1,0)</ns0:f>
        <ns0:v>1</ns0:v>
      </ns0:c>
      <ns0:c r="G314">
        <ns0:f>IF(COUNTIFS(Cases!$B$2:$B$1859,A314,Cases!$L$2:$L$1859,1)&gt;0,1,0)</ns0:f>
        <ns0:v>1</ns0:v>
      </ns0:c>
      <ns0:c r="H314">
        <ns0:f>IF(COUNTIFS(Cases!$B$2:$B$1859,A314,Cases!$Q$2:$Q$1859,1)&gt;0,1,0)</ns0:f>
        <ns0:v>0</ns0:v>
      </ns0:c>
      <ns0:c r="I314">
        <ns0:f>IF(COUNTIFS(Cases!$B$2:$B$1859,A314,Cases!$R$2:$R$1859,1)&gt;0,1,0)</ns0:f>
        <ns0:v>1</ns0:v>
      </ns0:c>
    </ns0:row>
    <ns0:row r="315">
      <ns0:c r="A315" t="inlineStr">
        <ns0:is>
          <ns0:t>function_0314</ns0:t>
        </ns0:is>
      </ns0:c>
      <ns0:c r="B315" t="inlineStr">
        <ns0:is>
          <ns0:t>run_013</ns0:t>
        </ns0:is>
      </ns0:c>
      <ns0:c r="C315" t="inlineStr">
        <ns0:is>
          <ns0:t>rand</ns0:t>
        </ns0:is>
      </ns0:c>
      <ns0:c r="D315" t="inlineStr">
        <ns0:is>
          <ns0:t>gemini-2.5-flash-nothinking</ns0:t>
        </ns0:is>
      </ns0:c>
      <ns0:c r="E315">
        <ns0:f>COUNTIF(Cases!$B$2:$B$1859,A315)</ns0:f>
        <ns0:v>1</ns0:v>
      </ns0:c>
      <ns0:c r="F315">
        <ns0:f>IF(COUNTIFS(Cases!$B$2:$B$1859,A315,Cases!$G$2:$G$1859,1)&gt;0,1,0)</ns0:f>
        <ns0:v>1</ns0:v>
      </ns0:c>
      <ns0:c r="G315">
        <ns0:f>IF(COUNTIFS(Cases!$B$2:$B$1859,A315,Cases!$L$2:$L$1859,1)&gt;0,1,0)</ns0:f>
        <ns0:v>1</ns0:v>
      </ns0:c>
      <ns0:c r="H315">
        <ns0:f>IF(COUNTIFS(Cases!$B$2:$B$1859,A315,Cases!$Q$2:$Q$1859,1)&gt;0,1,0)</ns0:f>
        <ns0:v>0</ns0:v>
      </ns0:c>
      <ns0:c r="I315">
        <ns0:f>IF(COUNTIFS(Cases!$B$2:$B$1859,A315,Cases!$R$2:$R$1859,1)&gt;0,1,0)</ns0:f>
        <ns0:v>0</ns0:v>
      </ns0:c>
    </ns0:row>
    <ns0:row r="316">
      <ns0:c r="A316" t="inlineStr">
        <ns0:is>
          <ns0:t>function_0315</ns0:t>
        </ns0:is>
      </ns0:c>
      <ns0:c r="B316" t="inlineStr">
        <ns0:is>
          <ns0:t>run_013</ns0:t>
        </ns0:is>
      </ns0:c>
      <ns0:c r="C316" t="inlineStr">
        <ns0:is>
          <ns0:t>rand</ns0:t>
        </ns0:is>
      </ns0:c>
      <ns0:c r="D316" t="inlineStr">
        <ns0:is>
          <ns0:t>gemini-2.5-flash-nothinking</ns0:t>
        </ns0:is>
      </ns0:c>
      <ns0:c r="E316">
        <ns0:f>COUNTIF(Cases!$B$2:$B$1859,A316)</ns0:f>
        <ns0:v>2</ns0:v>
      </ns0:c>
      <ns0:c r="F316">
        <ns0:f>IF(COUNTIFS(Cases!$B$2:$B$1859,A316,Cases!$G$2:$G$1859,1)&gt;0,1,0)</ns0:f>
        <ns0:v>1</ns0:v>
      </ns0:c>
      <ns0:c r="G316">
        <ns0:f>IF(COUNTIFS(Cases!$B$2:$B$1859,A316,Cases!$L$2:$L$1859,1)&gt;0,1,0)</ns0:f>
        <ns0:v>1</ns0:v>
      </ns0:c>
      <ns0:c r="H316">
        <ns0:f>IF(COUNTIFS(Cases!$B$2:$B$1859,A316,Cases!$Q$2:$Q$1859,1)&gt;0,1,0)</ns0:f>
        <ns0:v>1</ns0:v>
      </ns0:c>
      <ns0:c r="I316">
        <ns0:f>IF(COUNTIFS(Cases!$B$2:$B$1859,A316,Cases!$R$2:$R$1859,1)&gt;0,1,0)</ns0:f>
        <ns0:v>1</ns0:v>
      </ns0:c>
    </ns0:row>
    <ns0:row r="317">
      <ns0:c r="A317" t="inlineStr">
        <ns0:is>
          <ns0:t>function_0316</ns0:t>
        </ns0:is>
      </ns0:c>
      <ns0:c r="B317" t="inlineStr">
        <ns0:is>
          <ns0:t>run_013</ns0:t>
        </ns0:is>
      </ns0:c>
      <ns0:c r="C317" t="inlineStr">
        <ns0:is>
          <ns0:t>rand</ns0:t>
        </ns0:is>
      </ns0:c>
      <ns0:c r="D317" t="inlineStr">
        <ns0:is>
          <ns0:t>gemini-2.5-flash-nothinking</ns0:t>
        </ns0:is>
      </ns0:c>
      <ns0:c r="E317">
        <ns0:f>COUNTIF(Cases!$B$2:$B$1859,A317)</ns0:f>
        <ns0:v>1</ns0:v>
      </ns0:c>
      <ns0:c r="F317">
        <ns0:f>IF(COUNTIFS(Cases!$B$2:$B$1859,A317,Cases!$G$2:$G$1859,1)&gt;0,1,0)</ns0:f>
        <ns0:v>1</ns0:v>
      </ns0:c>
      <ns0:c r="G317">
        <ns0:f>IF(COUNTIFS(Cases!$B$2:$B$1859,A317,Cases!$L$2:$L$1859,1)&gt;0,1,0)</ns0:f>
        <ns0:v>1</ns0:v>
      </ns0:c>
      <ns0:c r="H317">
        <ns0:f>IF(COUNTIFS(Cases!$B$2:$B$1859,A317,Cases!$Q$2:$Q$1859,1)&gt;0,1,0)</ns0:f>
        <ns0:v>1</ns0:v>
      </ns0:c>
      <ns0:c r="I317">
        <ns0:f>IF(COUNTIFS(Cases!$B$2:$B$1859,A317,Cases!$R$2:$R$1859,1)&gt;0,1,0)</ns0:f>
        <ns0:v>1</ns0:v>
      </ns0:c>
    </ns0:row>
    <ns0:row r="318">
      <ns0:c r="A318" t="inlineStr">
        <ns0:is>
          <ns0:t>function_0317</ns0:t>
        </ns0:is>
      </ns0:c>
      <ns0:c r="B318" t="inlineStr">
        <ns0:is>
          <ns0:t>run_013</ns0:t>
        </ns0:is>
      </ns0:c>
      <ns0:c r="C318" t="inlineStr">
        <ns0:is>
          <ns0:t>rand</ns0:t>
        </ns0:is>
      </ns0:c>
      <ns0:c r="D318" t="inlineStr">
        <ns0:is>
          <ns0:t>gemini-2.5-flash-nothinking</ns0:t>
        </ns0:is>
      </ns0:c>
      <ns0:c r="E318">
        <ns0:f>COUNTIF(Cases!$B$2:$B$1859,A318)</ns0:f>
        <ns0:v>1</ns0:v>
      </ns0:c>
      <ns0:c r="F318">
        <ns0:f>IF(COUNTIFS(Cases!$B$2:$B$1859,A318,Cases!$G$2:$G$1859,1)&gt;0,1,0)</ns0:f>
        <ns0:v>0</ns0:v>
      </ns0:c>
      <ns0:c r="G318">
        <ns0:f>IF(COUNTIFS(Cases!$B$2:$B$1859,A318,Cases!$L$2:$L$1859,1)&gt;0,1,0)</ns0:f>
        <ns0:v>0</ns0:v>
      </ns0:c>
      <ns0:c r="H318">
        <ns0:f>IF(COUNTIFS(Cases!$B$2:$B$1859,A318,Cases!$Q$2:$Q$1859,1)&gt;0,1,0)</ns0:f>
        <ns0:v>0</ns0:v>
      </ns0:c>
      <ns0:c r="I318">
        <ns0:f>IF(COUNTIFS(Cases!$B$2:$B$1859,A318,Cases!$R$2:$R$1859,1)&gt;0,1,0)</ns0:f>
        <ns0:v>0</ns0:v>
      </ns0:c>
    </ns0:row>
    <ns0:row r="319">
      <ns0:c r="A319" t="inlineStr">
        <ns0:is>
          <ns0:t>function_0318</ns0:t>
        </ns0:is>
      </ns0:c>
      <ns0:c r="B319" t="inlineStr">
        <ns0:is>
          <ns0:t>run_013</ns0:t>
        </ns0:is>
      </ns0:c>
      <ns0:c r="C319" t="inlineStr">
        <ns0:is>
          <ns0:t>rand</ns0:t>
        </ns0:is>
      </ns0:c>
      <ns0:c r="D319" t="inlineStr">
        <ns0:is>
          <ns0:t>gemini-2.5-flash-nothinking</ns0:t>
        </ns0:is>
      </ns0:c>
      <ns0:c r="E319">
        <ns0:f>COUNTIF(Cases!$B$2:$B$1859,A319)</ns0:f>
        <ns0:v>1</ns0:v>
      </ns0:c>
      <ns0:c r="F319">
        <ns0:f>IF(COUNTIFS(Cases!$B$2:$B$1859,A319,Cases!$G$2:$G$1859,1)&gt;0,1,0)</ns0:f>
        <ns0:v>1</ns0:v>
      </ns0:c>
      <ns0:c r="G319">
        <ns0:f>IF(COUNTIFS(Cases!$B$2:$B$1859,A319,Cases!$L$2:$L$1859,1)&gt;0,1,0)</ns0:f>
        <ns0:v>1</ns0:v>
      </ns0:c>
      <ns0:c r="H319">
        <ns0:f>IF(COUNTIFS(Cases!$B$2:$B$1859,A319,Cases!$Q$2:$Q$1859,1)&gt;0,1,0)</ns0:f>
        <ns0:v>0</ns0:v>
      </ns0:c>
      <ns0:c r="I319">
        <ns0:f>IF(COUNTIFS(Cases!$B$2:$B$1859,A319,Cases!$R$2:$R$1859,1)&gt;0,1,0)</ns0:f>
        <ns0:v>1</ns0:v>
      </ns0:c>
    </ns0:row>
    <ns0:row r="320">
      <ns0:c r="A320" t="inlineStr">
        <ns0:is>
          <ns0:t>function_0319</ns0:t>
        </ns0:is>
      </ns0:c>
      <ns0:c r="B320" t="inlineStr">
        <ns0:is>
          <ns0:t>run_013</ns0:t>
        </ns0:is>
      </ns0:c>
      <ns0:c r="C320" t="inlineStr">
        <ns0:is>
          <ns0:t>rand</ns0:t>
        </ns0:is>
      </ns0:c>
      <ns0:c r="D320" t="inlineStr">
        <ns0:is>
          <ns0:t>gemini-2.5-flash-nothinking</ns0:t>
        </ns0:is>
      </ns0:c>
      <ns0:c r="E320">
        <ns0:f>COUNTIF(Cases!$B$2:$B$1859,A320)</ns0:f>
        <ns0:v>1</ns0:v>
      </ns0:c>
      <ns0:c r="F320">
        <ns0:f>IF(COUNTIFS(Cases!$B$2:$B$1859,A320,Cases!$G$2:$G$1859,1)&gt;0,1,0)</ns0:f>
        <ns0:v>1</ns0:v>
      </ns0:c>
      <ns0:c r="G320">
        <ns0:f>IF(COUNTIFS(Cases!$B$2:$B$1859,A320,Cases!$L$2:$L$1859,1)&gt;0,1,0)</ns0:f>
        <ns0:v>1</ns0:v>
      </ns0:c>
      <ns0:c r="H320">
        <ns0:f>IF(COUNTIFS(Cases!$B$2:$B$1859,A320,Cases!$Q$2:$Q$1859,1)&gt;0,1,0)</ns0:f>
        <ns0:v>0</ns0:v>
      </ns0:c>
      <ns0:c r="I320">
        <ns0:f>IF(COUNTIFS(Cases!$B$2:$B$1859,A320,Cases!$R$2:$R$1859,1)&gt;0,1,0)</ns0:f>
        <ns0:v>0</ns0:v>
      </ns0:c>
    </ns0:row>
    <ns0:row r="321">
      <ns0:c r="A321" t="inlineStr">
        <ns0:is>
          <ns0:t>function_0320</ns0:t>
        </ns0:is>
      </ns0:c>
      <ns0:c r="B321" t="inlineStr">
        <ns0:is>
          <ns0:t>run_013</ns0:t>
        </ns0:is>
      </ns0:c>
      <ns0:c r="C321" t="inlineStr">
        <ns0:is>
          <ns0:t>rand</ns0:t>
        </ns0:is>
      </ns0:c>
      <ns0:c r="D321" t="inlineStr">
        <ns0:is>
          <ns0:t>gemini-2.5-flash-nothinking</ns0:t>
        </ns0:is>
      </ns0:c>
      <ns0:c r="E321">
        <ns0:f>COUNTIF(Cases!$B$2:$B$1859,A321)</ns0:f>
        <ns0:v>1</ns0:v>
      </ns0:c>
      <ns0:c r="F321">
        <ns0:f>IF(COUNTIFS(Cases!$B$2:$B$1859,A321,Cases!$G$2:$G$1859,1)&gt;0,1,0)</ns0:f>
        <ns0:v>1</ns0:v>
      </ns0:c>
      <ns0:c r="G321">
        <ns0:f>IF(COUNTIFS(Cases!$B$2:$B$1859,A321,Cases!$L$2:$L$1859,1)&gt;0,1,0)</ns0:f>
        <ns0:v>1</ns0:v>
      </ns0:c>
      <ns0:c r="H321">
        <ns0:f>IF(COUNTIFS(Cases!$B$2:$B$1859,A321,Cases!$Q$2:$Q$1859,1)&gt;0,1,0)</ns0:f>
        <ns0:v>0</ns0:v>
      </ns0:c>
      <ns0:c r="I321">
        <ns0:f>IF(COUNTIFS(Cases!$B$2:$B$1859,A321,Cases!$R$2:$R$1859,1)&gt;0,1,0)</ns0:f>
        <ns0:v>1</ns0:v>
      </ns0:c>
    </ns0:row>
    <ns0:row r="322">
      <ns0:c r="A322" t="inlineStr">
        <ns0:is>
          <ns0:t>function_0321</ns0:t>
        </ns0:is>
      </ns0:c>
      <ns0:c r="B322" t="inlineStr">
        <ns0:is>
          <ns0:t>run_013</ns0:t>
        </ns0:is>
      </ns0:c>
      <ns0:c r="C322" t="inlineStr">
        <ns0:is>
          <ns0:t>rand</ns0:t>
        </ns0:is>
      </ns0:c>
      <ns0:c r="D322" t="inlineStr">
        <ns0:is>
          <ns0:t>gemini-2.5-flash-nothinking</ns0:t>
        </ns0:is>
      </ns0:c>
      <ns0:c r="E322">
        <ns0:f>COUNTIF(Cases!$B$2:$B$1859,A322)</ns0:f>
        <ns0:v>1</ns0:v>
      </ns0:c>
      <ns0:c r="F322">
        <ns0:f>IF(COUNTIFS(Cases!$B$2:$B$1859,A322,Cases!$G$2:$G$1859,1)&gt;0,1,0)</ns0:f>
        <ns0:v>1</ns0:v>
      </ns0:c>
      <ns0:c r="G322">
        <ns0:f>IF(COUNTIFS(Cases!$B$2:$B$1859,A322,Cases!$L$2:$L$1859,1)&gt;0,1,0)</ns0:f>
        <ns0:v>1</ns0:v>
      </ns0:c>
      <ns0:c r="H322">
        <ns0:f>IF(COUNTIFS(Cases!$B$2:$B$1859,A322,Cases!$Q$2:$Q$1859,1)&gt;0,1,0)</ns0:f>
        <ns0:v>0</ns0:v>
      </ns0:c>
      <ns0:c r="I322">
        <ns0:f>IF(COUNTIFS(Cases!$B$2:$B$1859,A322,Cases!$R$2:$R$1859,1)&gt;0,1,0)</ns0:f>
        <ns0:v>1</ns0:v>
      </ns0:c>
    </ns0:row>
    <ns0:row r="323">
      <ns0:c r="A323" t="inlineStr">
        <ns0:is>
          <ns0:t>function_0322</ns0:t>
        </ns0:is>
      </ns0:c>
      <ns0:c r="B323" t="inlineStr">
        <ns0:is>
          <ns0:t>run_013</ns0:t>
        </ns0:is>
      </ns0:c>
      <ns0:c r="C323" t="inlineStr">
        <ns0:is>
          <ns0:t>rand</ns0:t>
        </ns0:is>
      </ns0:c>
      <ns0:c r="D323" t="inlineStr">
        <ns0:is>
          <ns0:t>gemini-2.5-flash-nothinking</ns0:t>
        </ns0:is>
      </ns0:c>
      <ns0:c r="E323">
        <ns0:f>COUNTIF(Cases!$B$2:$B$1859,A323)</ns0:f>
        <ns0:v>1</ns0:v>
      </ns0:c>
      <ns0:c r="F323">
        <ns0:f>IF(COUNTIFS(Cases!$B$2:$B$1859,A323,Cases!$G$2:$G$1859,1)&gt;0,1,0)</ns0:f>
        <ns0:v>1</ns0:v>
      </ns0:c>
      <ns0:c r="G323">
        <ns0:f>IF(COUNTIFS(Cases!$B$2:$B$1859,A323,Cases!$L$2:$L$1859,1)&gt;0,1,0)</ns0:f>
        <ns0:v>1</ns0:v>
      </ns0:c>
      <ns0:c r="H323">
        <ns0:f>IF(COUNTIFS(Cases!$B$2:$B$1859,A323,Cases!$Q$2:$Q$1859,1)&gt;0,1,0)</ns0:f>
        <ns0:v>0</ns0:v>
      </ns0:c>
      <ns0:c r="I323">
        <ns0:f>IF(COUNTIFS(Cases!$B$2:$B$1859,A323,Cases!$R$2:$R$1859,1)&gt;0,1,0)</ns0:f>
        <ns0:v>0</ns0:v>
      </ns0:c>
    </ns0:row>
    <ns0:row r="324">
      <ns0:c r="A324" t="inlineStr">
        <ns0:is>
          <ns0:t>function_0323</ns0:t>
        </ns0:is>
      </ns0:c>
      <ns0:c r="B324" t="inlineStr">
        <ns0:is>
          <ns0:t>run_013</ns0:t>
        </ns0:is>
      </ns0:c>
      <ns0:c r="C324" t="inlineStr">
        <ns0:is>
          <ns0:t>rand</ns0:t>
        </ns0:is>
      </ns0:c>
      <ns0:c r="D324" t="inlineStr">
        <ns0:is>
          <ns0:t>gemini-2.5-flash-nothinking</ns0:t>
        </ns0:is>
      </ns0:c>
      <ns0:c r="E324">
        <ns0:f>COUNTIF(Cases!$B$2:$B$1859,A324)</ns0:f>
        <ns0:v>1</ns0:v>
      </ns0:c>
      <ns0:c r="F324">
        <ns0:f>IF(COUNTIFS(Cases!$B$2:$B$1859,A324,Cases!$G$2:$G$1859,1)&gt;0,1,0)</ns0:f>
        <ns0:v>1</ns0:v>
      </ns0:c>
      <ns0:c r="G324">
        <ns0:f>IF(COUNTIFS(Cases!$B$2:$B$1859,A324,Cases!$L$2:$L$1859,1)&gt;0,1,0)</ns0:f>
        <ns0:v>1</ns0:v>
      </ns0:c>
      <ns0:c r="H324">
        <ns0:f>IF(COUNTIFS(Cases!$B$2:$B$1859,A324,Cases!$Q$2:$Q$1859,1)&gt;0,1,0)</ns0:f>
        <ns0:v>0</ns0:v>
      </ns0:c>
      <ns0:c r="I324">
        <ns0:f>IF(COUNTIFS(Cases!$B$2:$B$1859,A324,Cases!$R$2:$R$1859,1)&gt;0,1,0)</ns0:f>
        <ns0:v>0</ns0:v>
      </ns0:c>
    </ns0:row>
    <ns0:row r="325">
      <ns0:c r="A325" t="inlineStr">
        <ns0:is>
          <ns0:t>function_0324</ns0:t>
        </ns0:is>
      </ns0:c>
      <ns0:c r="B325" t="inlineStr">
        <ns0:is>
          <ns0:t>run_013</ns0:t>
        </ns0:is>
      </ns0:c>
      <ns0:c r="C325" t="inlineStr">
        <ns0:is>
          <ns0:t>rand</ns0:t>
        </ns0:is>
      </ns0:c>
      <ns0:c r="D325" t="inlineStr">
        <ns0:is>
          <ns0:t>gemini-2.5-flash-nothinking</ns0:t>
        </ns0:is>
      </ns0:c>
      <ns0:c r="E325">
        <ns0:f>COUNTIF(Cases!$B$2:$B$1859,A325)</ns0:f>
        <ns0:v>1</ns0:v>
      </ns0:c>
      <ns0:c r="F325">
        <ns0:f>IF(COUNTIFS(Cases!$B$2:$B$1859,A325,Cases!$G$2:$G$1859,1)&gt;0,1,0)</ns0:f>
        <ns0:v>1</ns0:v>
      </ns0:c>
      <ns0:c r="G325">
        <ns0:f>IF(COUNTIFS(Cases!$B$2:$B$1859,A325,Cases!$L$2:$L$1859,1)&gt;0,1,0)</ns0:f>
        <ns0:v>1</ns0:v>
      </ns0:c>
      <ns0:c r="H325">
        <ns0:f>IF(COUNTIFS(Cases!$B$2:$B$1859,A325,Cases!$Q$2:$Q$1859,1)&gt;0,1,0)</ns0:f>
        <ns0:v>0</ns0:v>
      </ns0:c>
      <ns0:c r="I325">
        <ns0:f>IF(COUNTIFS(Cases!$B$2:$B$1859,A325,Cases!$R$2:$R$1859,1)&gt;0,1,0)</ns0:f>
        <ns0:v>0</ns0:v>
      </ns0:c>
    </ns0:row>
    <ns0:row r="326">
      <ns0:c r="A326" t="inlineStr">
        <ns0:is>
          <ns0:t>function_0325</ns0:t>
        </ns0:is>
      </ns0:c>
      <ns0:c r="B326" t="inlineStr">
        <ns0:is>
          <ns0:t>run_013</ns0:t>
        </ns0:is>
      </ns0:c>
      <ns0:c r="C326" t="inlineStr">
        <ns0:is>
          <ns0:t>rand</ns0:t>
        </ns0:is>
      </ns0:c>
      <ns0:c r="D326" t="inlineStr">
        <ns0:is>
          <ns0:t>gemini-2.5-flash-nothinking</ns0:t>
        </ns0:is>
      </ns0:c>
      <ns0:c r="E326">
        <ns0:f>COUNTIF(Cases!$B$2:$B$1859,A326)</ns0:f>
        <ns0:v>1</ns0:v>
      </ns0:c>
      <ns0:c r="F326">
        <ns0:f>IF(COUNTIFS(Cases!$B$2:$B$1859,A326,Cases!$G$2:$G$1859,1)&gt;0,1,0)</ns0:f>
        <ns0:v>1</ns0:v>
      </ns0:c>
      <ns0:c r="G326">
        <ns0:f>IF(COUNTIFS(Cases!$B$2:$B$1859,A326,Cases!$L$2:$L$1859,1)&gt;0,1,0)</ns0:f>
        <ns0:v>1</ns0:v>
      </ns0:c>
      <ns0:c r="H326">
        <ns0:f>IF(COUNTIFS(Cases!$B$2:$B$1859,A326,Cases!$Q$2:$Q$1859,1)&gt;0,1,0)</ns0:f>
        <ns0:v>0</ns0:v>
      </ns0:c>
      <ns0:c r="I326">
        <ns0:f>IF(COUNTIFS(Cases!$B$2:$B$1859,A326,Cases!$R$2:$R$1859,1)&gt;0,1,0)</ns0:f>
        <ns0:v>0</ns0:v>
      </ns0:c>
    </ns0:row>
    <ns0:row r="327">
      <ns0:c r="A327" t="inlineStr">
        <ns0:is>
          <ns0:t>function_0326</ns0:t>
        </ns0:is>
      </ns0:c>
      <ns0:c r="B327" t="inlineStr">
        <ns0:is>
          <ns0:t>run_013</ns0:t>
        </ns0:is>
      </ns0:c>
      <ns0:c r="C327" t="inlineStr">
        <ns0:is>
          <ns0:t>rand</ns0:t>
        </ns0:is>
      </ns0:c>
      <ns0:c r="D327" t="inlineStr">
        <ns0:is>
          <ns0:t>gemini-2.5-flash-nothinking</ns0:t>
        </ns0:is>
      </ns0:c>
      <ns0:c r="E327">
        <ns0:f>COUNTIF(Cases!$B$2:$B$1859,A327)</ns0:f>
        <ns0:v>1</ns0:v>
      </ns0:c>
      <ns0:c r="F327">
        <ns0:f>IF(COUNTIFS(Cases!$B$2:$B$1859,A327,Cases!$G$2:$G$1859,1)&gt;0,1,0)</ns0:f>
        <ns0:v>1</ns0:v>
      </ns0:c>
      <ns0:c r="G327">
        <ns0:f>IF(COUNTIFS(Cases!$B$2:$B$1859,A327,Cases!$L$2:$L$1859,1)&gt;0,1,0)</ns0:f>
        <ns0:v>1</ns0:v>
      </ns0:c>
      <ns0:c r="H327">
        <ns0:f>IF(COUNTIFS(Cases!$B$2:$B$1859,A327,Cases!$Q$2:$Q$1859,1)&gt;0,1,0)</ns0:f>
        <ns0:v>0</ns0:v>
      </ns0:c>
      <ns0:c r="I327">
        <ns0:f>IF(COUNTIFS(Cases!$B$2:$B$1859,A327,Cases!$R$2:$R$1859,1)&gt;0,1,0)</ns0:f>
        <ns0:v>0</ns0:v>
      </ns0:c>
    </ns0:row>
    <ns0:row r="328">
      <ns0:c r="A328" t="inlineStr">
        <ns0:is>
          <ns0:t>function_0327</ns0:t>
        </ns0:is>
      </ns0:c>
      <ns0:c r="B328" t="inlineStr">
        <ns0:is>
          <ns0:t>run_013</ns0:t>
        </ns0:is>
      </ns0:c>
      <ns0:c r="C328" t="inlineStr">
        <ns0:is>
          <ns0:t>rand</ns0:t>
        </ns0:is>
      </ns0:c>
      <ns0:c r="D328" t="inlineStr">
        <ns0:is>
          <ns0:t>gemini-2.5-flash-nothinking</ns0:t>
        </ns0:is>
      </ns0:c>
      <ns0:c r="E328">
        <ns0:f>COUNTIF(Cases!$B$2:$B$1859,A328)</ns0:f>
        <ns0:v>1</ns0:v>
      </ns0:c>
      <ns0:c r="F328">
        <ns0:f>IF(COUNTIFS(Cases!$B$2:$B$1859,A328,Cases!$G$2:$G$1859,1)&gt;0,1,0)</ns0:f>
        <ns0:v>1</ns0:v>
      </ns0:c>
      <ns0:c r="G328">
        <ns0:f>IF(COUNTIFS(Cases!$B$2:$B$1859,A328,Cases!$L$2:$L$1859,1)&gt;0,1,0)</ns0:f>
        <ns0:v>1</ns0:v>
      </ns0:c>
      <ns0:c r="H328">
        <ns0:f>IF(COUNTIFS(Cases!$B$2:$B$1859,A328,Cases!$Q$2:$Q$1859,1)&gt;0,1,0)</ns0:f>
        <ns0:v>0</ns0:v>
      </ns0:c>
      <ns0:c r="I328">
        <ns0:f>IF(COUNTIFS(Cases!$B$2:$B$1859,A328,Cases!$R$2:$R$1859,1)&gt;0,1,0)</ns0:f>
        <ns0:v>0</ns0:v>
      </ns0:c>
    </ns0:row>
    <ns0:row r="329">
      <ns0:c r="A329" t="inlineStr">
        <ns0:is>
          <ns0:t>function_0328</ns0:t>
        </ns0:is>
      </ns0:c>
      <ns0:c r="B329" t="inlineStr">
        <ns0:is>
          <ns0:t>run_013</ns0:t>
        </ns0:is>
      </ns0:c>
      <ns0:c r="C329" t="inlineStr">
        <ns0:is>
          <ns0:t>rand</ns0:t>
        </ns0:is>
      </ns0:c>
      <ns0:c r="D329" t="inlineStr">
        <ns0:is>
          <ns0:t>gemini-2.5-flash-nothinking</ns0:t>
        </ns0:is>
      </ns0:c>
      <ns0:c r="E329">
        <ns0:f>COUNTIF(Cases!$B$2:$B$1859,A329)</ns0:f>
        <ns0:v>1</ns0:v>
      </ns0:c>
      <ns0:c r="F329">
        <ns0:f>IF(COUNTIFS(Cases!$B$2:$B$1859,A329,Cases!$G$2:$G$1859,1)&gt;0,1,0)</ns0:f>
        <ns0:v>1</ns0:v>
      </ns0:c>
      <ns0:c r="G329">
        <ns0:f>IF(COUNTIFS(Cases!$B$2:$B$1859,A329,Cases!$L$2:$L$1859,1)&gt;0,1,0)</ns0:f>
        <ns0:v>1</ns0:v>
      </ns0:c>
      <ns0:c r="H329">
        <ns0:f>IF(COUNTIFS(Cases!$B$2:$B$1859,A329,Cases!$Q$2:$Q$1859,1)&gt;0,1,0)</ns0:f>
        <ns0:v>1</ns0:v>
      </ns0:c>
      <ns0:c r="I329">
        <ns0:f>IF(COUNTIFS(Cases!$B$2:$B$1859,A329,Cases!$R$2:$R$1859,1)&gt;0,1,0)</ns0:f>
        <ns0:v>1</ns0:v>
      </ns0:c>
    </ns0:row>
    <ns0:row r="330">
      <ns0:c r="A330" t="inlineStr">
        <ns0:is>
          <ns0:t>function_0329</ns0:t>
        </ns0:is>
      </ns0:c>
      <ns0:c r="B330" t="inlineStr">
        <ns0:is>
          <ns0:t>run_013</ns0:t>
        </ns0:is>
      </ns0:c>
      <ns0:c r="C330" t="inlineStr">
        <ns0:is>
          <ns0:t>rand</ns0:t>
        </ns0:is>
      </ns0:c>
      <ns0:c r="D330" t="inlineStr">
        <ns0:is>
          <ns0:t>gemini-2.5-flash-nothinking</ns0:t>
        </ns0:is>
      </ns0:c>
      <ns0:c r="E330">
        <ns0:f>COUNTIF(Cases!$B$2:$B$1859,A330)</ns0:f>
        <ns0:v>1</ns0:v>
      </ns0:c>
      <ns0:c r="F330">
        <ns0:f>IF(COUNTIFS(Cases!$B$2:$B$1859,A330,Cases!$G$2:$G$1859,1)&gt;0,1,0)</ns0:f>
        <ns0:v>1</ns0:v>
      </ns0:c>
      <ns0:c r="G330">
        <ns0:f>IF(COUNTIFS(Cases!$B$2:$B$1859,A330,Cases!$L$2:$L$1859,1)&gt;0,1,0)</ns0:f>
        <ns0:v>1</ns0:v>
      </ns0:c>
      <ns0:c r="H330">
        <ns0:f>IF(COUNTIFS(Cases!$B$2:$B$1859,A330,Cases!$Q$2:$Q$1859,1)&gt;0,1,0)</ns0:f>
        <ns0:v>0</ns0:v>
      </ns0:c>
      <ns0:c r="I330">
        <ns0:f>IF(COUNTIFS(Cases!$B$2:$B$1859,A330,Cases!$R$2:$R$1859,1)&gt;0,1,0)</ns0:f>
        <ns0:v>1</ns0:v>
      </ns0:c>
    </ns0:row>
    <ns0:row r="331">
      <ns0:c r="A331" t="inlineStr">
        <ns0:is>
          <ns0:t>function_0330</ns0:t>
        </ns0:is>
      </ns0:c>
      <ns0:c r="B331" t="inlineStr">
        <ns0:is>
          <ns0:t>run_013</ns0:t>
        </ns0:is>
      </ns0:c>
      <ns0:c r="C331" t="inlineStr">
        <ns0:is>
          <ns0:t>rand</ns0:t>
        </ns0:is>
      </ns0:c>
      <ns0:c r="D331" t="inlineStr">
        <ns0:is>
          <ns0:t>gemini-2.5-flash-nothinking</ns0:t>
        </ns0:is>
      </ns0:c>
      <ns0:c r="E331">
        <ns0:f>COUNTIF(Cases!$B$2:$B$1859,A331)</ns0:f>
        <ns0:v>1</ns0:v>
      </ns0:c>
      <ns0:c r="F331">
        <ns0:f>IF(COUNTIFS(Cases!$B$2:$B$1859,A331,Cases!$G$2:$G$1859,1)&gt;0,1,0)</ns0:f>
        <ns0:v>0</ns0:v>
      </ns0:c>
      <ns0:c r="G331">
        <ns0:f>IF(COUNTIFS(Cases!$B$2:$B$1859,A331,Cases!$L$2:$L$1859,1)&gt;0,1,0)</ns0:f>
        <ns0:v>0</ns0:v>
      </ns0:c>
      <ns0:c r="H331">
        <ns0:f>IF(COUNTIFS(Cases!$B$2:$B$1859,A331,Cases!$Q$2:$Q$1859,1)&gt;0,1,0)</ns0:f>
        <ns0:v>0</ns0:v>
      </ns0:c>
      <ns0:c r="I331">
        <ns0:f>IF(COUNTIFS(Cases!$B$2:$B$1859,A331,Cases!$R$2:$R$1859,1)&gt;0,1,0)</ns0:f>
        <ns0:v>0</ns0:v>
      </ns0:c>
    </ns0:row>
    <ns0:row r="332">
      <ns0:c r="A332" t="inlineStr">
        <ns0:is>
          <ns0:t>function_0331</ns0:t>
        </ns0:is>
      </ns0:c>
      <ns0:c r="B332" t="inlineStr">
        <ns0:is>
          <ns0:t>run_013</ns0:t>
        </ns0:is>
      </ns0:c>
      <ns0:c r="C332" t="inlineStr">
        <ns0:is>
          <ns0:t>rand</ns0:t>
        </ns0:is>
      </ns0:c>
      <ns0:c r="D332" t="inlineStr">
        <ns0:is>
          <ns0:t>gemini-2.5-flash-nothinking</ns0:t>
        </ns0:is>
      </ns0:c>
      <ns0:c r="E332">
        <ns0:f>COUNTIF(Cases!$B$2:$B$1859,A332)</ns0:f>
        <ns0:v>1</ns0:v>
      </ns0:c>
      <ns0:c r="F332">
        <ns0:f>IF(COUNTIFS(Cases!$B$2:$B$1859,A332,Cases!$G$2:$G$1859,1)&gt;0,1,0)</ns0:f>
        <ns0:v>1</ns0:v>
      </ns0:c>
      <ns0:c r="G332">
        <ns0:f>IF(COUNTIFS(Cases!$B$2:$B$1859,A332,Cases!$L$2:$L$1859,1)&gt;0,1,0)</ns0:f>
        <ns0:v>1</ns0:v>
      </ns0:c>
      <ns0:c r="H332">
        <ns0:f>IF(COUNTIFS(Cases!$B$2:$B$1859,A332,Cases!$Q$2:$Q$1859,1)&gt;0,1,0)</ns0:f>
        <ns0:v>0</ns0:v>
      </ns0:c>
      <ns0:c r="I332">
        <ns0:f>IF(COUNTIFS(Cases!$B$2:$B$1859,A332,Cases!$R$2:$R$1859,1)&gt;0,1,0)</ns0:f>
        <ns0:v>1</ns0:v>
      </ns0:c>
    </ns0:row>
    <ns0:row r="333">
      <ns0:c r="A333" t="inlineStr">
        <ns0:is>
          <ns0:t>function_0332</ns0:t>
        </ns0:is>
      </ns0:c>
      <ns0:c r="B333" t="inlineStr">
        <ns0:is>
          <ns0:t>run_013</ns0:t>
        </ns0:is>
      </ns0:c>
      <ns0:c r="C333" t="inlineStr">
        <ns0:is>
          <ns0:t>rand</ns0:t>
        </ns0:is>
      </ns0:c>
      <ns0:c r="D333" t="inlineStr">
        <ns0:is>
          <ns0:t>gemini-2.5-flash-nothinking</ns0:t>
        </ns0:is>
      </ns0:c>
      <ns0:c r="E333">
        <ns0:f>COUNTIF(Cases!$B$2:$B$1859,A333)</ns0:f>
        <ns0:v>1</ns0:v>
      </ns0:c>
      <ns0:c r="F333">
        <ns0:f>IF(COUNTIFS(Cases!$B$2:$B$1859,A333,Cases!$G$2:$G$1859,1)&gt;0,1,0)</ns0:f>
        <ns0:v>1</ns0:v>
      </ns0:c>
      <ns0:c r="G333">
        <ns0:f>IF(COUNTIFS(Cases!$B$2:$B$1859,A333,Cases!$L$2:$L$1859,1)&gt;0,1,0)</ns0:f>
        <ns0:v>1</ns0:v>
      </ns0:c>
      <ns0:c r="H333">
        <ns0:f>IF(COUNTIFS(Cases!$B$2:$B$1859,A333,Cases!$Q$2:$Q$1859,1)&gt;0,1,0)</ns0:f>
        <ns0:v>0</ns0:v>
      </ns0:c>
      <ns0:c r="I333">
        <ns0:f>IF(COUNTIFS(Cases!$B$2:$B$1859,A333,Cases!$R$2:$R$1859,1)&gt;0,1,0)</ns0:f>
        <ns0:v>0</ns0:v>
      </ns0:c>
    </ns0:row>
    <ns0:row r="334">
      <ns0:c r="A334" t="inlineStr">
        <ns0:is>
          <ns0:t>function_0333</ns0:t>
        </ns0:is>
      </ns0:c>
      <ns0:c r="B334" t="inlineStr">
        <ns0:is>
          <ns0:t>run_013</ns0:t>
        </ns0:is>
      </ns0:c>
      <ns0:c r="C334" t="inlineStr">
        <ns0:is>
          <ns0:t>rand</ns0:t>
        </ns0:is>
      </ns0:c>
      <ns0:c r="D334" t="inlineStr">
        <ns0:is>
          <ns0:t>gemini-2.5-flash-nothinking</ns0:t>
        </ns0:is>
      </ns0:c>
      <ns0:c r="E334">
        <ns0:f>COUNTIF(Cases!$B$2:$B$1859,A334)</ns0:f>
        <ns0:v>1</ns0:v>
      </ns0:c>
      <ns0:c r="F334">
        <ns0:f>IF(COUNTIFS(Cases!$B$2:$B$1859,A334,Cases!$G$2:$G$1859,1)&gt;0,1,0)</ns0:f>
        <ns0:v>1</ns0:v>
      </ns0:c>
      <ns0:c r="G334">
        <ns0:f>IF(COUNTIFS(Cases!$B$2:$B$1859,A334,Cases!$L$2:$L$1859,1)&gt;0,1,0)</ns0:f>
        <ns0:v>1</ns0:v>
      </ns0:c>
      <ns0:c r="H334">
        <ns0:f>IF(COUNTIFS(Cases!$B$2:$B$1859,A334,Cases!$Q$2:$Q$1859,1)&gt;0,1,0)</ns0:f>
        <ns0:v>0</ns0:v>
      </ns0:c>
      <ns0:c r="I334">
        <ns0:f>IF(COUNTIFS(Cases!$B$2:$B$1859,A334,Cases!$R$2:$R$1859,1)&gt;0,1,0)</ns0:f>
        <ns0:v>0</ns0:v>
      </ns0:c>
    </ns0:row>
    <ns0:row r="335">
      <ns0:c r="A335" t="inlineStr">
        <ns0:is>
          <ns0:t>function_0334</ns0:t>
        </ns0:is>
      </ns0:c>
      <ns0:c r="B335" t="inlineStr">
        <ns0:is>
          <ns0:t>run_013</ns0:t>
        </ns0:is>
      </ns0:c>
      <ns0:c r="C335" t="inlineStr">
        <ns0:is>
          <ns0:t>rand</ns0:t>
        </ns0:is>
      </ns0:c>
      <ns0:c r="D335" t="inlineStr">
        <ns0:is>
          <ns0:t>gemini-2.5-flash-nothinking</ns0:t>
        </ns0:is>
      </ns0:c>
      <ns0:c r="E335">
        <ns0:f>COUNTIF(Cases!$B$2:$B$1859,A335)</ns0:f>
        <ns0:v>1</ns0:v>
      </ns0:c>
      <ns0:c r="F335">
        <ns0:f>IF(COUNTIFS(Cases!$B$2:$B$1859,A335,Cases!$G$2:$G$1859,1)&gt;0,1,0)</ns0:f>
        <ns0:v>1</ns0:v>
      </ns0:c>
      <ns0:c r="G335">
        <ns0:f>IF(COUNTIFS(Cases!$B$2:$B$1859,A335,Cases!$L$2:$L$1859,1)&gt;0,1,0)</ns0:f>
        <ns0:v>0</ns0:v>
      </ns0:c>
      <ns0:c r="H335">
        <ns0:f>IF(COUNTIFS(Cases!$B$2:$B$1859,A335,Cases!$Q$2:$Q$1859,1)&gt;0,1,0)</ns0:f>
        <ns0:v>0</ns0:v>
      </ns0:c>
      <ns0:c r="I335">
        <ns0:f>IF(COUNTIFS(Cases!$B$2:$B$1859,A335,Cases!$R$2:$R$1859,1)&gt;0,1,0)</ns0:f>
        <ns0:v>0</ns0:v>
      </ns0:c>
    </ns0:row>
    <ns0:row r="336">
      <ns0:c r="A336" t="inlineStr">
        <ns0:is>
          <ns0:t>function_0335</ns0:t>
        </ns0:is>
      </ns0:c>
      <ns0:c r="B336" t="inlineStr">
        <ns0:is>
          <ns0:t>run_013</ns0:t>
        </ns0:is>
      </ns0:c>
      <ns0:c r="C336" t="inlineStr">
        <ns0:is>
          <ns0:t>rand</ns0:t>
        </ns0:is>
      </ns0:c>
      <ns0:c r="D336" t="inlineStr">
        <ns0:is>
          <ns0:t>gemini-2.5-flash-nothinking</ns0:t>
        </ns0:is>
      </ns0:c>
      <ns0:c r="E336">
        <ns0:f>COUNTIF(Cases!$B$2:$B$1859,A336)</ns0:f>
        <ns0:v>1</ns0:v>
      </ns0:c>
      <ns0:c r="F336">
        <ns0:f>IF(COUNTIFS(Cases!$B$2:$B$1859,A336,Cases!$G$2:$G$1859,1)&gt;0,1,0)</ns0:f>
        <ns0:v>0</ns0:v>
      </ns0:c>
      <ns0:c r="G336">
        <ns0:f>IF(COUNTIFS(Cases!$B$2:$B$1859,A336,Cases!$L$2:$L$1859,1)&gt;0,1,0)</ns0:f>
        <ns0:v>0</ns0:v>
      </ns0:c>
      <ns0:c r="H336">
        <ns0:f>IF(COUNTIFS(Cases!$B$2:$B$1859,A336,Cases!$Q$2:$Q$1859,1)&gt;0,1,0)</ns0:f>
        <ns0:v>0</ns0:v>
      </ns0:c>
      <ns0:c r="I336">
        <ns0:f>IF(COUNTIFS(Cases!$B$2:$B$1859,A336,Cases!$R$2:$R$1859,1)&gt;0,1,0)</ns0:f>
        <ns0:v>0</ns0:v>
      </ns0:c>
    </ns0:row>
    <ns0:row r="337">
      <ns0:c r="A337" t="inlineStr">
        <ns0:is>
          <ns0:t>function_0336</ns0:t>
        </ns0:is>
      </ns0:c>
      <ns0:c r="B337" t="inlineStr">
        <ns0:is>
          <ns0:t>run_013</ns0:t>
        </ns0:is>
      </ns0:c>
      <ns0:c r="C337" t="inlineStr">
        <ns0:is>
          <ns0:t>rand</ns0:t>
        </ns0:is>
      </ns0:c>
      <ns0:c r="D337" t="inlineStr">
        <ns0:is>
          <ns0:t>gemini-2.5-flash-nothinking</ns0:t>
        </ns0:is>
      </ns0:c>
      <ns0:c r="E337">
        <ns0:f>COUNTIF(Cases!$B$2:$B$1859,A337)</ns0:f>
        <ns0:v>1</ns0:v>
      </ns0:c>
      <ns0:c r="F337">
        <ns0:f>IF(COUNTIFS(Cases!$B$2:$B$1859,A337,Cases!$G$2:$G$1859,1)&gt;0,1,0)</ns0:f>
        <ns0:v>1</ns0:v>
      </ns0:c>
      <ns0:c r="G337">
        <ns0:f>IF(COUNTIFS(Cases!$B$2:$B$1859,A337,Cases!$L$2:$L$1859,1)&gt;0,1,0)</ns0:f>
        <ns0:v>1</ns0:v>
      </ns0:c>
      <ns0:c r="H337">
        <ns0:f>IF(COUNTIFS(Cases!$B$2:$B$1859,A337,Cases!$Q$2:$Q$1859,1)&gt;0,1,0)</ns0:f>
        <ns0:v>0</ns0:v>
      </ns0:c>
      <ns0:c r="I337">
        <ns0:f>IF(COUNTIFS(Cases!$B$2:$B$1859,A337,Cases!$R$2:$R$1859,1)&gt;0,1,0)</ns0:f>
        <ns0:v>1</ns0:v>
      </ns0:c>
    </ns0:row>
    <ns0:row r="338">
      <ns0:c r="A338" t="inlineStr">
        <ns0:is>
          <ns0:t>function_0337</ns0:t>
        </ns0:is>
      </ns0:c>
      <ns0:c r="B338" t="inlineStr">
        <ns0:is>
          <ns0:t>run_013</ns0:t>
        </ns0:is>
      </ns0:c>
      <ns0:c r="C338" t="inlineStr">
        <ns0:is>
          <ns0:t>rand</ns0:t>
        </ns0:is>
      </ns0:c>
      <ns0:c r="D338" t="inlineStr">
        <ns0:is>
          <ns0:t>gemini-2.5-flash-nothinking</ns0:t>
        </ns0:is>
      </ns0:c>
      <ns0:c r="E338">
        <ns0:f>COUNTIF(Cases!$B$2:$B$1859,A338)</ns0:f>
        <ns0:v>1</ns0:v>
      </ns0:c>
      <ns0:c r="F338">
        <ns0:f>IF(COUNTIFS(Cases!$B$2:$B$1859,A338,Cases!$G$2:$G$1859,1)&gt;0,1,0)</ns0:f>
        <ns0:v>1</ns0:v>
      </ns0:c>
      <ns0:c r="G338">
        <ns0:f>IF(COUNTIFS(Cases!$B$2:$B$1859,A338,Cases!$L$2:$L$1859,1)&gt;0,1,0)</ns0:f>
        <ns0:v>1</ns0:v>
      </ns0:c>
      <ns0:c r="H338">
        <ns0:f>IF(COUNTIFS(Cases!$B$2:$B$1859,A338,Cases!$Q$2:$Q$1859,1)&gt;0,1,0)</ns0:f>
        <ns0:v>0</ns0:v>
      </ns0:c>
      <ns0:c r="I338">
        <ns0:f>IF(COUNTIFS(Cases!$B$2:$B$1859,A338,Cases!$R$2:$R$1859,1)&gt;0,1,0)</ns0:f>
        <ns0:v>1</ns0:v>
      </ns0:c>
    </ns0:row>
    <ns0:row r="339">
      <ns0:c r="A339" t="inlineStr">
        <ns0:is>
          <ns0:t>function_0338</ns0:t>
        </ns0:is>
      </ns0:c>
      <ns0:c r="B339" t="inlineStr">
        <ns0:is>
          <ns0:t>run_013</ns0:t>
        </ns0:is>
      </ns0:c>
      <ns0:c r="C339" t="inlineStr">
        <ns0:is>
          <ns0:t>rand</ns0:t>
        </ns0:is>
      </ns0:c>
      <ns0:c r="D339" t="inlineStr">
        <ns0:is>
          <ns0:t>gemini-2.5-flash-nothinking</ns0:t>
        </ns0:is>
      </ns0:c>
      <ns0:c r="E339">
        <ns0:f>COUNTIF(Cases!$B$2:$B$1859,A339)</ns0:f>
        <ns0:v>1</ns0:v>
      </ns0:c>
      <ns0:c r="F339">
        <ns0:f>IF(COUNTIFS(Cases!$B$2:$B$1859,A339,Cases!$G$2:$G$1859,1)&gt;0,1,0)</ns0:f>
        <ns0:v>1</ns0:v>
      </ns0:c>
      <ns0:c r="G339">
        <ns0:f>IF(COUNTIFS(Cases!$B$2:$B$1859,A339,Cases!$L$2:$L$1859,1)&gt;0,1,0)</ns0:f>
        <ns0:v>1</ns0:v>
      </ns0:c>
      <ns0:c r="H339">
        <ns0:f>IF(COUNTIFS(Cases!$B$2:$B$1859,A339,Cases!$Q$2:$Q$1859,1)&gt;0,1,0)</ns0:f>
        <ns0:v>0</ns0:v>
      </ns0:c>
      <ns0:c r="I339">
        <ns0:f>IF(COUNTIFS(Cases!$B$2:$B$1859,A339,Cases!$R$2:$R$1859,1)&gt;0,1,0)</ns0:f>
        <ns0:v>1</ns0:v>
      </ns0:c>
    </ns0:row>
    <ns0:row r="340">
      <ns0:c r="A340" t="inlineStr">
        <ns0:is>
          <ns0:t>function_0339</ns0:t>
        </ns0:is>
      </ns0:c>
      <ns0:c r="B340" t="inlineStr">
        <ns0:is>
          <ns0:t>run_013</ns0:t>
        </ns0:is>
      </ns0:c>
      <ns0:c r="C340" t="inlineStr">
        <ns0:is>
          <ns0:t>rand</ns0:t>
        </ns0:is>
      </ns0:c>
      <ns0:c r="D340" t="inlineStr">
        <ns0:is>
          <ns0:t>gemini-2.5-flash-nothinking</ns0:t>
        </ns0:is>
      </ns0:c>
      <ns0:c r="E340">
        <ns0:f>COUNTIF(Cases!$B$2:$B$1859,A340)</ns0:f>
        <ns0:v>1</ns0:v>
      </ns0:c>
      <ns0:c r="F340">
        <ns0:f>IF(COUNTIFS(Cases!$B$2:$B$1859,A340,Cases!$G$2:$G$1859,1)&gt;0,1,0)</ns0:f>
        <ns0:v>1</ns0:v>
      </ns0:c>
      <ns0:c r="G340">
        <ns0:f>IF(COUNTIFS(Cases!$B$2:$B$1859,A340,Cases!$L$2:$L$1859,1)&gt;0,1,0)</ns0:f>
        <ns0:v>1</ns0:v>
      </ns0:c>
      <ns0:c r="H340">
        <ns0:f>IF(COUNTIFS(Cases!$B$2:$B$1859,A340,Cases!$Q$2:$Q$1859,1)&gt;0,1,0)</ns0:f>
        <ns0:v>0</ns0:v>
      </ns0:c>
      <ns0:c r="I340">
        <ns0:f>IF(COUNTIFS(Cases!$B$2:$B$1859,A340,Cases!$R$2:$R$1859,1)&gt;0,1,0)</ns0:f>
        <ns0:v>0</ns0:v>
      </ns0:c>
    </ns0:row>
    <ns0:row r="341">
      <ns0:c r="A341" t="inlineStr">
        <ns0:is>
          <ns0:t>function_0340</ns0:t>
        </ns0:is>
      </ns0:c>
      <ns0:c r="B341" t="inlineStr">
        <ns0:is>
          <ns0:t>run_013</ns0:t>
        </ns0:is>
      </ns0:c>
      <ns0:c r="C341" t="inlineStr">
        <ns0:is>
          <ns0:t>rand</ns0:t>
        </ns0:is>
      </ns0:c>
      <ns0:c r="D341" t="inlineStr">
        <ns0:is>
          <ns0:t>gemini-2.5-flash-nothinking</ns0:t>
        </ns0:is>
      </ns0:c>
      <ns0:c r="E341">
        <ns0:f>COUNTIF(Cases!$B$2:$B$1859,A341)</ns0:f>
        <ns0:v>1</ns0:v>
      </ns0:c>
      <ns0:c r="F341">
        <ns0:f>IF(COUNTIFS(Cases!$B$2:$B$1859,A341,Cases!$G$2:$G$1859,1)&gt;0,1,0)</ns0:f>
        <ns0:v>1</ns0:v>
      </ns0:c>
      <ns0:c r="G341">
        <ns0:f>IF(COUNTIFS(Cases!$B$2:$B$1859,A341,Cases!$L$2:$L$1859,1)&gt;0,1,0)</ns0:f>
        <ns0:v>1</ns0:v>
      </ns0:c>
      <ns0:c r="H341">
        <ns0:f>IF(COUNTIFS(Cases!$B$2:$B$1859,A341,Cases!$Q$2:$Q$1859,1)&gt;0,1,0)</ns0:f>
        <ns0:v>0</ns0:v>
      </ns0:c>
      <ns0:c r="I341">
        <ns0:f>IF(COUNTIFS(Cases!$B$2:$B$1859,A341,Cases!$R$2:$R$1859,1)&gt;0,1,0)</ns0:f>
        <ns0:v>0</ns0:v>
      </ns0:c>
    </ns0:row>
    <ns0:row r="342">
      <ns0:c r="A342" t="inlineStr">
        <ns0:is>
          <ns0:t>function_0341</ns0:t>
        </ns0:is>
      </ns0:c>
      <ns0:c r="B342" t="inlineStr">
        <ns0:is>
          <ns0:t>run_013</ns0:t>
        </ns0:is>
      </ns0:c>
      <ns0:c r="C342" t="inlineStr">
        <ns0:is>
          <ns0:t>rand</ns0:t>
        </ns0:is>
      </ns0:c>
      <ns0:c r="D342" t="inlineStr">
        <ns0:is>
          <ns0:t>gemini-2.5-flash-nothinking</ns0:t>
        </ns0:is>
      </ns0:c>
      <ns0:c r="E342">
        <ns0:f>COUNTIF(Cases!$B$2:$B$1859,A342)</ns0:f>
        <ns0:v>1</ns0:v>
      </ns0:c>
      <ns0:c r="F342">
        <ns0:f>IF(COUNTIFS(Cases!$B$2:$B$1859,A342,Cases!$G$2:$G$1859,1)&gt;0,1,0)</ns0:f>
        <ns0:v>1</ns0:v>
      </ns0:c>
      <ns0:c r="G342">
        <ns0:f>IF(COUNTIFS(Cases!$B$2:$B$1859,A342,Cases!$L$2:$L$1859,1)&gt;0,1,0)</ns0:f>
        <ns0:v>1</ns0:v>
      </ns0:c>
      <ns0:c r="H342">
        <ns0:f>IF(COUNTIFS(Cases!$B$2:$B$1859,A342,Cases!$Q$2:$Q$1859,1)&gt;0,1,0)</ns0:f>
        <ns0:v>0</ns0:v>
      </ns0:c>
      <ns0:c r="I342">
        <ns0:f>IF(COUNTIFS(Cases!$B$2:$B$1859,A342,Cases!$R$2:$R$1859,1)&gt;0,1,0)</ns0:f>
        <ns0:v>1</ns0:v>
      </ns0:c>
    </ns0:row>
    <ns0:row r="343">
      <ns0:c r="A343" t="inlineStr">
        <ns0:is>
          <ns0:t>function_0342</ns0:t>
        </ns0:is>
      </ns0:c>
      <ns0:c r="B343" t="inlineStr">
        <ns0:is>
          <ns0:t>run_013</ns0:t>
        </ns0:is>
      </ns0:c>
      <ns0:c r="C343" t="inlineStr">
        <ns0:is>
          <ns0:t>rand</ns0:t>
        </ns0:is>
      </ns0:c>
      <ns0:c r="D343" t="inlineStr">
        <ns0:is>
          <ns0:t>gemini-2.5-flash-nothinking</ns0:t>
        </ns0:is>
      </ns0:c>
      <ns0:c r="E343">
        <ns0:f>COUNTIF(Cases!$B$2:$B$1859,A343)</ns0:f>
        <ns0:v>2</ns0:v>
      </ns0:c>
      <ns0:c r="F343">
        <ns0:f>IF(COUNTIFS(Cases!$B$2:$B$1859,A343,Cases!$G$2:$G$1859,1)&gt;0,1,0)</ns0:f>
        <ns0:v>1</ns0:v>
      </ns0:c>
      <ns0:c r="G343">
        <ns0:f>IF(COUNTIFS(Cases!$B$2:$B$1859,A343,Cases!$L$2:$L$1859,1)&gt;0,1,0)</ns0:f>
        <ns0:v>1</ns0:v>
      </ns0:c>
      <ns0:c r="H343">
        <ns0:f>IF(COUNTIFS(Cases!$B$2:$B$1859,A343,Cases!$Q$2:$Q$1859,1)&gt;0,1,0)</ns0:f>
        <ns0:v>0</ns0:v>
      </ns0:c>
      <ns0:c r="I343">
        <ns0:f>IF(COUNTIFS(Cases!$B$2:$B$1859,A343,Cases!$R$2:$R$1859,1)&gt;0,1,0)</ns0:f>
        <ns0:v>0</ns0:v>
      </ns0:c>
    </ns0:row>
    <ns0:row r="344">
      <ns0:c r="A344" t="inlineStr">
        <ns0:is>
          <ns0:t>function_0343</ns0:t>
        </ns0:is>
      </ns0:c>
      <ns0:c r="B344" t="inlineStr">
        <ns0:is>
          <ns0:t>run_013</ns0:t>
        </ns0:is>
      </ns0:c>
      <ns0:c r="C344" t="inlineStr">
        <ns0:is>
          <ns0:t>rand</ns0:t>
        </ns0:is>
      </ns0:c>
      <ns0:c r="D344" t="inlineStr">
        <ns0:is>
          <ns0:t>gemini-2.5-flash-nothinking</ns0:t>
        </ns0:is>
      </ns0:c>
      <ns0:c r="E344">
        <ns0:f>COUNTIF(Cases!$B$2:$B$1859,A344)</ns0:f>
        <ns0:v>1</ns0:v>
      </ns0:c>
      <ns0:c r="F344">
        <ns0:f>IF(COUNTIFS(Cases!$B$2:$B$1859,A344,Cases!$G$2:$G$1859,1)&gt;0,1,0)</ns0:f>
        <ns0:v>1</ns0:v>
      </ns0:c>
      <ns0:c r="G344">
        <ns0:f>IF(COUNTIFS(Cases!$B$2:$B$1859,A344,Cases!$L$2:$L$1859,1)&gt;0,1,0)</ns0:f>
        <ns0:v>1</ns0:v>
      </ns0:c>
      <ns0:c r="H344">
        <ns0:f>IF(COUNTIFS(Cases!$B$2:$B$1859,A344,Cases!$Q$2:$Q$1859,1)&gt;0,1,0)</ns0:f>
        <ns0:v>1</ns0:v>
      </ns0:c>
      <ns0:c r="I344">
        <ns0:f>IF(COUNTIFS(Cases!$B$2:$B$1859,A344,Cases!$R$2:$R$1859,1)&gt;0,1,0)</ns0:f>
        <ns0:v>1</ns0:v>
      </ns0:c>
    </ns0:row>
    <ns0:row r="345">
      <ns0:c r="A345" t="inlineStr">
        <ns0:is>
          <ns0:t>function_0344</ns0:t>
        </ns0:is>
      </ns0:c>
      <ns0:c r="B345" t="inlineStr">
        <ns0:is>
          <ns0:t>run_013</ns0:t>
        </ns0:is>
      </ns0:c>
      <ns0:c r="C345" t="inlineStr">
        <ns0:is>
          <ns0:t>rand</ns0:t>
        </ns0:is>
      </ns0:c>
      <ns0:c r="D345" t="inlineStr">
        <ns0:is>
          <ns0:t>gemini-2.5-flash-nothinking</ns0:t>
        </ns0:is>
      </ns0:c>
      <ns0:c r="E345">
        <ns0:f>COUNTIF(Cases!$B$2:$B$1859,A345)</ns0:f>
        <ns0:v>1</ns0:v>
      </ns0:c>
      <ns0:c r="F345">
        <ns0:f>IF(COUNTIFS(Cases!$B$2:$B$1859,A345,Cases!$G$2:$G$1859,1)&gt;0,1,0)</ns0:f>
        <ns0:v>1</ns0:v>
      </ns0:c>
      <ns0:c r="G345">
        <ns0:f>IF(COUNTIFS(Cases!$B$2:$B$1859,A345,Cases!$L$2:$L$1859,1)&gt;0,1,0)</ns0:f>
        <ns0:v>1</ns0:v>
      </ns0:c>
      <ns0:c r="H345">
        <ns0:f>IF(COUNTIFS(Cases!$B$2:$B$1859,A345,Cases!$Q$2:$Q$1859,1)&gt;0,1,0)</ns0:f>
        <ns0:v>0</ns0:v>
      </ns0:c>
      <ns0:c r="I345">
        <ns0:f>IF(COUNTIFS(Cases!$B$2:$B$1859,A345,Cases!$R$2:$R$1859,1)&gt;0,1,0)</ns0:f>
        <ns0:v>0</ns0:v>
      </ns0:c>
    </ns0:row>
    <ns0:row r="346">
      <ns0:c r="A346" t="inlineStr">
        <ns0:is>
          <ns0:t>function_0345</ns0:t>
        </ns0:is>
      </ns0:c>
      <ns0:c r="B346" t="inlineStr">
        <ns0:is>
          <ns0:t>run_013</ns0:t>
        </ns0:is>
      </ns0:c>
      <ns0:c r="C346" t="inlineStr">
        <ns0:is>
          <ns0:t>rand</ns0:t>
        </ns0:is>
      </ns0:c>
      <ns0:c r="D346" t="inlineStr">
        <ns0:is>
          <ns0:t>gemini-2.5-flash-nothinking</ns0:t>
        </ns0:is>
      </ns0:c>
      <ns0:c r="E346">
        <ns0:f>COUNTIF(Cases!$B$2:$B$1859,A346)</ns0:f>
        <ns0:v>1</ns0:v>
      </ns0:c>
      <ns0:c r="F346">
        <ns0:f>IF(COUNTIFS(Cases!$B$2:$B$1859,A346,Cases!$G$2:$G$1859,1)&gt;0,1,0)</ns0:f>
        <ns0:v>0</ns0:v>
      </ns0:c>
      <ns0:c r="G346">
        <ns0:f>IF(COUNTIFS(Cases!$B$2:$B$1859,A346,Cases!$L$2:$L$1859,1)&gt;0,1,0)</ns0:f>
        <ns0:v>1</ns0:v>
      </ns0:c>
      <ns0:c r="H346">
        <ns0:f>IF(COUNTIFS(Cases!$B$2:$B$1859,A346,Cases!$Q$2:$Q$1859,1)&gt;0,1,0)</ns0:f>
        <ns0:v>0</ns0:v>
      </ns0:c>
      <ns0:c r="I346">
        <ns0:f>IF(COUNTIFS(Cases!$B$2:$B$1859,A346,Cases!$R$2:$R$1859,1)&gt;0,1,0)</ns0:f>
        <ns0:v>0</ns0:v>
      </ns0:c>
    </ns0:row>
    <ns0:row r="347">
      <ns0:c r="A347" t="inlineStr">
        <ns0:is>
          <ns0:t>function_0346</ns0:t>
        </ns0:is>
      </ns0:c>
      <ns0:c r="B347" t="inlineStr">
        <ns0:is>
          <ns0:t>run_013</ns0:t>
        </ns0:is>
      </ns0:c>
      <ns0:c r="C347" t="inlineStr">
        <ns0:is>
          <ns0:t>rand</ns0:t>
        </ns0:is>
      </ns0:c>
      <ns0:c r="D347" t="inlineStr">
        <ns0:is>
          <ns0:t>gemini-2.5-flash-nothinking</ns0:t>
        </ns0:is>
      </ns0:c>
      <ns0:c r="E347">
        <ns0:f>COUNTIF(Cases!$B$2:$B$1859,A347)</ns0:f>
        <ns0:v>1</ns0:v>
      </ns0:c>
      <ns0:c r="F347">
        <ns0:f>IF(COUNTIFS(Cases!$B$2:$B$1859,A347,Cases!$G$2:$G$1859,1)&gt;0,1,0)</ns0:f>
        <ns0:v>1</ns0:v>
      </ns0:c>
      <ns0:c r="G347">
        <ns0:f>IF(COUNTIFS(Cases!$B$2:$B$1859,A347,Cases!$L$2:$L$1859,1)&gt;0,1,0)</ns0:f>
        <ns0:v>1</ns0:v>
      </ns0:c>
      <ns0:c r="H347">
        <ns0:f>IF(COUNTIFS(Cases!$B$2:$B$1859,A347,Cases!$Q$2:$Q$1859,1)&gt;0,1,0)</ns0:f>
        <ns0:v>0</ns0:v>
      </ns0:c>
      <ns0:c r="I347">
        <ns0:f>IF(COUNTIFS(Cases!$B$2:$B$1859,A347,Cases!$R$2:$R$1859,1)&gt;0,1,0)</ns0:f>
        <ns0:v>1</ns0:v>
      </ns0:c>
    </ns0:row>
    <ns0:row r="348">
      <ns0:c r="A348" t="inlineStr">
        <ns0:is>
          <ns0:t>function_0347</ns0:t>
        </ns0:is>
      </ns0:c>
      <ns0:c r="B348" t="inlineStr">
        <ns0:is>
          <ns0:t>run_013</ns0:t>
        </ns0:is>
      </ns0:c>
      <ns0:c r="C348" t="inlineStr">
        <ns0:is>
          <ns0:t>rand</ns0:t>
        </ns0:is>
      </ns0:c>
      <ns0:c r="D348" t="inlineStr">
        <ns0:is>
          <ns0:t>gemini-2.5-flash-nothinking</ns0:t>
        </ns0:is>
      </ns0:c>
      <ns0:c r="E348">
        <ns0:f>COUNTIF(Cases!$B$2:$B$1859,A348)</ns0:f>
        <ns0:v>1</ns0:v>
      </ns0:c>
      <ns0:c r="F348">
        <ns0:f>IF(COUNTIFS(Cases!$B$2:$B$1859,A348,Cases!$G$2:$G$1859,1)&gt;0,1,0)</ns0:f>
        <ns0:v>1</ns0:v>
      </ns0:c>
      <ns0:c r="G348">
        <ns0:f>IF(COUNTIFS(Cases!$B$2:$B$1859,A348,Cases!$L$2:$L$1859,1)&gt;0,1,0)</ns0:f>
        <ns0:v>1</ns0:v>
      </ns0:c>
      <ns0:c r="H348">
        <ns0:f>IF(COUNTIFS(Cases!$B$2:$B$1859,A348,Cases!$Q$2:$Q$1859,1)&gt;0,1,0)</ns0:f>
        <ns0:v>0</ns0:v>
      </ns0:c>
      <ns0:c r="I348">
        <ns0:f>IF(COUNTIFS(Cases!$B$2:$B$1859,A348,Cases!$R$2:$R$1859,1)&gt;0,1,0)</ns0:f>
        <ns0:v>0</ns0:v>
      </ns0:c>
    </ns0:row>
    <ns0:row r="349">
      <ns0:c r="A349" t="inlineStr">
        <ns0:is>
          <ns0:t>function_0348</ns0:t>
        </ns0:is>
      </ns0:c>
      <ns0:c r="B349" t="inlineStr">
        <ns0:is>
          <ns0:t>run_013</ns0:t>
        </ns0:is>
      </ns0:c>
      <ns0:c r="C349" t="inlineStr">
        <ns0:is>
          <ns0:t>rand</ns0:t>
        </ns0:is>
      </ns0:c>
      <ns0:c r="D349" t="inlineStr">
        <ns0:is>
          <ns0:t>gemini-2.5-flash-nothinking</ns0:t>
        </ns0:is>
      </ns0:c>
      <ns0:c r="E349">
        <ns0:f>COUNTIF(Cases!$B$2:$B$1859,A349)</ns0:f>
        <ns0:v>1</ns0:v>
      </ns0:c>
      <ns0:c r="F349">
        <ns0:f>IF(COUNTIFS(Cases!$B$2:$B$1859,A349,Cases!$G$2:$G$1859,1)&gt;0,1,0)</ns0:f>
        <ns0:v>1</ns0:v>
      </ns0:c>
      <ns0:c r="G349">
        <ns0:f>IF(COUNTIFS(Cases!$B$2:$B$1859,A349,Cases!$L$2:$L$1859,1)&gt;0,1,0)</ns0:f>
        <ns0:v>1</ns0:v>
      </ns0:c>
      <ns0:c r="H349">
        <ns0:f>IF(COUNTIFS(Cases!$B$2:$B$1859,A349,Cases!$Q$2:$Q$1859,1)&gt;0,1,0)</ns0:f>
        <ns0:v>0</ns0:v>
      </ns0:c>
      <ns0:c r="I349">
        <ns0:f>IF(COUNTIFS(Cases!$B$2:$B$1859,A349,Cases!$R$2:$R$1859,1)&gt;0,1,0)</ns0:f>
        <ns0:v>0</ns0:v>
      </ns0:c>
    </ns0:row>
    <ns0:row r="350">
      <ns0:c r="A350" t="inlineStr">
        <ns0:is>
          <ns0:t>function_0349</ns0:t>
        </ns0:is>
      </ns0:c>
      <ns0:c r="B350" t="inlineStr">
        <ns0:is>
          <ns0:t>run_013</ns0:t>
        </ns0:is>
      </ns0:c>
      <ns0:c r="C350" t="inlineStr">
        <ns0:is>
          <ns0:t>rand</ns0:t>
        </ns0:is>
      </ns0:c>
      <ns0:c r="D350" t="inlineStr">
        <ns0:is>
          <ns0:t>gemini-2.5-flash-nothinking</ns0:t>
        </ns0:is>
      </ns0:c>
      <ns0:c r="E350">
        <ns0:f>COUNTIF(Cases!$B$2:$B$1859,A350)</ns0:f>
        <ns0:v>1</ns0:v>
      </ns0:c>
      <ns0:c r="F350">
        <ns0:f>IF(COUNTIFS(Cases!$B$2:$B$1859,A350,Cases!$G$2:$G$1859,1)&gt;0,1,0)</ns0:f>
        <ns0:v>1</ns0:v>
      </ns0:c>
      <ns0:c r="G350">
        <ns0:f>IF(COUNTIFS(Cases!$B$2:$B$1859,A350,Cases!$L$2:$L$1859,1)&gt;0,1,0)</ns0:f>
        <ns0:v>1</ns0:v>
      </ns0:c>
      <ns0:c r="H350">
        <ns0:f>IF(COUNTIFS(Cases!$B$2:$B$1859,A350,Cases!$Q$2:$Q$1859,1)&gt;0,1,0)</ns0:f>
        <ns0:v>0</ns0:v>
      </ns0:c>
      <ns0:c r="I350">
        <ns0:f>IF(COUNTIFS(Cases!$B$2:$B$1859,A350,Cases!$R$2:$R$1859,1)&gt;0,1,0)</ns0:f>
        <ns0:v>1</ns0:v>
      </ns0:c>
    </ns0:row>
    <ns0:row r="351">
      <ns0:c r="A351" t="inlineStr">
        <ns0:is>
          <ns0:t>function_0350</ns0:t>
        </ns0:is>
      </ns0:c>
      <ns0:c r="B351" t="inlineStr">
        <ns0:is>
          <ns0:t>run_013</ns0:t>
        </ns0:is>
      </ns0:c>
      <ns0:c r="C351" t="inlineStr">
        <ns0:is>
          <ns0:t>rand</ns0:t>
        </ns0:is>
      </ns0:c>
      <ns0:c r="D351" t="inlineStr">
        <ns0:is>
          <ns0:t>gemini-2.5-flash-nothinking</ns0:t>
        </ns0:is>
      </ns0:c>
      <ns0:c r="E351">
        <ns0:f>COUNTIF(Cases!$B$2:$B$1859,A351)</ns0:f>
        <ns0:v>1</ns0:v>
      </ns0:c>
      <ns0:c r="F351">
        <ns0:f>IF(COUNTIFS(Cases!$B$2:$B$1859,A351,Cases!$G$2:$G$1859,1)&gt;0,1,0)</ns0:f>
        <ns0:v>1</ns0:v>
      </ns0:c>
      <ns0:c r="G351">
        <ns0:f>IF(COUNTIFS(Cases!$B$2:$B$1859,A351,Cases!$L$2:$L$1859,1)&gt;0,1,0)</ns0:f>
        <ns0:v>1</ns0:v>
      </ns0:c>
      <ns0:c r="H351">
        <ns0:f>IF(COUNTIFS(Cases!$B$2:$B$1859,A351,Cases!$Q$2:$Q$1859,1)&gt;0,1,0)</ns0:f>
        <ns0:v>0</ns0:v>
      </ns0:c>
      <ns0:c r="I351">
        <ns0:f>IF(COUNTIFS(Cases!$B$2:$B$1859,A351,Cases!$R$2:$R$1859,1)&gt;0,1,0)</ns0:f>
        <ns0:v>0</ns0:v>
      </ns0:c>
    </ns0:row>
    <ns0:row r="352">
      <ns0:c r="A352" t="inlineStr">
        <ns0:is>
          <ns0:t>function_0351</ns0:t>
        </ns0:is>
      </ns0:c>
      <ns0:c r="B352" t="inlineStr">
        <ns0:is>
          <ns0:t>run_013</ns0:t>
        </ns0:is>
      </ns0:c>
      <ns0:c r="C352" t="inlineStr">
        <ns0:is>
          <ns0:t>rand</ns0:t>
        </ns0:is>
      </ns0:c>
      <ns0:c r="D352" t="inlineStr">
        <ns0:is>
          <ns0:t>gemini-2.5-flash-nothinking</ns0:t>
        </ns0:is>
      </ns0:c>
      <ns0:c r="E352">
        <ns0:f>COUNTIF(Cases!$B$2:$B$1859,A352)</ns0:f>
        <ns0:v>1</ns0:v>
      </ns0:c>
      <ns0:c r="F352">
        <ns0:f>IF(COUNTIFS(Cases!$B$2:$B$1859,A352,Cases!$G$2:$G$1859,1)&gt;0,1,0)</ns0:f>
        <ns0:v>1</ns0:v>
      </ns0:c>
      <ns0:c r="G352">
        <ns0:f>IF(COUNTIFS(Cases!$B$2:$B$1859,A352,Cases!$L$2:$L$1859,1)&gt;0,1,0)</ns0:f>
        <ns0:v>1</ns0:v>
      </ns0:c>
      <ns0:c r="H352">
        <ns0:f>IF(COUNTIFS(Cases!$B$2:$B$1859,A352,Cases!$Q$2:$Q$1859,1)&gt;0,1,0)</ns0:f>
        <ns0:v>0</ns0:v>
      </ns0:c>
      <ns0:c r="I352">
        <ns0:f>IF(COUNTIFS(Cases!$B$2:$B$1859,A352,Cases!$R$2:$R$1859,1)&gt;0,1,0)</ns0:f>
        <ns0:v>0</ns0:v>
      </ns0:c>
    </ns0:row>
    <ns0:row r="353">
      <ns0:c r="A353" t="inlineStr">
        <ns0:is>
          <ns0:t>function_0352</ns0:t>
        </ns0:is>
      </ns0:c>
      <ns0:c r="B353" t="inlineStr">
        <ns0:is>
          <ns0:t>run_013</ns0:t>
        </ns0:is>
      </ns0:c>
      <ns0:c r="C353" t="inlineStr">
        <ns0:is>
          <ns0:t>rand</ns0:t>
        </ns0:is>
      </ns0:c>
      <ns0:c r="D353" t="inlineStr">
        <ns0:is>
          <ns0:t>gemini-2.5-flash-nothinking</ns0:t>
        </ns0:is>
      </ns0:c>
      <ns0:c r="E353">
        <ns0:f>COUNTIF(Cases!$B$2:$B$1859,A353)</ns0:f>
        <ns0:v>1</ns0:v>
      </ns0:c>
      <ns0:c r="F353">
        <ns0:f>IF(COUNTIFS(Cases!$B$2:$B$1859,A353,Cases!$G$2:$G$1859,1)&gt;0,1,0)</ns0:f>
        <ns0:v>1</ns0:v>
      </ns0:c>
      <ns0:c r="G353">
        <ns0:f>IF(COUNTIFS(Cases!$B$2:$B$1859,A353,Cases!$L$2:$L$1859,1)&gt;0,1,0)</ns0:f>
        <ns0:v>1</ns0:v>
      </ns0:c>
      <ns0:c r="H353">
        <ns0:f>IF(COUNTIFS(Cases!$B$2:$B$1859,A353,Cases!$Q$2:$Q$1859,1)&gt;0,1,0)</ns0:f>
        <ns0:v>1</ns0:v>
      </ns0:c>
      <ns0:c r="I353">
        <ns0:f>IF(COUNTIFS(Cases!$B$2:$B$1859,A353,Cases!$R$2:$R$1859,1)&gt;0,1,0)</ns0:f>
        <ns0:v>1</ns0:v>
      </ns0:c>
    </ns0:row>
    <ns0:row r="354">
      <ns0:c r="A354" t="inlineStr">
        <ns0:is>
          <ns0:t>function_0353</ns0:t>
        </ns0:is>
      </ns0:c>
      <ns0:c r="B354" t="inlineStr">
        <ns0:is>
          <ns0:t>run_013</ns0:t>
        </ns0:is>
      </ns0:c>
      <ns0:c r="C354" t="inlineStr">
        <ns0:is>
          <ns0:t>rand</ns0:t>
        </ns0:is>
      </ns0:c>
      <ns0:c r="D354" t="inlineStr">
        <ns0:is>
          <ns0:t>gemini-2.5-flash-nothinking</ns0:t>
        </ns0:is>
      </ns0:c>
      <ns0:c r="E354">
        <ns0:f>COUNTIF(Cases!$B$2:$B$1859,A354)</ns0:f>
        <ns0:v>1</ns0:v>
      </ns0:c>
      <ns0:c r="F354">
        <ns0:f>IF(COUNTIFS(Cases!$B$2:$B$1859,A354,Cases!$G$2:$G$1859,1)&gt;0,1,0)</ns0:f>
        <ns0:v>1</ns0:v>
      </ns0:c>
      <ns0:c r="G354">
        <ns0:f>IF(COUNTIFS(Cases!$B$2:$B$1859,A354,Cases!$L$2:$L$1859,1)&gt;0,1,0)</ns0:f>
        <ns0:v>1</ns0:v>
      </ns0:c>
      <ns0:c r="H354">
        <ns0:f>IF(COUNTIFS(Cases!$B$2:$B$1859,A354,Cases!$Q$2:$Q$1859,1)&gt;0,1,0)</ns0:f>
        <ns0:v>0</ns0:v>
      </ns0:c>
      <ns0:c r="I354">
        <ns0:f>IF(COUNTIFS(Cases!$B$2:$B$1859,A354,Cases!$R$2:$R$1859,1)&gt;0,1,0)</ns0:f>
        <ns0:v>0</ns0:v>
      </ns0:c>
    </ns0:row>
    <ns0:row r="355">
      <ns0:c r="A355" t="inlineStr">
        <ns0:is>
          <ns0:t>function_0354</ns0:t>
        </ns0:is>
      </ns0:c>
      <ns0:c r="B355" t="inlineStr">
        <ns0:is>
          <ns0:t>run_013</ns0:t>
        </ns0:is>
      </ns0:c>
      <ns0:c r="C355" t="inlineStr">
        <ns0:is>
          <ns0:t>rand</ns0:t>
        </ns0:is>
      </ns0:c>
      <ns0:c r="D355" t="inlineStr">
        <ns0:is>
          <ns0:t>gemini-2.5-flash-nothinking</ns0:t>
        </ns0:is>
      </ns0:c>
      <ns0:c r="E355">
        <ns0:f>COUNTIF(Cases!$B$2:$B$1859,A355)</ns0:f>
        <ns0:v>1</ns0:v>
      </ns0:c>
      <ns0:c r="F355">
        <ns0:f>IF(COUNTIFS(Cases!$B$2:$B$1859,A355,Cases!$G$2:$G$1859,1)&gt;0,1,0)</ns0:f>
        <ns0:v>1</ns0:v>
      </ns0:c>
      <ns0:c r="G355">
        <ns0:f>IF(COUNTIFS(Cases!$B$2:$B$1859,A355,Cases!$L$2:$L$1859,1)&gt;0,1,0)</ns0:f>
        <ns0:v>0</ns0:v>
      </ns0:c>
      <ns0:c r="H355">
        <ns0:f>IF(COUNTIFS(Cases!$B$2:$B$1859,A355,Cases!$Q$2:$Q$1859,1)&gt;0,1,0)</ns0:f>
        <ns0:v>0</ns0:v>
      </ns0:c>
      <ns0:c r="I355">
        <ns0:f>IF(COUNTIFS(Cases!$B$2:$B$1859,A355,Cases!$R$2:$R$1859,1)&gt;0,1,0)</ns0:f>
        <ns0:v>0</ns0:v>
      </ns0:c>
    </ns0:row>
    <ns0:row r="356">
      <ns0:c r="A356" t="inlineStr">
        <ns0:is>
          <ns0:t>function_0355</ns0:t>
        </ns0:is>
      </ns0:c>
      <ns0:c r="B356" t="inlineStr">
        <ns0:is>
          <ns0:t>run_013</ns0:t>
        </ns0:is>
      </ns0:c>
      <ns0:c r="C356" t="inlineStr">
        <ns0:is>
          <ns0:t>rand</ns0:t>
        </ns0:is>
      </ns0:c>
      <ns0:c r="D356" t="inlineStr">
        <ns0:is>
          <ns0:t>gemini-2.5-flash-nothinking</ns0:t>
        </ns0:is>
      </ns0:c>
      <ns0:c r="E356">
        <ns0:f>COUNTIF(Cases!$B$2:$B$1859,A356)</ns0:f>
        <ns0:v>1</ns0:v>
      </ns0:c>
      <ns0:c r="F356">
        <ns0:f>IF(COUNTIFS(Cases!$B$2:$B$1859,A356,Cases!$G$2:$G$1859,1)&gt;0,1,0)</ns0:f>
        <ns0:v>1</ns0:v>
      </ns0:c>
      <ns0:c r="G356">
        <ns0:f>IF(COUNTIFS(Cases!$B$2:$B$1859,A356,Cases!$L$2:$L$1859,1)&gt;0,1,0)</ns0:f>
        <ns0:v>1</ns0:v>
      </ns0:c>
      <ns0:c r="H356">
        <ns0:f>IF(COUNTIFS(Cases!$B$2:$B$1859,A356,Cases!$Q$2:$Q$1859,1)&gt;0,1,0)</ns0:f>
        <ns0:v>0</ns0:v>
      </ns0:c>
      <ns0:c r="I356">
        <ns0:f>IF(COUNTIFS(Cases!$B$2:$B$1859,A356,Cases!$R$2:$R$1859,1)&gt;0,1,0)</ns0:f>
        <ns0:v>0</ns0:v>
      </ns0:c>
    </ns0:row>
    <ns0:row r="357">
      <ns0:c r="A357" t="inlineStr">
        <ns0:is>
          <ns0:t>function_0356</ns0:t>
        </ns0:is>
      </ns0:c>
      <ns0:c r="B357" t="inlineStr">
        <ns0:is>
          <ns0:t>run_013</ns0:t>
        </ns0:is>
      </ns0:c>
      <ns0:c r="C357" t="inlineStr">
        <ns0:is>
          <ns0:t>rand</ns0:t>
        </ns0:is>
      </ns0:c>
      <ns0:c r="D357" t="inlineStr">
        <ns0:is>
          <ns0:t>gemini-2.5-flash-nothinking</ns0:t>
        </ns0:is>
      </ns0:c>
      <ns0:c r="E357">
        <ns0:f>COUNTIF(Cases!$B$2:$B$1859,A357)</ns0:f>
        <ns0:v>1</ns0:v>
      </ns0:c>
      <ns0:c r="F357">
        <ns0:f>IF(COUNTIFS(Cases!$B$2:$B$1859,A357,Cases!$G$2:$G$1859,1)&gt;0,1,0)</ns0:f>
        <ns0:v>1</ns0:v>
      </ns0:c>
      <ns0:c r="G357">
        <ns0:f>IF(COUNTIFS(Cases!$B$2:$B$1859,A357,Cases!$L$2:$L$1859,1)&gt;0,1,0)</ns0:f>
        <ns0:v>1</ns0:v>
      </ns0:c>
      <ns0:c r="H357">
        <ns0:f>IF(COUNTIFS(Cases!$B$2:$B$1859,A357,Cases!$Q$2:$Q$1859,1)&gt;0,1,0)</ns0:f>
        <ns0:v>0</ns0:v>
      </ns0:c>
      <ns0:c r="I357">
        <ns0:f>IF(COUNTIFS(Cases!$B$2:$B$1859,A357,Cases!$R$2:$R$1859,1)&gt;0,1,0)</ns0:f>
        <ns0:v>0</ns0:v>
      </ns0:c>
    </ns0:row>
    <ns0:row r="358">
      <ns0:c r="A358" t="inlineStr">
        <ns0:is>
          <ns0:t>function_0357</ns0:t>
        </ns0:is>
      </ns0:c>
      <ns0:c r="B358" t="inlineStr">
        <ns0:is>
          <ns0:t>run_013</ns0:t>
        </ns0:is>
      </ns0:c>
      <ns0:c r="C358" t="inlineStr">
        <ns0:is>
          <ns0:t>rand</ns0:t>
        </ns0:is>
      </ns0:c>
      <ns0:c r="D358" t="inlineStr">
        <ns0:is>
          <ns0:t>gemini-2.5-flash-nothinking</ns0:t>
        </ns0:is>
      </ns0:c>
      <ns0:c r="E358">
        <ns0:f>COUNTIF(Cases!$B$2:$B$1859,A358)</ns0:f>
        <ns0:v>1</ns0:v>
      </ns0:c>
      <ns0:c r="F358">
        <ns0:f>IF(COUNTIFS(Cases!$B$2:$B$1859,A358,Cases!$G$2:$G$1859,1)&gt;0,1,0)</ns0:f>
        <ns0:v>0</ns0:v>
      </ns0:c>
      <ns0:c r="G358">
        <ns0:f>IF(COUNTIFS(Cases!$B$2:$B$1859,A358,Cases!$L$2:$L$1859,1)&gt;0,1,0)</ns0:f>
        <ns0:v>1</ns0:v>
      </ns0:c>
      <ns0:c r="H358">
        <ns0:f>IF(COUNTIFS(Cases!$B$2:$B$1859,A358,Cases!$Q$2:$Q$1859,1)&gt;0,1,0)</ns0:f>
        <ns0:v>1</ns0:v>
      </ns0:c>
      <ns0:c r="I358">
        <ns0:f>IF(COUNTIFS(Cases!$B$2:$B$1859,A358,Cases!$R$2:$R$1859,1)&gt;0,1,0)</ns0:f>
        <ns0:v>1</ns0:v>
      </ns0:c>
    </ns0:row>
    <ns0:row r="359">
      <ns0:c r="A359" t="inlineStr">
        <ns0:is>
          <ns0:t>function_0358</ns0:t>
        </ns0:is>
      </ns0:c>
      <ns0:c r="B359" t="inlineStr">
        <ns0:is>
          <ns0:t>run_013</ns0:t>
        </ns0:is>
      </ns0:c>
      <ns0:c r="C359" t="inlineStr">
        <ns0:is>
          <ns0:t>rand</ns0:t>
        </ns0:is>
      </ns0:c>
      <ns0:c r="D359" t="inlineStr">
        <ns0:is>
          <ns0:t>gemini-2.5-flash-nothinking</ns0:t>
        </ns0:is>
      </ns0:c>
      <ns0:c r="E359">
        <ns0:f>COUNTIF(Cases!$B$2:$B$1859,A359)</ns0:f>
        <ns0:v>1</ns0:v>
      </ns0:c>
      <ns0:c r="F359">
        <ns0:f>IF(COUNTIFS(Cases!$B$2:$B$1859,A359,Cases!$G$2:$G$1859,1)&gt;0,1,0)</ns0:f>
        <ns0:v>1</ns0:v>
      </ns0:c>
      <ns0:c r="G359">
        <ns0:f>IF(COUNTIFS(Cases!$B$2:$B$1859,A359,Cases!$L$2:$L$1859,1)&gt;0,1,0)</ns0:f>
        <ns0:v>1</ns0:v>
      </ns0:c>
      <ns0:c r="H359">
        <ns0:f>IF(COUNTIFS(Cases!$B$2:$B$1859,A359,Cases!$Q$2:$Q$1859,1)&gt;0,1,0)</ns0:f>
        <ns0:v>0</ns0:v>
      </ns0:c>
      <ns0:c r="I359">
        <ns0:f>IF(COUNTIFS(Cases!$B$2:$B$1859,A359,Cases!$R$2:$R$1859,1)&gt;0,1,0)</ns0:f>
        <ns0:v>1</ns0:v>
      </ns0:c>
    </ns0:row>
    <ns0:row r="360">
      <ns0:c r="A360" t="inlineStr">
        <ns0:is>
          <ns0:t>function_0359</ns0:t>
        </ns0:is>
      </ns0:c>
      <ns0:c r="B360" t="inlineStr">
        <ns0:is>
          <ns0:t>run_013</ns0:t>
        </ns0:is>
      </ns0:c>
      <ns0:c r="C360" t="inlineStr">
        <ns0:is>
          <ns0:t>rand</ns0:t>
        </ns0:is>
      </ns0:c>
      <ns0:c r="D360" t="inlineStr">
        <ns0:is>
          <ns0:t>gemini-2.5-flash-nothinking</ns0:t>
        </ns0:is>
      </ns0:c>
      <ns0:c r="E360">
        <ns0:f>COUNTIF(Cases!$B$2:$B$1859,A360)</ns0:f>
        <ns0:v>1</ns0:v>
      </ns0:c>
      <ns0:c r="F360">
        <ns0:f>IF(COUNTIFS(Cases!$B$2:$B$1859,A360,Cases!$G$2:$G$1859,1)&gt;0,1,0)</ns0:f>
        <ns0:v>1</ns0:v>
      </ns0:c>
      <ns0:c r="G360">
        <ns0:f>IF(COUNTIFS(Cases!$B$2:$B$1859,A360,Cases!$L$2:$L$1859,1)&gt;0,1,0)</ns0:f>
        <ns0:v>1</ns0:v>
      </ns0:c>
      <ns0:c r="H360">
        <ns0:f>IF(COUNTIFS(Cases!$B$2:$B$1859,A360,Cases!$Q$2:$Q$1859,1)&gt;0,1,0)</ns0:f>
        <ns0:v>0</ns0:v>
      </ns0:c>
      <ns0:c r="I360">
        <ns0:f>IF(COUNTIFS(Cases!$B$2:$B$1859,A360,Cases!$R$2:$R$1859,1)&gt;0,1,0)</ns0:f>
        <ns0:v>0</ns0:v>
      </ns0:c>
    </ns0:row>
    <ns0:row r="361">
      <ns0:c r="A361" t="inlineStr">
        <ns0:is>
          <ns0:t>function_0360</ns0:t>
        </ns0:is>
      </ns0:c>
      <ns0:c r="B361" t="inlineStr">
        <ns0:is>
          <ns0:t>run_013</ns0:t>
        </ns0:is>
      </ns0:c>
      <ns0:c r="C361" t="inlineStr">
        <ns0:is>
          <ns0:t>rand</ns0:t>
        </ns0:is>
      </ns0:c>
      <ns0:c r="D361" t="inlineStr">
        <ns0:is>
          <ns0:t>gemini-2.5-flash-nothinking</ns0:t>
        </ns0:is>
      </ns0:c>
      <ns0:c r="E361">
        <ns0:f>COUNTIF(Cases!$B$2:$B$1859,A361)</ns0:f>
        <ns0:v>1</ns0:v>
      </ns0:c>
      <ns0:c r="F361">
        <ns0:f>IF(COUNTIFS(Cases!$B$2:$B$1859,A361,Cases!$G$2:$G$1859,1)&gt;0,1,0)</ns0:f>
        <ns0:v>1</ns0:v>
      </ns0:c>
      <ns0:c r="G361">
        <ns0:f>IF(COUNTIFS(Cases!$B$2:$B$1859,A361,Cases!$L$2:$L$1859,1)&gt;0,1,0)</ns0:f>
        <ns0:v>1</ns0:v>
      </ns0:c>
      <ns0:c r="H361">
        <ns0:f>IF(COUNTIFS(Cases!$B$2:$B$1859,A361,Cases!$Q$2:$Q$1859,1)&gt;0,1,0)</ns0:f>
        <ns0:v>0</ns0:v>
      </ns0:c>
      <ns0:c r="I361">
        <ns0:f>IF(COUNTIFS(Cases!$B$2:$B$1859,A361,Cases!$R$2:$R$1859,1)&gt;0,1,0)</ns0:f>
        <ns0:v>1</ns0:v>
      </ns0:c>
    </ns0:row>
    <ns0:row r="362">
      <ns0:c r="A362" t="inlineStr">
        <ns0:is>
          <ns0:t>function_0361</ns0:t>
        </ns0:is>
      </ns0:c>
      <ns0:c r="B362" t="inlineStr">
        <ns0:is>
          <ns0:t>run_013</ns0:t>
        </ns0:is>
      </ns0:c>
      <ns0:c r="C362" t="inlineStr">
        <ns0:is>
          <ns0:t>rand</ns0:t>
        </ns0:is>
      </ns0:c>
      <ns0:c r="D362" t="inlineStr">
        <ns0:is>
          <ns0:t>gemini-2.5-flash-nothinking</ns0:t>
        </ns0:is>
      </ns0:c>
      <ns0:c r="E362">
        <ns0:f>COUNTIF(Cases!$B$2:$B$1859,A362)</ns0:f>
        <ns0:v>2</ns0:v>
      </ns0:c>
      <ns0:c r="F362">
        <ns0:f>IF(COUNTIFS(Cases!$B$2:$B$1859,A362,Cases!$G$2:$G$1859,1)&gt;0,1,0)</ns0:f>
        <ns0:v>1</ns0:v>
      </ns0:c>
      <ns0:c r="G362">
        <ns0:f>IF(COUNTIFS(Cases!$B$2:$B$1859,A362,Cases!$L$2:$L$1859,1)&gt;0,1,0)</ns0:f>
        <ns0:v>1</ns0:v>
      </ns0:c>
      <ns0:c r="H362">
        <ns0:f>IF(COUNTIFS(Cases!$B$2:$B$1859,A362,Cases!$Q$2:$Q$1859,1)&gt;0,1,0)</ns0:f>
        <ns0:v>0</ns0:v>
      </ns0:c>
      <ns0:c r="I362">
        <ns0:f>IF(COUNTIFS(Cases!$B$2:$B$1859,A362,Cases!$R$2:$R$1859,1)&gt;0,1,0)</ns0:f>
        <ns0:v>1</ns0:v>
      </ns0:c>
    </ns0:row>
    <ns0:row r="363">
      <ns0:c r="A363" t="inlineStr">
        <ns0:is>
          <ns0:t>function_0362</ns0:t>
        </ns0:is>
      </ns0:c>
      <ns0:c r="B363" t="inlineStr">
        <ns0:is>
          <ns0:t>run_013</ns0:t>
        </ns0:is>
      </ns0:c>
      <ns0:c r="C363" t="inlineStr">
        <ns0:is>
          <ns0:t>rand</ns0:t>
        </ns0:is>
      </ns0:c>
      <ns0:c r="D363" t="inlineStr">
        <ns0:is>
          <ns0:t>gemini-2.5-flash-nothinking</ns0:t>
        </ns0:is>
      </ns0:c>
      <ns0:c r="E363">
        <ns0:f>COUNTIF(Cases!$B$2:$B$1859,A363)</ns0:f>
        <ns0:v>2</ns0:v>
      </ns0:c>
      <ns0:c r="F363">
        <ns0:f>IF(COUNTIFS(Cases!$B$2:$B$1859,A363,Cases!$G$2:$G$1859,1)&gt;0,1,0)</ns0:f>
        <ns0:v>1</ns0:v>
      </ns0:c>
      <ns0:c r="G363">
        <ns0:f>IF(COUNTIFS(Cases!$B$2:$B$1859,A363,Cases!$L$2:$L$1859,1)&gt;0,1,0)</ns0:f>
        <ns0:v>1</ns0:v>
      </ns0:c>
      <ns0:c r="H363">
        <ns0:f>IF(COUNTIFS(Cases!$B$2:$B$1859,A363,Cases!$Q$2:$Q$1859,1)&gt;0,1,0)</ns0:f>
        <ns0:v>0</ns0:v>
      </ns0:c>
      <ns0:c r="I363">
        <ns0:f>IF(COUNTIFS(Cases!$B$2:$B$1859,A363,Cases!$R$2:$R$1859,1)&gt;0,1,0)</ns0:f>
        <ns0:v>1</ns0:v>
      </ns0:c>
    </ns0:row>
    <ns0:row r="364">
      <ns0:c r="A364" t="inlineStr">
        <ns0:is>
          <ns0:t>function_0363</ns0:t>
        </ns0:is>
      </ns0:c>
      <ns0:c r="B364" t="inlineStr">
        <ns0:is>
          <ns0:t>run_013</ns0:t>
        </ns0:is>
      </ns0:c>
      <ns0:c r="C364" t="inlineStr">
        <ns0:is>
          <ns0:t>rand</ns0:t>
        </ns0:is>
      </ns0:c>
      <ns0:c r="D364" t="inlineStr">
        <ns0:is>
          <ns0:t>gemini-2.5-flash-nothinking</ns0:t>
        </ns0:is>
      </ns0:c>
      <ns0:c r="E364">
        <ns0:f>COUNTIF(Cases!$B$2:$B$1859,A364)</ns0:f>
        <ns0:v>1</ns0:v>
      </ns0:c>
      <ns0:c r="F364">
        <ns0:f>IF(COUNTIFS(Cases!$B$2:$B$1859,A364,Cases!$G$2:$G$1859,1)&gt;0,1,0)</ns0:f>
        <ns0:v>1</ns0:v>
      </ns0:c>
      <ns0:c r="G364">
        <ns0:f>IF(COUNTIFS(Cases!$B$2:$B$1859,A364,Cases!$L$2:$L$1859,1)&gt;0,1,0)</ns0:f>
        <ns0:v>1</ns0:v>
      </ns0:c>
      <ns0:c r="H364">
        <ns0:f>IF(COUNTIFS(Cases!$B$2:$B$1859,A364,Cases!$Q$2:$Q$1859,1)&gt;0,1,0)</ns0:f>
        <ns0:v>1</ns0:v>
      </ns0:c>
      <ns0:c r="I364">
        <ns0:f>IF(COUNTIFS(Cases!$B$2:$B$1859,A364,Cases!$R$2:$R$1859,1)&gt;0,1,0)</ns0:f>
        <ns0:v>1</ns0:v>
      </ns0:c>
    </ns0:row>
    <ns0:row r="365">
      <ns0:c r="A365" t="inlineStr">
        <ns0:is>
          <ns0:t>function_0364</ns0:t>
        </ns0:is>
      </ns0:c>
      <ns0:c r="B365" t="inlineStr">
        <ns0:is>
          <ns0:t>run_013</ns0:t>
        </ns0:is>
      </ns0:c>
      <ns0:c r="C365" t="inlineStr">
        <ns0:is>
          <ns0:t>rand</ns0:t>
        </ns0:is>
      </ns0:c>
      <ns0:c r="D365" t="inlineStr">
        <ns0:is>
          <ns0:t>gemini-2.5-flash-nothinking</ns0:t>
        </ns0:is>
      </ns0:c>
      <ns0:c r="E365">
        <ns0:f>COUNTIF(Cases!$B$2:$B$1859,A365)</ns0:f>
        <ns0:v>2</ns0:v>
      </ns0:c>
      <ns0:c r="F365">
        <ns0:f>IF(COUNTIFS(Cases!$B$2:$B$1859,A365,Cases!$G$2:$G$1859,1)&gt;0,1,0)</ns0:f>
        <ns0:v>1</ns0:v>
      </ns0:c>
      <ns0:c r="G365">
        <ns0:f>IF(COUNTIFS(Cases!$B$2:$B$1859,A365,Cases!$L$2:$L$1859,1)&gt;0,1,0)</ns0:f>
        <ns0:v>1</ns0:v>
      </ns0:c>
      <ns0:c r="H365">
        <ns0:f>IF(COUNTIFS(Cases!$B$2:$B$1859,A365,Cases!$Q$2:$Q$1859,1)&gt;0,1,0)</ns0:f>
        <ns0:v>1</ns0:v>
      </ns0:c>
      <ns0:c r="I365">
        <ns0:f>IF(COUNTIFS(Cases!$B$2:$B$1859,A365,Cases!$R$2:$R$1859,1)&gt;0,1,0)</ns0:f>
        <ns0:v>1</ns0:v>
      </ns0:c>
    </ns0:row>
    <ns0:row r="366">
      <ns0:c r="A366" t="inlineStr">
        <ns0:is>
          <ns0:t>function_0365</ns0:t>
        </ns0:is>
      </ns0:c>
      <ns0:c r="B366" t="inlineStr">
        <ns0:is>
          <ns0:t>run_013</ns0:t>
        </ns0:is>
      </ns0:c>
      <ns0:c r="C366" t="inlineStr">
        <ns0:is>
          <ns0:t>rand</ns0:t>
        </ns0:is>
      </ns0:c>
      <ns0:c r="D366" t="inlineStr">
        <ns0:is>
          <ns0:t>gemini-2.5-flash-nothinking</ns0:t>
        </ns0:is>
      </ns0:c>
      <ns0:c r="E366">
        <ns0:f>COUNTIF(Cases!$B$2:$B$1859,A366)</ns0:f>
        <ns0:v>2</ns0:v>
      </ns0:c>
      <ns0:c r="F366">
        <ns0:f>IF(COUNTIFS(Cases!$B$2:$B$1859,A366,Cases!$G$2:$G$1859,1)&gt;0,1,0)</ns0:f>
        <ns0:v>1</ns0:v>
      </ns0:c>
      <ns0:c r="G366">
        <ns0:f>IF(COUNTIFS(Cases!$B$2:$B$1859,A366,Cases!$L$2:$L$1859,1)&gt;0,1,0)</ns0:f>
        <ns0:v>1</ns0:v>
      </ns0:c>
      <ns0:c r="H366">
        <ns0:f>IF(COUNTIFS(Cases!$B$2:$B$1859,A366,Cases!$Q$2:$Q$1859,1)&gt;0,1,0)</ns0:f>
        <ns0:v>1</ns0:v>
      </ns0:c>
      <ns0:c r="I366">
        <ns0:f>IF(COUNTIFS(Cases!$B$2:$B$1859,A366,Cases!$R$2:$R$1859,1)&gt;0,1,0)</ns0:f>
        <ns0:v>1</ns0:v>
      </ns0:c>
    </ns0:row>
    <ns0:row r="367">
      <ns0:c r="A367" t="inlineStr">
        <ns0:is>
          <ns0:t>function_0366</ns0:t>
        </ns0:is>
      </ns0:c>
      <ns0:c r="B367" t="inlineStr">
        <ns0:is>
          <ns0:t>run_013</ns0:t>
        </ns0:is>
      </ns0:c>
      <ns0:c r="C367" t="inlineStr">
        <ns0:is>
          <ns0:t>rand</ns0:t>
        </ns0:is>
      </ns0:c>
      <ns0:c r="D367" t="inlineStr">
        <ns0:is>
          <ns0:t>gemini-2.5-flash-nothinking</ns0:t>
        </ns0:is>
      </ns0:c>
      <ns0:c r="E367">
        <ns0:f>COUNTIF(Cases!$B$2:$B$1859,A367)</ns0:f>
        <ns0:v>1</ns0:v>
      </ns0:c>
      <ns0:c r="F367">
        <ns0:f>IF(COUNTIFS(Cases!$B$2:$B$1859,A367,Cases!$G$2:$G$1859,1)&gt;0,1,0)</ns0:f>
        <ns0:v>1</ns0:v>
      </ns0:c>
      <ns0:c r="G367">
        <ns0:f>IF(COUNTIFS(Cases!$B$2:$B$1859,A367,Cases!$L$2:$L$1859,1)&gt;0,1,0)</ns0:f>
        <ns0:v>1</ns0:v>
      </ns0:c>
      <ns0:c r="H367">
        <ns0:f>IF(COUNTIFS(Cases!$B$2:$B$1859,A367,Cases!$Q$2:$Q$1859,1)&gt;0,1,0)</ns0:f>
        <ns0:v>1</ns0:v>
      </ns0:c>
      <ns0:c r="I367">
        <ns0:f>IF(COUNTIFS(Cases!$B$2:$B$1859,A367,Cases!$R$2:$R$1859,1)&gt;0,1,0)</ns0:f>
        <ns0:v>1</ns0:v>
      </ns0:c>
    </ns0:row>
    <ns0:row r="368">
      <ns0:c r="A368" t="inlineStr">
        <ns0:is>
          <ns0:t>function_0367</ns0:t>
        </ns0:is>
      </ns0:c>
      <ns0:c r="B368" t="inlineStr">
        <ns0:is>
          <ns0:t>run_013</ns0:t>
        </ns0:is>
      </ns0:c>
      <ns0:c r="C368" t="inlineStr">
        <ns0:is>
          <ns0:t>rand</ns0:t>
        </ns0:is>
      </ns0:c>
      <ns0:c r="D368" t="inlineStr">
        <ns0:is>
          <ns0:t>gemini-2.5-flash-nothinking</ns0:t>
        </ns0:is>
      </ns0:c>
      <ns0:c r="E368">
        <ns0:f>COUNTIF(Cases!$B$2:$B$1859,A368)</ns0:f>
        <ns0:v>2</ns0:v>
      </ns0:c>
      <ns0:c r="F368">
        <ns0:f>IF(COUNTIFS(Cases!$B$2:$B$1859,A368,Cases!$G$2:$G$1859,1)&gt;0,1,0)</ns0:f>
        <ns0:v>0</ns0:v>
      </ns0:c>
      <ns0:c r="G368">
        <ns0:f>IF(COUNTIFS(Cases!$B$2:$B$1859,A368,Cases!$L$2:$L$1859,1)&gt;0,1,0)</ns0:f>
        <ns0:v>1</ns0:v>
      </ns0:c>
      <ns0:c r="H368">
        <ns0:f>IF(COUNTIFS(Cases!$B$2:$B$1859,A368,Cases!$Q$2:$Q$1859,1)&gt;0,1,0)</ns0:f>
        <ns0:v>0</ns0:v>
      </ns0:c>
      <ns0:c r="I368">
        <ns0:f>IF(COUNTIFS(Cases!$B$2:$B$1859,A368,Cases!$R$2:$R$1859,1)&gt;0,1,0)</ns0:f>
        <ns0:v>0</ns0:v>
      </ns0:c>
    </ns0:row>
    <ns0:row r="369">
      <ns0:c r="A369" t="inlineStr">
        <ns0:is>
          <ns0:t>function_0368</ns0:t>
        </ns0:is>
      </ns0:c>
      <ns0:c r="B369" t="inlineStr">
        <ns0:is>
          <ns0:t>run_013</ns0:t>
        </ns0:is>
      </ns0:c>
      <ns0:c r="C369" t="inlineStr">
        <ns0:is>
          <ns0:t>rand</ns0:t>
        </ns0:is>
      </ns0:c>
      <ns0:c r="D369" t="inlineStr">
        <ns0:is>
          <ns0:t>gemini-2.5-flash-nothinking</ns0:t>
        </ns0:is>
      </ns0:c>
      <ns0:c r="E369">
        <ns0:f>COUNTIF(Cases!$B$2:$B$1859,A369)</ns0:f>
        <ns0:v>2</ns0:v>
      </ns0:c>
      <ns0:c r="F369">
        <ns0:f>IF(COUNTIFS(Cases!$B$2:$B$1859,A369,Cases!$G$2:$G$1859,1)&gt;0,1,0)</ns0:f>
        <ns0:v>0</ns0:v>
      </ns0:c>
      <ns0:c r="G369">
        <ns0:f>IF(COUNTIFS(Cases!$B$2:$B$1859,A369,Cases!$L$2:$L$1859,1)&gt;0,1,0)</ns0:f>
        <ns0:v>1</ns0:v>
      </ns0:c>
      <ns0:c r="H369">
        <ns0:f>IF(COUNTIFS(Cases!$B$2:$B$1859,A369,Cases!$Q$2:$Q$1859,1)&gt;0,1,0)</ns0:f>
        <ns0:v>0</ns0:v>
      </ns0:c>
      <ns0:c r="I369">
        <ns0:f>IF(COUNTIFS(Cases!$B$2:$B$1859,A369,Cases!$R$2:$R$1859,1)&gt;0,1,0)</ns0:f>
        <ns0:v>1</ns0:v>
      </ns0:c>
    </ns0:row>
    <ns0:row r="370">
      <ns0:c r="A370" t="inlineStr">
        <ns0:is>
          <ns0:t>function_0369</ns0:t>
        </ns0:is>
      </ns0:c>
      <ns0:c r="B370" t="inlineStr">
        <ns0:is>
          <ns0:t>run_013</ns0:t>
        </ns0:is>
      </ns0:c>
      <ns0:c r="C370" t="inlineStr">
        <ns0:is>
          <ns0:t>rand</ns0:t>
        </ns0:is>
      </ns0:c>
      <ns0:c r="D370" t="inlineStr">
        <ns0:is>
          <ns0:t>gemini-2.5-flash-nothinking</ns0:t>
        </ns0:is>
      </ns0:c>
      <ns0:c r="E370">
        <ns0:f>COUNTIF(Cases!$B$2:$B$1859,A370)</ns0:f>
        <ns0:v>2</ns0:v>
      </ns0:c>
      <ns0:c r="F370">
        <ns0:f>IF(COUNTIFS(Cases!$B$2:$B$1859,A370,Cases!$G$2:$G$1859,1)&gt;0,1,0)</ns0:f>
        <ns0:v>0</ns0:v>
      </ns0:c>
      <ns0:c r="G370">
        <ns0:f>IF(COUNTIFS(Cases!$B$2:$B$1859,A370,Cases!$L$2:$L$1859,1)&gt;0,1,0)</ns0:f>
        <ns0:v>0</ns0:v>
      </ns0:c>
      <ns0:c r="H370">
        <ns0:f>IF(COUNTIFS(Cases!$B$2:$B$1859,A370,Cases!$Q$2:$Q$1859,1)&gt;0,1,0)</ns0:f>
        <ns0:v>0</ns0:v>
      </ns0:c>
      <ns0:c r="I370">
        <ns0:f>IF(COUNTIFS(Cases!$B$2:$B$1859,A370,Cases!$R$2:$R$1859,1)&gt;0,1,0)</ns0:f>
        <ns0:v>0</ns0:v>
      </ns0:c>
    </ns0:row>
    <ns0:row r="371">
      <ns0:c r="A371" t="inlineStr">
        <ns0:is>
          <ns0:t>function_0370</ns0:t>
        </ns0:is>
      </ns0:c>
      <ns0:c r="B371" t="inlineStr">
        <ns0:is>
          <ns0:t>run_013</ns0:t>
        </ns0:is>
      </ns0:c>
      <ns0:c r="C371" t="inlineStr">
        <ns0:is>
          <ns0:t>rand</ns0:t>
        </ns0:is>
      </ns0:c>
      <ns0:c r="D371" t="inlineStr">
        <ns0:is>
          <ns0:t>gemini-2.5-flash-nothinking</ns0:t>
        </ns0:is>
      </ns0:c>
      <ns0:c r="E371">
        <ns0:f>COUNTIF(Cases!$B$2:$B$1859,A371)</ns0:f>
        <ns0:v>2</ns0:v>
      </ns0:c>
      <ns0:c r="F371">
        <ns0:f>IF(COUNTIFS(Cases!$B$2:$B$1859,A371,Cases!$G$2:$G$1859,1)&gt;0,1,0)</ns0:f>
        <ns0:v>1</ns0:v>
      </ns0:c>
      <ns0:c r="G371">
        <ns0:f>IF(COUNTIFS(Cases!$B$2:$B$1859,A371,Cases!$L$2:$L$1859,1)&gt;0,1,0)</ns0:f>
        <ns0:v>0</ns0:v>
      </ns0:c>
      <ns0:c r="H371">
        <ns0:f>IF(COUNTIFS(Cases!$B$2:$B$1859,A371,Cases!$Q$2:$Q$1859,1)&gt;0,1,0)</ns0:f>
        <ns0:v>0</ns0:v>
      </ns0:c>
      <ns0:c r="I371">
        <ns0:f>IF(COUNTIFS(Cases!$B$2:$B$1859,A371,Cases!$R$2:$R$1859,1)&gt;0,1,0)</ns0:f>
        <ns0:v>0</ns0:v>
      </ns0:c>
    </ns0:row>
    <ns0:row r="372">
      <ns0:c r="A372" t="inlineStr">
        <ns0:is>
          <ns0:t>function_0371</ns0:t>
        </ns0:is>
      </ns0:c>
      <ns0:c r="B372" t="inlineStr">
        <ns0:is>
          <ns0:t>run_013</ns0:t>
        </ns0:is>
      </ns0:c>
      <ns0:c r="C372" t="inlineStr">
        <ns0:is>
          <ns0:t>rand</ns0:t>
        </ns0:is>
      </ns0:c>
      <ns0:c r="D372" t="inlineStr">
        <ns0:is>
          <ns0:t>gemini-2.5-flash-nothinking</ns0:t>
        </ns0:is>
      </ns0:c>
      <ns0:c r="E372">
        <ns0:f>COUNTIF(Cases!$B$2:$B$1859,A372)</ns0:f>
        <ns0:v>2</ns0:v>
      </ns0:c>
      <ns0:c r="F372">
        <ns0:f>IF(COUNTIFS(Cases!$B$2:$B$1859,A372,Cases!$G$2:$G$1859,1)&gt;0,1,0)</ns0:f>
        <ns0:v>0</ns0:v>
      </ns0:c>
      <ns0:c r="G372">
        <ns0:f>IF(COUNTIFS(Cases!$B$2:$B$1859,A372,Cases!$L$2:$L$1859,1)&gt;0,1,0)</ns0:f>
        <ns0:v>0</ns0:v>
      </ns0:c>
      <ns0:c r="H372">
        <ns0:f>IF(COUNTIFS(Cases!$B$2:$B$1859,A372,Cases!$Q$2:$Q$1859,1)&gt;0,1,0)</ns0:f>
        <ns0:v>0</ns0:v>
      </ns0:c>
      <ns0:c r="I372">
        <ns0:f>IF(COUNTIFS(Cases!$B$2:$B$1859,A372,Cases!$R$2:$R$1859,1)&gt;0,1,0)</ns0:f>
        <ns0:v>0</ns0:v>
      </ns0:c>
    </ns0:row>
    <ns0:row r="373">
      <ns0:c r="A373" t="inlineStr">
        <ns0:is>
          <ns0:t>function_0372</ns0:t>
        </ns0:is>
      </ns0:c>
      <ns0:c r="B373" t="inlineStr">
        <ns0:is>
          <ns0:t>run_013</ns0:t>
        </ns0:is>
      </ns0:c>
      <ns0:c r="C373" t="inlineStr">
        <ns0:is>
          <ns0:t>rand</ns0:t>
        </ns0:is>
      </ns0:c>
      <ns0:c r="D373" t="inlineStr">
        <ns0:is>
          <ns0:t>gemini-2.5-flash-nothinking</ns0:t>
        </ns0:is>
      </ns0:c>
      <ns0:c r="E373">
        <ns0:f>COUNTIF(Cases!$B$2:$B$1859,A373)</ns0:f>
        <ns0:v>2</ns0:v>
      </ns0:c>
      <ns0:c r="F373">
        <ns0:f>IF(COUNTIFS(Cases!$B$2:$B$1859,A373,Cases!$G$2:$G$1859,1)&gt;0,1,0)</ns0:f>
        <ns0:v>0</ns0:v>
      </ns0:c>
      <ns0:c r="G373">
        <ns0:f>IF(COUNTIFS(Cases!$B$2:$B$1859,A373,Cases!$L$2:$L$1859,1)&gt;0,1,0)</ns0:f>
        <ns0:v>0</ns0:v>
      </ns0:c>
      <ns0:c r="H373">
        <ns0:f>IF(COUNTIFS(Cases!$B$2:$B$1859,A373,Cases!$Q$2:$Q$1859,1)&gt;0,1,0)</ns0:f>
        <ns0:v>0</ns0:v>
      </ns0:c>
      <ns0:c r="I373">
        <ns0:f>IF(COUNTIFS(Cases!$B$2:$B$1859,A373,Cases!$R$2:$R$1859,1)&gt;0,1,0)</ns0:f>
        <ns0:v>0</ns0:v>
      </ns0:c>
    </ns0:row>
    <ns0:row r="374">
      <ns0:c r="A374" t="inlineStr">
        <ns0:is>
          <ns0:t>function_0373</ns0:t>
        </ns0:is>
      </ns0:c>
      <ns0:c r="B374" t="inlineStr">
        <ns0:is>
          <ns0:t>run_013</ns0:t>
        </ns0:is>
      </ns0:c>
      <ns0:c r="C374" t="inlineStr">
        <ns0:is>
          <ns0:t>rand</ns0:t>
        </ns0:is>
      </ns0:c>
      <ns0:c r="D374" t="inlineStr">
        <ns0:is>
          <ns0:t>gemini-2.5-flash-nothinking</ns0:t>
        </ns0:is>
      </ns0:c>
      <ns0:c r="E374">
        <ns0:f>COUNTIF(Cases!$B$2:$B$1859,A374)</ns0:f>
        <ns0:v>2</ns0:v>
      </ns0:c>
      <ns0:c r="F374">
        <ns0:f>IF(COUNTIFS(Cases!$B$2:$B$1859,A374,Cases!$G$2:$G$1859,1)&gt;0,1,0)</ns0:f>
        <ns0:v>0</ns0:v>
      </ns0:c>
      <ns0:c r="G374">
        <ns0:f>IF(COUNTIFS(Cases!$B$2:$B$1859,A374,Cases!$L$2:$L$1859,1)&gt;0,1,0)</ns0:f>
        <ns0:v>1</ns0:v>
      </ns0:c>
      <ns0:c r="H374">
        <ns0:f>IF(COUNTIFS(Cases!$B$2:$B$1859,A374,Cases!$Q$2:$Q$1859,1)&gt;0,1,0)</ns0:f>
        <ns0:v>0</ns0:v>
      </ns0:c>
      <ns0:c r="I374">
        <ns0:f>IF(COUNTIFS(Cases!$B$2:$B$1859,A374,Cases!$R$2:$R$1859,1)&gt;0,1,0)</ns0:f>
        <ns0:v>0</ns0:v>
      </ns0:c>
    </ns0:row>
    <ns0:row r="375">
      <ns0:c r="A375" t="inlineStr">
        <ns0:is>
          <ns0:t>function_0374</ns0:t>
        </ns0:is>
      </ns0:c>
      <ns0:c r="B375" t="inlineStr">
        <ns0:is>
          <ns0:t>run_013</ns0:t>
        </ns0:is>
      </ns0:c>
      <ns0:c r="C375" t="inlineStr">
        <ns0:is>
          <ns0:t>rand</ns0:t>
        </ns0:is>
      </ns0:c>
      <ns0:c r="D375" t="inlineStr">
        <ns0:is>
          <ns0:t>gemini-2.5-flash-nothinking</ns0:t>
        </ns0:is>
      </ns0:c>
      <ns0:c r="E375">
        <ns0:f>COUNTIF(Cases!$B$2:$B$1859,A375)</ns0:f>
        <ns0:v>2</ns0:v>
      </ns0:c>
      <ns0:c r="F375">
        <ns0:f>IF(COUNTIFS(Cases!$B$2:$B$1859,A375,Cases!$G$2:$G$1859,1)&gt;0,1,0)</ns0:f>
        <ns0:v>0</ns0:v>
      </ns0:c>
      <ns0:c r="G375">
        <ns0:f>IF(COUNTIFS(Cases!$B$2:$B$1859,A375,Cases!$L$2:$L$1859,1)&gt;0,1,0)</ns0:f>
        <ns0:v>0</ns0:v>
      </ns0:c>
      <ns0:c r="H375">
        <ns0:f>IF(COUNTIFS(Cases!$B$2:$B$1859,A375,Cases!$Q$2:$Q$1859,1)&gt;0,1,0)</ns0:f>
        <ns0:v>0</ns0:v>
      </ns0:c>
      <ns0:c r="I375">
        <ns0:f>IF(COUNTIFS(Cases!$B$2:$B$1859,A375,Cases!$R$2:$R$1859,1)&gt;0,1,0)</ns0:f>
        <ns0:v>0</ns0:v>
      </ns0:c>
    </ns0:row>
    <ns0:row r="376">
      <ns0:c r="A376" t="inlineStr">
        <ns0:is>
          <ns0:t>function_0375</ns0:t>
        </ns0:is>
      </ns0:c>
      <ns0:c r="B376" t="inlineStr">
        <ns0:is>
          <ns0:t>run_013</ns0:t>
        </ns0:is>
      </ns0:c>
      <ns0:c r="C376" t="inlineStr">
        <ns0:is>
          <ns0:t>rand</ns0:t>
        </ns0:is>
      </ns0:c>
      <ns0:c r="D376" t="inlineStr">
        <ns0:is>
          <ns0:t>gemini-2.5-flash-nothinking</ns0:t>
        </ns0:is>
      </ns0:c>
      <ns0:c r="E376">
        <ns0:f>COUNTIF(Cases!$B$2:$B$1859,A376)</ns0:f>
        <ns0:v>1</ns0:v>
      </ns0:c>
      <ns0:c r="F376">
        <ns0:f>IF(COUNTIFS(Cases!$B$2:$B$1859,A376,Cases!$G$2:$G$1859,1)&gt;0,1,0)</ns0:f>
        <ns0:v>1</ns0:v>
      </ns0:c>
      <ns0:c r="G376">
        <ns0:f>IF(COUNTIFS(Cases!$B$2:$B$1859,A376,Cases!$L$2:$L$1859,1)&gt;0,1,0)</ns0:f>
        <ns0:v>1</ns0:v>
      </ns0:c>
      <ns0:c r="H376">
        <ns0:f>IF(COUNTIFS(Cases!$B$2:$B$1859,A376,Cases!$Q$2:$Q$1859,1)&gt;0,1,0)</ns0:f>
        <ns0:v>1</ns0:v>
      </ns0:c>
      <ns0:c r="I376">
        <ns0:f>IF(COUNTIFS(Cases!$B$2:$B$1859,A376,Cases!$R$2:$R$1859,1)&gt;0,1,0)</ns0:f>
        <ns0:v>1</ns0:v>
      </ns0:c>
    </ns0:row>
    <ns0:row r="377">
      <ns0:c r="A377" t="inlineStr">
        <ns0:is>
          <ns0:t>function_0376</ns0:t>
        </ns0:is>
      </ns0:c>
      <ns0:c r="B377" t="inlineStr">
        <ns0:is>
          <ns0:t>run_013</ns0:t>
        </ns0:is>
      </ns0:c>
      <ns0:c r="C377" t="inlineStr">
        <ns0:is>
          <ns0:t>rand</ns0:t>
        </ns0:is>
      </ns0:c>
      <ns0:c r="D377" t="inlineStr">
        <ns0:is>
          <ns0:t>gemini-2.5-flash-nothinking</ns0:t>
        </ns0:is>
      </ns0:c>
      <ns0:c r="E377">
        <ns0:f>COUNTIF(Cases!$B$2:$B$1859,A377)</ns0:f>
        <ns0:v>2</ns0:v>
      </ns0:c>
      <ns0:c r="F377">
        <ns0:f>IF(COUNTIFS(Cases!$B$2:$B$1859,A377,Cases!$G$2:$G$1859,1)&gt;0,1,0)</ns0:f>
        <ns0:v>1</ns0:v>
      </ns0:c>
      <ns0:c r="G377">
        <ns0:f>IF(COUNTIFS(Cases!$B$2:$B$1859,A377,Cases!$L$2:$L$1859,1)&gt;0,1,0)</ns0:f>
        <ns0:v>1</ns0:v>
      </ns0:c>
      <ns0:c r="H377">
        <ns0:f>IF(COUNTIFS(Cases!$B$2:$B$1859,A377,Cases!$Q$2:$Q$1859,1)&gt;0,1,0)</ns0:f>
        <ns0:v>1</ns0:v>
      </ns0:c>
      <ns0:c r="I377">
        <ns0:f>IF(COUNTIFS(Cases!$B$2:$B$1859,A377,Cases!$R$2:$R$1859,1)&gt;0,1,0)</ns0:f>
        <ns0:v>1</ns0:v>
      </ns0:c>
    </ns0:row>
    <ns0:row r="378">
      <ns0:c r="A378" t="inlineStr">
        <ns0:is>
          <ns0:t>function_0377</ns0:t>
        </ns0:is>
      </ns0:c>
      <ns0:c r="B378" t="inlineStr">
        <ns0:is>
          <ns0:t>run_013</ns0:t>
        </ns0:is>
      </ns0:c>
      <ns0:c r="C378" t="inlineStr">
        <ns0:is>
          <ns0:t>rand</ns0:t>
        </ns0:is>
      </ns0:c>
      <ns0:c r="D378" t="inlineStr">
        <ns0:is>
          <ns0:t>gemini-2.5-flash-nothinking</ns0:t>
        </ns0:is>
      </ns0:c>
      <ns0:c r="E378">
        <ns0:f>COUNTIF(Cases!$B$2:$B$1859,A378)</ns0:f>
        <ns0:v>1</ns0:v>
      </ns0:c>
      <ns0:c r="F378">
        <ns0:f>IF(COUNTIFS(Cases!$B$2:$B$1859,A378,Cases!$G$2:$G$1859,1)&gt;0,1,0)</ns0:f>
        <ns0:v>1</ns0:v>
      </ns0:c>
      <ns0:c r="G378">
        <ns0:f>IF(COUNTIFS(Cases!$B$2:$B$1859,A378,Cases!$L$2:$L$1859,1)&gt;0,1,0)</ns0:f>
        <ns0:v>1</ns0:v>
      </ns0:c>
      <ns0:c r="H378">
        <ns0:f>IF(COUNTIFS(Cases!$B$2:$B$1859,A378,Cases!$Q$2:$Q$1859,1)&gt;0,1,0)</ns0:f>
        <ns0:v>0</ns0:v>
      </ns0:c>
      <ns0:c r="I378">
        <ns0:f>IF(COUNTIFS(Cases!$B$2:$B$1859,A378,Cases!$R$2:$R$1859,1)&gt;0,1,0)</ns0:f>
        <ns0:v>1</ns0:v>
      </ns0:c>
    </ns0:row>
    <ns0:row r="379">
      <ns0:c r="A379" t="inlineStr">
        <ns0:is>
          <ns0:t>function_0378</ns0:t>
        </ns0:is>
      </ns0:c>
      <ns0:c r="B379" t="inlineStr">
        <ns0:is>
          <ns0:t>run_013</ns0:t>
        </ns0:is>
      </ns0:c>
      <ns0:c r="C379" t="inlineStr">
        <ns0:is>
          <ns0:t>rand</ns0:t>
        </ns0:is>
      </ns0:c>
      <ns0:c r="D379" t="inlineStr">
        <ns0:is>
          <ns0:t>gemini-2.5-flash-nothinking</ns0:t>
        </ns0:is>
      </ns0:c>
      <ns0:c r="E379">
        <ns0:f>COUNTIF(Cases!$B$2:$B$1859,A379)</ns0:f>
        <ns0:v>1</ns0:v>
      </ns0:c>
      <ns0:c r="F379">
        <ns0:f>IF(COUNTIFS(Cases!$B$2:$B$1859,A379,Cases!$G$2:$G$1859,1)&gt;0,1,0)</ns0:f>
        <ns0:v>1</ns0:v>
      </ns0:c>
      <ns0:c r="G379">
        <ns0:f>IF(COUNTIFS(Cases!$B$2:$B$1859,A379,Cases!$L$2:$L$1859,1)&gt;0,1,0)</ns0:f>
        <ns0:v>1</ns0:v>
      </ns0:c>
      <ns0:c r="H379">
        <ns0:f>IF(COUNTIFS(Cases!$B$2:$B$1859,A379,Cases!$Q$2:$Q$1859,1)&gt;0,1,0)</ns0:f>
        <ns0:v>1</ns0:v>
      </ns0:c>
      <ns0:c r="I379">
        <ns0:f>IF(COUNTIFS(Cases!$B$2:$B$1859,A379,Cases!$R$2:$R$1859,1)&gt;0,1,0)</ns0:f>
        <ns0:v>1</ns0:v>
      </ns0:c>
    </ns0:row>
    <ns0:row r="380">
      <ns0:c r="A380" t="inlineStr">
        <ns0:is>
          <ns0:t>function_0379</ns0:t>
        </ns0:is>
      </ns0:c>
      <ns0:c r="B380" t="inlineStr">
        <ns0:is>
          <ns0:t>run_013</ns0:t>
        </ns0:is>
      </ns0:c>
      <ns0:c r="C380" t="inlineStr">
        <ns0:is>
          <ns0:t>rand</ns0:t>
        </ns0:is>
      </ns0:c>
      <ns0:c r="D380" t="inlineStr">
        <ns0:is>
          <ns0:t>gemini-2.5-flash-nothinking</ns0:t>
        </ns0:is>
      </ns0:c>
      <ns0:c r="E380">
        <ns0:f>COUNTIF(Cases!$B$2:$B$1859,A380)</ns0:f>
        <ns0:v>1</ns0:v>
      </ns0:c>
      <ns0:c r="F380">
        <ns0:f>IF(COUNTIFS(Cases!$B$2:$B$1859,A380,Cases!$G$2:$G$1859,1)&gt;0,1,0)</ns0:f>
        <ns0:v>1</ns0:v>
      </ns0:c>
      <ns0:c r="G380">
        <ns0:f>IF(COUNTIFS(Cases!$B$2:$B$1859,A380,Cases!$L$2:$L$1859,1)&gt;0,1,0)</ns0:f>
        <ns0:v>1</ns0:v>
      </ns0:c>
      <ns0:c r="H380">
        <ns0:f>IF(COUNTIFS(Cases!$B$2:$B$1859,A380,Cases!$Q$2:$Q$1859,1)&gt;0,1,0)</ns0:f>
        <ns0:v>0</ns0:v>
      </ns0:c>
      <ns0:c r="I380">
        <ns0:f>IF(COUNTIFS(Cases!$B$2:$B$1859,A380,Cases!$R$2:$R$1859,1)&gt;0,1,0)</ns0:f>
        <ns0:v>0</ns0:v>
      </ns0:c>
    </ns0:row>
    <ns0:row r="381">
      <ns0:c r="A381" t="inlineStr">
        <ns0:is>
          <ns0:t>function_0380</ns0:t>
        </ns0:is>
      </ns0:c>
      <ns0:c r="B381" t="inlineStr">
        <ns0:is>
          <ns0:t>run_013</ns0:t>
        </ns0:is>
      </ns0:c>
      <ns0:c r="C381" t="inlineStr">
        <ns0:is>
          <ns0:t>rand</ns0:t>
        </ns0:is>
      </ns0:c>
      <ns0:c r="D381" t="inlineStr">
        <ns0:is>
          <ns0:t>gemini-2.5-flash-nothinking</ns0:t>
        </ns0:is>
      </ns0:c>
      <ns0:c r="E381">
        <ns0:f>COUNTIF(Cases!$B$2:$B$1859,A381)</ns0:f>
        <ns0:v>1</ns0:v>
      </ns0:c>
      <ns0:c r="F381">
        <ns0:f>IF(COUNTIFS(Cases!$B$2:$B$1859,A381,Cases!$G$2:$G$1859,1)&gt;0,1,0)</ns0:f>
        <ns0:v>1</ns0:v>
      </ns0:c>
      <ns0:c r="G381">
        <ns0:f>IF(COUNTIFS(Cases!$B$2:$B$1859,A381,Cases!$L$2:$L$1859,1)&gt;0,1,0)</ns0:f>
        <ns0:v>1</ns0:v>
      </ns0:c>
      <ns0:c r="H381">
        <ns0:f>IF(COUNTIFS(Cases!$B$2:$B$1859,A381,Cases!$Q$2:$Q$1859,1)&gt;0,1,0)</ns0:f>
        <ns0:v>1</ns0:v>
      </ns0:c>
      <ns0:c r="I381">
        <ns0:f>IF(COUNTIFS(Cases!$B$2:$B$1859,A381,Cases!$R$2:$R$1859,1)&gt;0,1,0)</ns0:f>
        <ns0:v>1</ns0:v>
      </ns0:c>
    </ns0:row>
    <ns0:row r="382">
      <ns0:c r="A382" t="inlineStr">
        <ns0:is>
          <ns0:t>function_0381</ns0:t>
        </ns0:is>
      </ns0:c>
      <ns0:c r="B382" t="inlineStr">
        <ns0:is>
          <ns0:t>run_013</ns0:t>
        </ns0:is>
      </ns0:c>
      <ns0:c r="C382" t="inlineStr">
        <ns0:is>
          <ns0:t>rand</ns0:t>
        </ns0:is>
      </ns0:c>
      <ns0:c r="D382" t="inlineStr">
        <ns0:is>
          <ns0:t>gemini-2.5-flash-nothinking</ns0:t>
        </ns0:is>
      </ns0:c>
      <ns0:c r="E382">
        <ns0:f>COUNTIF(Cases!$B$2:$B$1859,A382)</ns0:f>
        <ns0:v>1</ns0:v>
      </ns0:c>
      <ns0:c r="F382">
        <ns0:f>IF(COUNTIFS(Cases!$B$2:$B$1859,A382,Cases!$G$2:$G$1859,1)&gt;0,1,0)</ns0:f>
        <ns0:v>1</ns0:v>
      </ns0:c>
      <ns0:c r="G382">
        <ns0:f>IF(COUNTIFS(Cases!$B$2:$B$1859,A382,Cases!$L$2:$L$1859,1)&gt;0,1,0)</ns0:f>
        <ns0:v>1</ns0:v>
      </ns0:c>
      <ns0:c r="H382">
        <ns0:f>IF(COUNTIFS(Cases!$B$2:$B$1859,A382,Cases!$Q$2:$Q$1859,1)&gt;0,1,0)</ns0:f>
        <ns0:v>1</ns0:v>
      </ns0:c>
      <ns0:c r="I382">
        <ns0:f>IF(COUNTIFS(Cases!$B$2:$B$1859,A382,Cases!$R$2:$R$1859,1)&gt;0,1,0)</ns0:f>
        <ns0:v>1</ns0:v>
      </ns0:c>
    </ns0:row>
    <ns0:row r="383">
      <ns0:c r="A383" t="inlineStr">
        <ns0:is>
          <ns0:t>function_0382</ns0:t>
        </ns0:is>
      </ns0:c>
      <ns0:c r="B383" t="inlineStr">
        <ns0:is>
          <ns0:t>run_013</ns0:t>
        </ns0:is>
      </ns0:c>
      <ns0:c r="C383" t="inlineStr">
        <ns0:is>
          <ns0:t>rand</ns0:t>
        </ns0:is>
      </ns0:c>
      <ns0:c r="D383" t="inlineStr">
        <ns0:is>
          <ns0:t>gemini-2.5-flash-nothinking</ns0:t>
        </ns0:is>
      </ns0:c>
      <ns0:c r="E383">
        <ns0:f>COUNTIF(Cases!$B$2:$B$1859,A383)</ns0:f>
        <ns0:v>2</ns0:v>
      </ns0:c>
      <ns0:c r="F383">
        <ns0:f>IF(COUNTIFS(Cases!$B$2:$B$1859,A383,Cases!$G$2:$G$1859,1)&gt;0,1,0)</ns0:f>
        <ns0:v>1</ns0:v>
      </ns0:c>
      <ns0:c r="G383">
        <ns0:f>IF(COUNTIFS(Cases!$B$2:$B$1859,A383,Cases!$L$2:$L$1859,1)&gt;0,1,0)</ns0:f>
        <ns0:v>1</ns0:v>
      </ns0:c>
      <ns0:c r="H383">
        <ns0:f>IF(COUNTIFS(Cases!$B$2:$B$1859,A383,Cases!$Q$2:$Q$1859,1)&gt;0,1,0)</ns0:f>
        <ns0:v>0</ns0:v>
      </ns0:c>
      <ns0:c r="I383">
        <ns0:f>IF(COUNTIFS(Cases!$B$2:$B$1859,A383,Cases!$R$2:$R$1859,1)&gt;0,1,0)</ns0:f>
        <ns0:v>0</ns0:v>
      </ns0:c>
    </ns0:row>
    <ns0:row r="384">
      <ns0:c r="A384" t="inlineStr">
        <ns0:is>
          <ns0:t>function_0383</ns0:t>
        </ns0:is>
      </ns0:c>
      <ns0:c r="B384" t="inlineStr">
        <ns0:is>
          <ns0:t>run_013</ns0:t>
        </ns0:is>
      </ns0:c>
      <ns0:c r="C384" t="inlineStr">
        <ns0:is>
          <ns0:t>rand</ns0:t>
        </ns0:is>
      </ns0:c>
      <ns0:c r="D384" t="inlineStr">
        <ns0:is>
          <ns0:t>gemini-2.5-flash-nothinking</ns0:t>
        </ns0:is>
      </ns0:c>
      <ns0:c r="E384">
        <ns0:f>COUNTIF(Cases!$B$2:$B$1859,A384)</ns0:f>
        <ns0:v>2</ns0:v>
      </ns0:c>
      <ns0:c r="F384">
        <ns0:f>IF(COUNTIFS(Cases!$B$2:$B$1859,A384,Cases!$G$2:$G$1859,1)&gt;0,1,0)</ns0:f>
        <ns0:v>0</ns0:v>
      </ns0:c>
      <ns0:c r="G384">
        <ns0:f>IF(COUNTIFS(Cases!$B$2:$B$1859,A384,Cases!$L$2:$L$1859,1)&gt;0,1,0)</ns0:f>
        <ns0:v>0</ns0:v>
      </ns0:c>
      <ns0:c r="H384">
        <ns0:f>IF(COUNTIFS(Cases!$B$2:$B$1859,A384,Cases!$Q$2:$Q$1859,1)&gt;0,1,0)</ns0:f>
        <ns0:v>0</ns0:v>
      </ns0:c>
      <ns0:c r="I384">
        <ns0:f>IF(COUNTIFS(Cases!$B$2:$B$1859,A384,Cases!$R$2:$R$1859,1)&gt;0,1,0)</ns0:f>
        <ns0:v>0</ns0:v>
      </ns0:c>
    </ns0:row>
    <ns0:row r="385">
      <ns0:c r="A385" t="inlineStr">
        <ns0:is>
          <ns0:t>function_0384</ns0:t>
        </ns0:is>
      </ns0:c>
      <ns0:c r="B385" t="inlineStr">
        <ns0:is>
          <ns0:t>run_013</ns0:t>
        </ns0:is>
      </ns0:c>
      <ns0:c r="C385" t="inlineStr">
        <ns0:is>
          <ns0:t>rand</ns0:t>
        </ns0:is>
      </ns0:c>
      <ns0:c r="D385" t="inlineStr">
        <ns0:is>
          <ns0:t>gemini-2.5-flash-nothinking</ns0:t>
        </ns0:is>
      </ns0:c>
      <ns0:c r="E385">
        <ns0:f>COUNTIF(Cases!$B$2:$B$1859,A385)</ns0:f>
        <ns0:v>2</ns0:v>
      </ns0:c>
      <ns0:c r="F385">
        <ns0:f>IF(COUNTIFS(Cases!$B$2:$B$1859,A385,Cases!$G$2:$G$1859,1)&gt;0,1,0)</ns0:f>
        <ns0:v>0</ns0:v>
      </ns0:c>
      <ns0:c r="G385">
        <ns0:f>IF(COUNTIFS(Cases!$B$2:$B$1859,A385,Cases!$L$2:$L$1859,1)&gt;0,1,0)</ns0:f>
        <ns0:v>1</ns0:v>
      </ns0:c>
      <ns0:c r="H385">
        <ns0:f>IF(COUNTIFS(Cases!$B$2:$B$1859,A385,Cases!$Q$2:$Q$1859,1)&gt;0,1,0)</ns0:f>
        <ns0:v>0</ns0:v>
      </ns0:c>
      <ns0:c r="I385">
        <ns0:f>IF(COUNTIFS(Cases!$B$2:$B$1859,A385,Cases!$R$2:$R$1859,1)&gt;0,1,0)</ns0:f>
        <ns0:v>0</ns0:v>
      </ns0:c>
    </ns0:row>
    <ns0:row r="386">
      <ns0:c r="A386" t="inlineStr">
        <ns0:is>
          <ns0:t>function_0385</ns0:t>
        </ns0:is>
      </ns0:c>
      <ns0:c r="B386" t="inlineStr">
        <ns0:is>
          <ns0:t>run_013</ns0:t>
        </ns0:is>
      </ns0:c>
      <ns0:c r="C386" t="inlineStr">
        <ns0:is>
          <ns0:t>rand</ns0:t>
        </ns0:is>
      </ns0:c>
      <ns0:c r="D386" t="inlineStr">
        <ns0:is>
          <ns0:t>gemini-2.5-flash-nothinking</ns0:t>
        </ns0:is>
      </ns0:c>
      <ns0:c r="E386">
        <ns0:f>COUNTIF(Cases!$B$2:$B$1859,A386)</ns0:f>
        <ns0:v>2</ns0:v>
      </ns0:c>
      <ns0:c r="F386">
        <ns0:f>IF(COUNTIFS(Cases!$B$2:$B$1859,A386,Cases!$G$2:$G$1859,1)&gt;0,1,0)</ns0:f>
        <ns0:v>0</ns0:v>
      </ns0:c>
      <ns0:c r="G386">
        <ns0:f>IF(COUNTIFS(Cases!$B$2:$B$1859,A386,Cases!$L$2:$L$1859,1)&gt;0,1,0)</ns0:f>
        <ns0:v>1</ns0:v>
      </ns0:c>
      <ns0:c r="H386">
        <ns0:f>IF(COUNTIFS(Cases!$B$2:$B$1859,A386,Cases!$Q$2:$Q$1859,1)&gt;0,1,0)</ns0:f>
        <ns0:v>0</ns0:v>
      </ns0:c>
      <ns0:c r="I386">
        <ns0:f>IF(COUNTIFS(Cases!$B$2:$B$1859,A386,Cases!$R$2:$R$1859,1)&gt;0,1,0)</ns0:f>
        <ns0:v>1</ns0:v>
      </ns0:c>
    </ns0:row>
    <ns0:row r="387">
      <ns0:c r="A387" t="inlineStr">
        <ns0:is>
          <ns0:t>function_0386</ns0:t>
        </ns0:is>
      </ns0:c>
      <ns0:c r="B387" t="inlineStr">
        <ns0:is>
          <ns0:t>run_013</ns0:t>
        </ns0:is>
      </ns0:c>
      <ns0:c r="C387" t="inlineStr">
        <ns0:is>
          <ns0:t>rand</ns0:t>
        </ns0:is>
      </ns0:c>
      <ns0:c r="D387" t="inlineStr">
        <ns0:is>
          <ns0:t>gemini-2.5-flash-nothinking</ns0:t>
        </ns0:is>
      </ns0:c>
      <ns0:c r="E387">
        <ns0:f>COUNTIF(Cases!$B$2:$B$1859,A387)</ns0:f>
        <ns0:v>1</ns0:v>
      </ns0:c>
      <ns0:c r="F387">
        <ns0:f>IF(COUNTIFS(Cases!$B$2:$B$1859,A387,Cases!$G$2:$G$1859,1)&gt;0,1,0)</ns0:f>
        <ns0:v>1</ns0:v>
      </ns0:c>
      <ns0:c r="G387">
        <ns0:f>IF(COUNTIFS(Cases!$B$2:$B$1859,A387,Cases!$L$2:$L$1859,1)&gt;0,1,0)</ns0:f>
        <ns0:v>1</ns0:v>
      </ns0:c>
      <ns0:c r="H387">
        <ns0:f>IF(COUNTIFS(Cases!$B$2:$B$1859,A387,Cases!$Q$2:$Q$1859,1)&gt;0,1,0)</ns0:f>
        <ns0:v>0</ns0:v>
      </ns0:c>
      <ns0:c r="I387">
        <ns0:f>IF(COUNTIFS(Cases!$B$2:$B$1859,A387,Cases!$R$2:$R$1859,1)&gt;0,1,0)</ns0:f>
        <ns0:v>1</ns0:v>
      </ns0:c>
    </ns0:row>
    <ns0:row r="388">
      <ns0:c r="A388" t="inlineStr">
        <ns0:is>
          <ns0:t>function_0387</ns0:t>
        </ns0:is>
      </ns0:c>
      <ns0:c r="B388" t="inlineStr">
        <ns0:is>
          <ns0:t>run_013</ns0:t>
        </ns0:is>
      </ns0:c>
      <ns0:c r="C388" t="inlineStr">
        <ns0:is>
          <ns0:t>rand</ns0:t>
        </ns0:is>
      </ns0:c>
      <ns0:c r="D388" t="inlineStr">
        <ns0:is>
          <ns0:t>gemini-2.5-flash-nothinking</ns0:t>
        </ns0:is>
      </ns0:c>
      <ns0:c r="E388">
        <ns0:f>COUNTIF(Cases!$B$2:$B$1859,A388)</ns0:f>
        <ns0:v>1</ns0:v>
      </ns0:c>
      <ns0:c r="F388">
        <ns0:f>IF(COUNTIFS(Cases!$B$2:$B$1859,A388,Cases!$G$2:$G$1859,1)&gt;0,1,0)</ns0:f>
        <ns0:v>1</ns0:v>
      </ns0:c>
      <ns0:c r="G388">
        <ns0:f>IF(COUNTIFS(Cases!$B$2:$B$1859,A388,Cases!$L$2:$L$1859,1)&gt;0,1,0)</ns0:f>
        <ns0:v>1</ns0:v>
      </ns0:c>
      <ns0:c r="H388">
        <ns0:f>IF(COUNTIFS(Cases!$B$2:$B$1859,A388,Cases!$Q$2:$Q$1859,1)&gt;0,1,0)</ns0:f>
        <ns0:v>0</ns0:v>
      </ns0:c>
      <ns0:c r="I388">
        <ns0:f>IF(COUNTIFS(Cases!$B$2:$B$1859,A388,Cases!$R$2:$R$1859,1)&gt;0,1,0)</ns0:f>
        <ns0:v>1</ns0:v>
      </ns0:c>
    </ns0:row>
    <ns0:row r="389">
      <ns0:c r="A389" t="inlineStr">
        <ns0:is>
          <ns0:t>function_0388</ns0:t>
        </ns0:is>
      </ns0:c>
      <ns0:c r="B389" t="inlineStr">
        <ns0:is>
          <ns0:t>run_013</ns0:t>
        </ns0:is>
      </ns0:c>
      <ns0:c r="C389" t="inlineStr">
        <ns0:is>
          <ns0:t>rand</ns0:t>
        </ns0:is>
      </ns0:c>
      <ns0:c r="D389" t="inlineStr">
        <ns0:is>
          <ns0:t>gemini-2.5-flash-nothinking</ns0:t>
        </ns0:is>
      </ns0:c>
      <ns0:c r="E389">
        <ns0:f>COUNTIF(Cases!$B$2:$B$1859,A389)</ns0:f>
        <ns0:v>2</ns0:v>
      </ns0:c>
      <ns0:c r="F389">
        <ns0:f>IF(COUNTIFS(Cases!$B$2:$B$1859,A389,Cases!$G$2:$G$1859,1)&gt;0,1,0)</ns0:f>
        <ns0:v>0</ns0:v>
      </ns0:c>
      <ns0:c r="G389">
        <ns0:f>IF(COUNTIFS(Cases!$B$2:$B$1859,A389,Cases!$L$2:$L$1859,1)&gt;0,1,0)</ns0:f>
        <ns0:v>1</ns0:v>
      </ns0:c>
      <ns0:c r="H389">
        <ns0:f>IF(COUNTIFS(Cases!$B$2:$B$1859,A389,Cases!$Q$2:$Q$1859,1)&gt;0,1,0)</ns0:f>
        <ns0:v>0</ns0:v>
      </ns0:c>
      <ns0:c r="I389">
        <ns0:f>IF(COUNTIFS(Cases!$B$2:$B$1859,A389,Cases!$R$2:$R$1859,1)&gt;0,1,0)</ns0:f>
        <ns0:v>1</ns0:v>
      </ns0:c>
    </ns0:row>
    <ns0:row r="390">
      <ns0:c r="A390" t="inlineStr">
        <ns0:is>
          <ns0:t>function_0389</ns0:t>
        </ns0:is>
      </ns0:c>
      <ns0:c r="B390" t="inlineStr">
        <ns0:is>
          <ns0:t>run_013</ns0:t>
        </ns0:is>
      </ns0:c>
      <ns0:c r="C390" t="inlineStr">
        <ns0:is>
          <ns0:t>rand</ns0:t>
        </ns0:is>
      </ns0:c>
      <ns0:c r="D390" t="inlineStr">
        <ns0:is>
          <ns0:t>gemini-2.5-flash-nothinking</ns0:t>
        </ns0:is>
      </ns0:c>
      <ns0:c r="E390">
        <ns0:f>COUNTIF(Cases!$B$2:$B$1859,A390)</ns0:f>
        <ns0:v>1</ns0:v>
      </ns0:c>
      <ns0:c r="F390">
        <ns0:f>IF(COUNTIFS(Cases!$B$2:$B$1859,A390,Cases!$G$2:$G$1859,1)&gt;0,1,0)</ns0:f>
        <ns0:v>1</ns0:v>
      </ns0:c>
      <ns0:c r="G390">
        <ns0:f>IF(COUNTIFS(Cases!$B$2:$B$1859,A390,Cases!$L$2:$L$1859,1)&gt;0,1,0)</ns0:f>
        <ns0:v>1</ns0:v>
      </ns0:c>
      <ns0:c r="H390">
        <ns0:f>IF(COUNTIFS(Cases!$B$2:$B$1859,A390,Cases!$Q$2:$Q$1859,1)&gt;0,1,0)</ns0:f>
        <ns0:v>1</ns0:v>
      </ns0:c>
      <ns0:c r="I390">
        <ns0:f>IF(COUNTIFS(Cases!$B$2:$B$1859,A390,Cases!$R$2:$R$1859,1)&gt;0,1,0)</ns0:f>
        <ns0:v>1</ns0:v>
      </ns0:c>
    </ns0:row>
    <ns0:row r="391">
      <ns0:c r="A391" t="inlineStr">
        <ns0:is>
          <ns0:t>function_0390</ns0:t>
        </ns0:is>
      </ns0:c>
      <ns0:c r="B391" t="inlineStr">
        <ns0:is>
          <ns0:t>run_013</ns0:t>
        </ns0:is>
      </ns0:c>
      <ns0:c r="C391" t="inlineStr">
        <ns0:is>
          <ns0:t>rand</ns0:t>
        </ns0:is>
      </ns0:c>
      <ns0:c r="D391" t="inlineStr">
        <ns0:is>
          <ns0:t>gemini-2.5-flash-nothinking</ns0:t>
        </ns0:is>
      </ns0:c>
      <ns0:c r="E391">
        <ns0:f>COUNTIF(Cases!$B$2:$B$1859,A391)</ns0:f>
        <ns0:v>2</ns0:v>
      </ns0:c>
      <ns0:c r="F391">
        <ns0:f>IF(COUNTIFS(Cases!$B$2:$B$1859,A391,Cases!$G$2:$G$1859,1)&gt;0,1,0)</ns0:f>
        <ns0:v>0</ns0:v>
      </ns0:c>
      <ns0:c r="G391">
        <ns0:f>IF(COUNTIFS(Cases!$B$2:$B$1859,A391,Cases!$L$2:$L$1859,1)&gt;0,1,0)</ns0:f>
        <ns0:v>1</ns0:v>
      </ns0:c>
      <ns0:c r="H391">
        <ns0:f>IF(COUNTIFS(Cases!$B$2:$B$1859,A391,Cases!$Q$2:$Q$1859,1)&gt;0,1,0)</ns0:f>
        <ns0:v>0</ns0:v>
      </ns0:c>
      <ns0:c r="I391">
        <ns0:f>IF(COUNTIFS(Cases!$B$2:$B$1859,A391,Cases!$R$2:$R$1859,1)&gt;0,1,0)</ns0:f>
        <ns0:v>1</ns0:v>
      </ns0:c>
    </ns0:row>
    <ns0:row r="392">
      <ns0:c r="A392" t="inlineStr">
        <ns0:is>
          <ns0:t>function_0391</ns0:t>
        </ns0:is>
      </ns0:c>
      <ns0:c r="B392" t="inlineStr">
        <ns0:is>
          <ns0:t>run_013</ns0:t>
        </ns0:is>
      </ns0:c>
      <ns0:c r="C392" t="inlineStr">
        <ns0:is>
          <ns0:t>rand</ns0:t>
        </ns0:is>
      </ns0:c>
      <ns0:c r="D392" t="inlineStr">
        <ns0:is>
          <ns0:t>gemini-2.5-flash-nothinking</ns0:t>
        </ns0:is>
      </ns0:c>
      <ns0:c r="E392">
        <ns0:f>COUNTIF(Cases!$B$2:$B$1859,A392)</ns0:f>
        <ns0:v>2</ns0:v>
      </ns0:c>
      <ns0:c r="F392">
        <ns0:f>IF(COUNTIFS(Cases!$B$2:$B$1859,A392,Cases!$G$2:$G$1859,1)&gt;0,1,0)</ns0:f>
        <ns0:v>1</ns0:v>
      </ns0:c>
      <ns0:c r="G392">
        <ns0:f>IF(COUNTIFS(Cases!$B$2:$B$1859,A392,Cases!$L$2:$L$1859,1)&gt;0,1,0)</ns0:f>
        <ns0:v>1</ns0:v>
      </ns0:c>
      <ns0:c r="H392">
        <ns0:f>IF(COUNTIFS(Cases!$B$2:$B$1859,A392,Cases!$Q$2:$Q$1859,1)&gt;0,1,0)</ns0:f>
        <ns0:v>1</ns0:v>
      </ns0:c>
      <ns0:c r="I392">
        <ns0:f>IF(COUNTIFS(Cases!$B$2:$B$1859,A392,Cases!$R$2:$R$1859,1)&gt;0,1,0)</ns0:f>
        <ns0:v>1</ns0:v>
      </ns0:c>
    </ns0:row>
    <ns0:row r="393">
      <ns0:c r="A393" t="inlineStr">
        <ns0:is>
          <ns0:t>function_0392</ns0:t>
        </ns0:is>
      </ns0:c>
      <ns0:c r="B393" t="inlineStr">
        <ns0:is>
          <ns0:t>run_013</ns0:t>
        </ns0:is>
      </ns0:c>
      <ns0:c r="C393" t="inlineStr">
        <ns0:is>
          <ns0:t>rand</ns0:t>
        </ns0:is>
      </ns0:c>
      <ns0:c r="D393" t="inlineStr">
        <ns0:is>
          <ns0:t>gemini-2.5-flash-nothinking</ns0:t>
        </ns0:is>
      </ns0:c>
      <ns0:c r="E393">
        <ns0:f>COUNTIF(Cases!$B$2:$B$1859,A393)</ns0:f>
        <ns0:v>2</ns0:v>
      </ns0:c>
      <ns0:c r="F393">
        <ns0:f>IF(COUNTIFS(Cases!$B$2:$B$1859,A393,Cases!$G$2:$G$1859,1)&gt;0,1,0)</ns0:f>
        <ns0:v>1</ns0:v>
      </ns0:c>
      <ns0:c r="G393">
        <ns0:f>IF(COUNTIFS(Cases!$B$2:$B$1859,A393,Cases!$L$2:$L$1859,1)&gt;0,1,0)</ns0:f>
        <ns0:v>1</ns0:v>
      </ns0:c>
      <ns0:c r="H393">
        <ns0:f>IF(COUNTIFS(Cases!$B$2:$B$1859,A393,Cases!$Q$2:$Q$1859,1)&gt;0,1,0)</ns0:f>
        <ns0:v>1</ns0:v>
      </ns0:c>
      <ns0:c r="I393">
        <ns0:f>IF(COUNTIFS(Cases!$B$2:$B$1859,A393,Cases!$R$2:$R$1859,1)&gt;0,1,0)</ns0:f>
        <ns0:v>1</ns0:v>
      </ns0:c>
    </ns0:row>
    <ns0:row r="394">
      <ns0:c r="A394" t="inlineStr">
        <ns0:is>
          <ns0:t>function_0393</ns0:t>
        </ns0:is>
      </ns0:c>
      <ns0:c r="B394" t="inlineStr">
        <ns0:is>
          <ns0:t>run_013</ns0:t>
        </ns0:is>
      </ns0:c>
      <ns0:c r="C394" t="inlineStr">
        <ns0:is>
          <ns0:t>rand</ns0:t>
        </ns0:is>
      </ns0:c>
      <ns0:c r="D394" t="inlineStr">
        <ns0:is>
          <ns0:t>gemini-2.5-flash-nothinking</ns0:t>
        </ns0:is>
      </ns0:c>
      <ns0:c r="E394">
        <ns0:f>COUNTIF(Cases!$B$2:$B$1859,A394)</ns0:f>
        <ns0:v>2</ns0:v>
      </ns0:c>
      <ns0:c r="F394">
        <ns0:f>IF(COUNTIFS(Cases!$B$2:$B$1859,A394,Cases!$G$2:$G$1859,1)&gt;0,1,0)</ns0:f>
        <ns0:v>0</ns0:v>
      </ns0:c>
      <ns0:c r="G394">
        <ns0:f>IF(COUNTIFS(Cases!$B$2:$B$1859,A394,Cases!$L$2:$L$1859,1)&gt;0,1,0)</ns0:f>
        <ns0:v>0</ns0:v>
      </ns0:c>
      <ns0:c r="H394">
        <ns0:f>IF(COUNTIFS(Cases!$B$2:$B$1859,A394,Cases!$Q$2:$Q$1859,1)&gt;0,1,0)</ns0:f>
        <ns0:v>0</ns0:v>
      </ns0:c>
      <ns0:c r="I394">
        <ns0:f>IF(COUNTIFS(Cases!$B$2:$B$1859,A394,Cases!$R$2:$R$1859,1)&gt;0,1,0)</ns0:f>
        <ns0:v>0</ns0:v>
      </ns0:c>
    </ns0:row>
    <ns0:row r="395">
      <ns0:c r="A395" t="inlineStr">
        <ns0:is>
          <ns0:t>function_0394</ns0:t>
        </ns0:is>
      </ns0:c>
      <ns0:c r="B395" t="inlineStr">
        <ns0:is>
          <ns0:t>run_013</ns0:t>
        </ns0:is>
      </ns0:c>
      <ns0:c r="C395" t="inlineStr">
        <ns0:is>
          <ns0:t>rand</ns0:t>
        </ns0:is>
      </ns0:c>
      <ns0:c r="D395" t="inlineStr">
        <ns0:is>
          <ns0:t>gemini-2.5-flash-nothinking</ns0:t>
        </ns0:is>
      </ns0:c>
      <ns0:c r="E395">
        <ns0:f>COUNTIF(Cases!$B$2:$B$1859,A395)</ns0:f>
        <ns0:v>2</ns0:v>
      </ns0:c>
      <ns0:c r="F395">
        <ns0:f>IF(COUNTIFS(Cases!$B$2:$B$1859,A395,Cases!$G$2:$G$1859,1)&gt;0,1,0)</ns0:f>
        <ns0:v>0</ns0:v>
      </ns0:c>
      <ns0:c r="G395">
        <ns0:f>IF(COUNTIFS(Cases!$B$2:$B$1859,A395,Cases!$L$2:$L$1859,1)&gt;0,1,0)</ns0:f>
        <ns0:v>0</ns0:v>
      </ns0:c>
      <ns0:c r="H395">
        <ns0:f>IF(COUNTIFS(Cases!$B$2:$B$1859,A395,Cases!$Q$2:$Q$1859,1)&gt;0,1,0)</ns0:f>
        <ns0:v>0</ns0:v>
      </ns0:c>
      <ns0:c r="I395">
        <ns0:f>IF(COUNTIFS(Cases!$B$2:$B$1859,A395,Cases!$R$2:$R$1859,1)&gt;0,1,0)</ns0:f>
        <ns0:v>0</ns0:v>
      </ns0:c>
    </ns0:row>
    <ns0:row r="396">
      <ns0:c r="A396" t="inlineStr">
        <ns0:is>
          <ns0:t>function_0395</ns0:t>
        </ns0:is>
      </ns0:c>
      <ns0:c r="B396" t="inlineStr">
        <ns0:is>
          <ns0:t>run_013</ns0:t>
        </ns0:is>
      </ns0:c>
      <ns0:c r="C396" t="inlineStr">
        <ns0:is>
          <ns0:t>rand</ns0:t>
        </ns0:is>
      </ns0:c>
      <ns0:c r="D396" t="inlineStr">
        <ns0:is>
          <ns0:t>gemini-2.5-flash-nothinking</ns0:t>
        </ns0:is>
      </ns0:c>
      <ns0:c r="E396">
        <ns0:f>COUNTIF(Cases!$B$2:$B$1859,A396)</ns0:f>
        <ns0:v>2</ns0:v>
      </ns0:c>
      <ns0:c r="F396">
        <ns0:f>IF(COUNTIFS(Cases!$B$2:$B$1859,A396,Cases!$G$2:$G$1859,1)&gt;0,1,0)</ns0:f>
        <ns0:v>1</ns0:v>
      </ns0:c>
      <ns0:c r="G396">
        <ns0:f>IF(COUNTIFS(Cases!$B$2:$B$1859,A396,Cases!$L$2:$L$1859,1)&gt;0,1,0)</ns0:f>
        <ns0:v>0</ns0:v>
      </ns0:c>
      <ns0:c r="H396">
        <ns0:f>IF(COUNTIFS(Cases!$B$2:$B$1859,A396,Cases!$Q$2:$Q$1859,1)&gt;0,1,0)</ns0:f>
        <ns0:v>0</ns0:v>
      </ns0:c>
      <ns0:c r="I396">
        <ns0:f>IF(COUNTIFS(Cases!$B$2:$B$1859,A396,Cases!$R$2:$R$1859,1)&gt;0,1,0)</ns0:f>
        <ns0:v>0</ns0:v>
      </ns0:c>
    </ns0:row>
    <ns0:row r="397">
      <ns0:c r="A397" t="inlineStr">
        <ns0:is>
          <ns0:t>function_0396</ns0:t>
        </ns0:is>
      </ns0:c>
      <ns0:c r="B397" t="inlineStr">
        <ns0:is>
          <ns0:t>run_013</ns0:t>
        </ns0:is>
      </ns0:c>
      <ns0:c r="C397" t="inlineStr">
        <ns0:is>
          <ns0:t>rand</ns0:t>
        </ns0:is>
      </ns0:c>
      <ns0:c r="D397" t="inlineStr">
        <ns0:is>
          <ns0:t>gemini-2.5-flash-nothinking</ns0:t>
        </ns0:is>
      </ns0:c>
      <ns0:c r="E397">
        <ns0:f>COUNTIF(Cases!$B$2:$B$1859,A397)</ns0:f>
        <ns0:v>1</ns0:v>
      </ns0:c>
      <ns0:c r="F397">
        <ns0:f>IF(COUNTIFS(Cases!$B$2:$B$1859,A397,Cases!$G$2:$G$1859,1)&gt;0,1,0)</ns0:f>
        <ns0:v>0</ns0:v>
      </ns0:c>
      <ns0:c r="G397">
        <ns0:f>IF(COUNTIFS(Cases!$B$2:$B$1859,A397,Cases!$L$2:$L$1859,1)&gt;0,1,0)</ns0:f>
        <ns0:v>1</ns0:v>
      </ns0:c>
      <ns0:c r="H397">
        <ns0:f>IF(COUNTIFS(Cases!$B$2:$B$1859,A397,Cases!$Q$2:$Q$1859,1)&gt;0,1,0)</ns0:f>
        <ns0:v>0</ns0:v>
      </ns0:c>
      <ns0:c r="I397">
        <ns0:f>IF(COUNTIFS(Cases!$B$2:$B$1859,A397,Cases!$R$2:$R$1859,1)&gt;0,1,0)</ns0:f>
        <ns0:v>0</ns0:v>
      </ns0:c>
    </ns0:row>
    <ns0:row r="398">
      <ns0:c r="A398" t="inlineStr">
        <ns0:is>
          <ns0:t>function_0397</ns0:t>
        </ns0:is>
      </ns0:c>
      <ns0:c r="B398" t="inlineStr">
        <ns0:is>
          <ns0:t>run_013</ns0:t>
        </ns0:is>
      </ns0:c>
      <ns0:c r="C398" t="inlineStr">
        <ns0:is>
          <ns0:t>rand</ns0:t>
        </ns0:is>
      </ns0:c>
      <ns0:c r="D398" t="inlineStr">
        <ns0:is>
          <ns0:t>gemini-2.5-flash-nothinking</ns0:t>
        </ns0:is>
      </ns0:c>
      <ns0:c r="E398">
        <ns0:f>COUNTIF(Cases!$B$2:$B$1859,A398)</ns0:f>
        <ns0:v>1</ns0:v>
      </ns0:c>
      <ns0:c r="F398">
        <ns0:f>IF(COUNTIFS(Cases!$B$2:$B$1859,A398,Cases!$G$2:$G$1859,1)&gt;0,1,0)</ns0:f>
        <ns0:v>0</ns0:v>
      </ns0:c>
      <ns0:c r="G398">
        <ns0:f>IF(COUNTIFS(Cases!$B$2:$B$1859,A398,Cases!$L$2:$L$1859,1)&gt;0,1,0)</ns0:f>
        <ns0:v>0</ns0:v>
      </ns0:c>
      <ns0:c r="H398">
        <ns0:f>IF(COUNTIFS(Cases!$B$2:$B$1859,A398,Cases!$Q$2:$Q$1859,1)&gt;0,1,0)</ns0:f>
        <ns0:v>0</ns0:v>
      </ns0:c>
      <ns0:c r="I398">
        <ns0:f>IF(COUNTIFS(Cases!$B$2:$B$1859,A398,Cases!$R$2:$R$1859,1)&gt;0,1,0)</ns0:f>
        <ns0:v>0</ns0:v>
      </ns0:c>
    </ns0:row>
    <ns0:row r="399">
      <ns0:c r="A399" t="inlineStr">
        <ns0:is>
          <ns0:t>function_0398</ns0:t>
        </ns0:is>
      </ns0:c>
      <ns0:c r="B399" t="inlineStr">
        <ns0:is>
          <ns0:t>run_013</ns0:t>
        </ns0:is>
      </ns0:c>
      <ns0:c r="C399" t="inlineStr">
        <ns0:is>
          <ns0:t>rand</ns0:t>
        </ns0:is>
      </ns0:c>
      <ns0:c r="D399" t="inlineStr">
        <ns0:is>
          <ns0:t>gemini-2.5-flash-nothinking</ns0:t>
        </ns0:is>
      </ns0:c>
      <ns0:c r="E399">
        <ns0:f>COUNTIF(Cases!$B$2:$B$1859,A399)</ns0:f>
        <ns0:v>1</ns0:v>
      </ns0:c>
      <ns0:c r="F399">
        <ns0:f>IF(COUNTIFS(Cases!$B$2:$B$1859,A399,Cases!$G$2:$G$1859,1)&gt;0,1,0)</ns0:f>
        <ns0:v>1</ns0:v>
      </ns0:c>
      <ns0:c r="G399">
        <ns0:f>IF(COUNTIFS(Cases!$B$2:$B$1859,A399,Cases!$L$2:$L$1859,1)&gt;0,1,0)</ns0:f>
        <ns0:v>1</ns0:v>
      </ns0:c>
      <ns0:c r="H399">
        <ns0:f>IF(COUNTIFS(Cases!$B$2:$B$1859,A399,Cases!$Q$2:$Q$1859,1)&gt;0,1,0)</ns0:f>
        <ns0:v>0</ns0:v>
      </ns0:c>
      <ns0:c r="I399">
        <ns0:f>IF(COUNTIFS(Cases!$B$2:$B$1859,A399,Cases!$R$2:$R$1859,1)&gt;0,1,0)</ns0:f>
        <ns0:v>0</ns0:v>
      </ns0:c>
    </ns0:row>
    <ns0:row r="400">
      <ns0:c r="A400" t="inlineStr">
        <ns0:is>
          <ns0:t>function_0399</ns0:t>
        </ns0:is>
      </ns0:c>
      <ns0:c r="B400" t="inlineStr">
        <ns0:is>
          <ns0:t>run_013</ns0:t>
        </ns0:is>
      </ns0:c>
      <ns0:c r="C400" t="inlineStr">
        <ns0:is>
          <ns0:t>rand</ns0:t>
        </ns0:is>
      </ns0:c>
      <ns0:c r="D400" t="inlineStr">
        <ns0:is>
          <ns0:t>gemini-2.5-flash-nothinking</ns0:t>
        </ns0:is>
      </ns0:c>
      <ns0:c r="E400">
        <ns0:f>COUNTIF(Cases!$B$2:$B$1859,A400)</ns0:f>
        <ns0:v>2</ns0:v>
      </ns0:c>
      <ns0:c r="F400">
        <ns0:f>IF(COUNTIFS(Cases!$B$2:$B$1859,A400,Cases!$G$2:$G$1859,1)&gt;0,1,0)</ns0:f>
        <ns0:v>1</ns0:v>
      </ns0:c>
      <ns0:c r="G400">
        <ns0:f>IF(COUNTIFS(Cases!$B$2:$B$1859,A400,Cases!$L$2:$L$1859,1)&gt;0,1,0)</ns0:f>
        <ns0:v>1</ns0:v>
      </ns0:c>
      <ns0:c r="H400">
        <ns0:f>IF(COUNTIFS(Cases!$B$2:$B$1859,A400,Cases!$Q$2:$Q$1859,1)&gt;0,1,0)</ns0:f>
        <ns0:v>0</ns0:v>
      </ns0:c>
      <ns0:c r="I400">
        <ns0:f>IF(COUNTIFS(Cases!$B$2:$B$1859,A400,Cases!$R$2:$R$1859,1)&gt;0,1,0)</ns0:f>
        <ns0:v>1</ns0:v>
      </ns0:c>
    </ns0:row>
    <ns0:row r="401">
      <ns0:c r="A401" t="inlineStr">
        <ns0:is>
          <ns0:t>function_0400</ns0:t>
        </ns0:is>
      </ns0:c>
      <ns0:c r="B401" t="inlineStr">
        <ns0:is>
          <ns0:t>run_013</ns0:t>
        </ns0:is>
      </ns0:c>
      <ns0:c r="C401" t="inlineStr">
        <ns0:is>
          <ns0:t>rand</ns0:t>
        </ns0:is>
      </ns0:c>
      <ns0:c r="D401" t="inlineStr">
        <ns0:is>
          <ns0:t>gemini-2.5-flash-nothinking</ns0:t>
        </ns0:is>
      </ns0:c>
      <ns0:c r="E401">
        <ns0:f>COUNTIF(Cases!$B$2:$B$1859,A401)</ns0:f>
        <ns0:v>3</ns0:v>
      </ns0:c>
      <ns0:c r="F401">
        <ns0:f>IF(COUNTIFS(Cases!$B$2:$B$1859,A401,Cases!$G$2:$G$1859,1)&gt;0,1,0)</ns0:f>
        <ns0:v>0</ns0:v>
      </ns0:c>
      <ns0:c r="G401">
        <ns0:f>IF(COUNTIFS(Cases!$B$2:$B$1859,A401,Cases!$L$2:$L$1859,1)&gt;0,1,0)</ns0:f>
        <ns0:v>1</ns0:v>
      </ns0:c>
      <ns0:c r="H401">
        <ns0:f>IF(COUNTIFS(Cases!$B$2:$B$1859,A401,Cases!$Q$2:$Q$1859,1)&gt;0,1,0)</ns0:f>
        <ns0:v>0</ns0:v>
      </ns0:c>
      <ns0:c r="I401">
        <ns0:f>IF(COUNTIFS(Cases!$B$2:$B$1859,A401,Cases!$R$2:$R$1859,1)&gt;0,1,0)</ns0:f>
        <ns0:v>1</ns0:v>
      </ns0:c>
    </ns0:row>
    <ns0:row r="402">
      <ns0:c r="A402" t="inlineStr">
        <ns0:is>
          <ns0:t>function_0401</ns0:t>
        </ns0:is>
      </ns0:c>
      <ns0:c r="B402" t="inlineStr">
        <ns0:is>
          <ns0:t>run_013</ns0:t>
        </ns0:is>
      </ns0:c>
      <ns0:c r="C402" t="inlineStr">
        <ns0:is>
          <ns0:t>rand</ns0:t>
        </ns0:is>
      </ns0:c>
      <ns0:c r="D402" t="inlineStr">
        <ns0:is>
          <ns0:t>gemini-2.5-flash-nothinking</ns0:t>
        </ns0:is>
      </ns0:c>
      <ns0:c r="E402">
        <ns0:f>COUNTIF(Cases!$B$2:$B$1859,A402)</ns0:f>
        <ns0:v>2</ns0:v>
      </ns0:c>
      <ns0:c r="F402">
        <ns0:f>IF(COUNTIFS(Cases!$B$2:$B$1859,A402,Cases!$G$2:$G$1859,1)&gt;0,1,0)</ns0:f>
        <ns0:v>1</ns0:v>
      </ns0:c>
      <ns0:c r="G402">
        <ns0:f>IF(COUNTIFS(Cases!$B$2:$B$1859,A402,Cases!$L$2:$L$1859,1)&gt;0,1,0)</ns0:f>
        <ns0:v>1</ns0:v>
      </ns0:c>
      <ns0:c r="H402">
        <ns0:f>IF(COUNTIFS(Cases!$B$2:$B$1859,A402,Cases!$Q$2:$Q$1859,1)&gt;0,1,0)</ns0:f>
        <ns0:v>0</ns0:v>
      </ns0:c>
      <ns0:c r="I402">
        <ns0:f>IF(COUNTIFS(Cases!$B$2:$B$1859,A402,Cases!$R$2:$R$1859,1)&gt;0,1,0)</ns0:f>
        <ns0:v>0</ns0:v>
      </ns0:c>
    </ns0:row>
    <ns0:row r="403">
      <ns0:c r="A403" t="inlineStr">
        <ns0:is>
          <ns0:t>function_0402</ns0:t>
        </ns0:is>
      </ns0:c>
      <ns0:c r="B403" t="inlineStr">
        <ns0:is>
          <ns0:t>run_013</ns0:t>
        </ns0:is>
      </ns0:c>
      <ns0:c r="C403" t="inlineStr">
        <ns0:is>
          <ns0:t>rand</ns0:t>
        </ns0:is>
      </ns0:c>
      <ns0:c r="D403" t="inlineStr">
        <ns0:is>
          <ns0:t>gemini-2.5-flash-nothinking</ns0:t>
        </ns0:is>
      </ns0:c>
      <ns0:c r="E403">
        <ns0:f>COUNTIF(Cases!$B$2:$B$1859,A403)</ns0:f>
        <ns0:v>2</ns0:v>
      </ns0:c>
      <ns0:c r="F403">
        <ns0:f>IF(COUNTIFS(Cases!$B$2:$B$1859,A403,Cases!$G$2:$G$1859,1)&gt;0,1,0)</ns0:f>
        <ns0:v>1</ns0:v>
      </ns0:c>
      <ns0:c r="G403">
        <ns0:f>IF(COUNTIFS(Cases!$B$2:$B$1859,A403,Cases!$L$2:$L$1859,1)&gt;0,1,0)</ns0:f>
        <ns0:v>1</ns0:v>
      </ns0:c>
      <ns0:c r="H403">
        <ns0:f>IF(COUNTIFS(Cases!$B$2:$B$1859,A403,Cases!$Q$2:$Q$1859,1)&gt;0,1,0)</ns0:f>
        <ns0:v>0</ns0:v>
      </ns0:c>
      <ns0:c r="I403">
        <ns0:f>IF(COUNTIFS(Cases!$B$2:$B$1859,A403,Cases!$R$2:$R$1859,1)&gt;0,1,0)</ns0:f>
        <ns0:v>0</ns0:v>
      </ns0:c>
    </ns0:row>
    <ns0:row r="404">
      <ns0:c r="A404" t="inlineStr">
        <ns0:is>
          <ns0:t>function_0403</ns0:t>
        </ns0:is>
      </ns0:c>
      <ns0:c r="B404" t="inlineStr">
        <ns0:is>
          <ns0:t>run_013</ns0:t>
        </ns0:is>
      </ns0:c>
      <ns0:c r="C404" t="inlineStr">
        <ns0:is>
          <ns0:t>rand</ns0:t>
        </ns0:is>
      </ns0:c>
      <ns0:c r="D404" t="inlineStr">
        <ns0:is>
          <ns0:t>gemini-2.5-flash-nothinking</ns0:t>
        </ns0:is>
      </ns0:c>
      <ns0:c r="E404">
        <ns0:f>COUNTIF(Cases!$B$2:$B$1859,A404)</ns0:f>
        <ns0:v>2</ns0:v>
      </ns0:c>
      <ns0:c r="F404">
        <ns0:f>IF(COUNTIFS(Cases!$B$2:$B$1859,A404,Cases!$G$2:$G$1859,1)&gt;0,1,0)</ns0:f>
        <ns0:v>1</ns0:v>
      </ns0:c>
      <ns0:c r="G404">
        <ns0:f>IF(COUNTIFS(Cases!$B$2:$B$1859,A404,Cases!$L$2:$L$1859,1)&gt;0,1,0)</ns0:f>
        <ns0:v>1</ns0:v>
      </ns0:c>
      <ns0:c r="H404">
        <ns0:f>IF(COUNTIFS(Cases!$B$2:$B$1859,A404,Cases!$Q$2:$Q$1859,1)&gt;0,1,0)</ns0:f>
        <ns0:v>0</ns0:v>
      </ns0:c>
      <ns0:c r="I404">
        <ns0:f>IF(COUNTIFS(Cases!$B$2:$B$1859,A404,Cases!$R$2:$R$1859,1)&gt;0,1,0)</ns0:f>
        <ns0:v>1</ns0:v>
      </ns0:c>
    </ns0:row>
    <ns0:row r="405">
      <ns0:c r="A405" t="inlineStr">
        <ns0:is>
          <ns0:t>function_0404</ns0:t>
        </ns0:is>
      </ns0:c>
      <ns0:c r="B405" t="inlineStr">
        <ns0:is>
          <ns0:t>run_013</ns0:t>
        </ns0:is>
      </ns0:c>
      <ns0:c r="C405" t="inlineStr">
        <ns0:is>
          <ns0:t>rand</ns0:t>
        </ns0:is>
      </ns0:c>
      <ns0:c r="D405" t="inlineStr">
        <ns0:is>
          <ns0:t>gemini-2.5-flash-nothinking</ns0:t>
        </ns0:is>
      </ns0:c>
      <ns0:c r="E405">
        <ns0:f>COUNTIF(Cases!$B$2:$B$1859,A405)</ns0:f>
        <ns0:v>2</ns0:v>
      </ns0:c>
      <ns0:c r="F405">
        <ns0:f>IF(COUNTIFS(Cases!$B$2:$B$1859,A405,Cases!$G$2:$G$1859,1)&gt;0,1,0)</ns0:f>
        <ns0:v>1</ns0:v>
      </ns0:c>
      <ns0:c r="G405">
        <ns0:f>IF(COUNTIFS(Cases!$B$2:$B$1859,A405,Cases!$L$2:$L$1859,1)&gt;0,1,0)</ns0:f>
        <ns0:v>1</ns0:v>
      </ns0:c>
      <ns0:c r="H405">
        <ns0:f>IF(COUNTIFS(Cases!$B$2:$B$1859,A405,Cases!$Q$2:$Q$1859,1)&gt;0,1,0)</ns0:f>
        <ns0:v>0</ns0:v>
      </ns0:c>
      <ns0:c r="I405">
        <ns0:f>IF(COUNTIFS(Cases!$B$2:$B$1859,A405,Cases!$R$2:$R$1859,1)&gt;0,1,0)</ns0:f>
        <ns0:v>1</ns0:v>
      </ns0:c>
    </ns0:row>
    <ns0:row r="406">
      <ns0:c r="A406" t="inlineStr">
        <ns0:is>
          <ns0:t>function_0405</ns0:t>
        </ns0:is>
      </ns0:c>
      <ns0:c r="B406" t="inlineStr">
        <ns0:is>
          <ns0:t>run_013</ns0:t>
        </ns0:is>
      </ns0:c>
      <ns0:c r="C406" t="inlineStr">
        <ns0:is>
          <ns0:t>rand</ns0:t>
        </ns0:is>
      </ns0:c>
      <ns0:c r="D406" t="inlineStr">
        <ns0:is>
          <ns0:t>gemini-2.5-flash-nothinking</ns0:t>
        </ns0:is>
      </ns0:c>
      <ns0:c r="E406">
        <ns0:f>COUNTIF(Cases!$B$2:$B$1859,A406)</ns0:f>
        <ns0:v>2</ns0:v>
      </ns0:c>
      <ns0:c r="F406">
        <ns0:f>IF(COUNTIFS(Cases!$B$2:$B$1859,A406,Cases!$G$2:$G$1859,1)&gt;0,1,0)</ns0:f>
        <ns0:v>1</ns0:v>
      </ns0:c>
      <ns0:c r="G406">
        <ns0:f>IF(COUNTIFS(Cases!$B$2:$B$1859,A406,Cases!$L$2:$L$1859,1)&gt;0,1,0)</ns0:f>
        <ns0:v>1</ns0:v>
      </ns0:c>
      <ns0:c r="H406">
        <ns0:f>IF(COUNTIFS(Cases!$B$2:$B$1859,A406,Cases!$Q$2:$Q$1859,1)&gt;0,1,0)</ns0:f>
        <ns0:v>0</ns0:v>
      </ns0:c>
      <ns0:c r="I406">
        <ns0:f>IF(COUNTIFS(Cases!$B$2:$B$1859,A406,Cases!$R$2:$R$1859,1)&gt;0,1,0)</ns0:f>
        <ns0:v>1</ns0:v>
      </ns0:c>
    </ns0:row>
    <ns0:row r="407">
      <ns0:c r="A407" t="inlineStr">
        <ns0:is>
          <ns0:t>function_0406</ns0:t>
        </ns0:is>
      </ns0:c>
      <ns0:c r="B407" t="inlineStr">
        <ns0:is>
          <ns0:t>run_013</ns0:t>
        </ns0:is>
      </ns0:c>
      <ns0:c r="C407" t="inlineStr">
        <ns0:is>
          <ns0:t>rand</ns0:t>
        </ns0:is>
      </ns0:c>
      <ns0:c r="D407" t="inlineStr">
        <ns0:is>
          <ns0:t>gemini-2.5-flash-nothinking</ns0:t>
        </ns0:is>
      </ns0:c>
      <ns0:c r="E407">
        <ns0:f>COUNTIF(Cases!$B$2:$B$1859,A407)</ns0:f>
        <ns0:v>1</ns0:v>
      </ns0:c>
      <ns0:c r="F407">
        <ns0:f>IF(COUNTIFS(Cases!$B$2:$B$1859,A407,Cases!$G$2:$G$1859,1)&gt;0,1,0)</ns0:f>
        <ns0:v>1</ns0:v>
      </ns0:c>
      <ns0:c r="G407">
        <ns0:f>IF(COUNTIFS(Cases!$B$2:$B$1859,A407,Cases!$L$2:$L$1859,1)&gt;0,1,0)</ns0:f>
        <ns0:v>1</ns0:v>
      </ns0:c>
      <ns0:c r="H407">
        <ns0:f>IF(COUNTIFS(Cases!$B$2:$B$1859,A407,Cases!$Q$2:$Q$1859,1)&gt;0,1,0)</ns0:f>
        <ns0:v>0</ns0:v>
      </ns0:c>
      <ns0:c r="I407">
        <ns0:f>IF(COUNTIFS(Cases!$B$2:$B$1859,A407,Cases!$R$2:$R$1859,1)&gt;0,1,0)</ns0:f>
        <ns0:v>0</ns0:v>
      </ns0:c>
    </ns0:row>
    <ns0:row r="408">
      <ns0:c r="A408" t="inlineStr">
        <ns0:is>
          <ns0:t>function_0407</ns0:t>
        </ns0:is>
      </ns0:c>
      <ns0:c r="B408" t="inlineStr">
        <ns0:is>
          <ns0:t>run_013</ns0:t>
        </ns0:is>
      </ns0:c>
      <ns0:c r="C408" t="inlineStr">
        <ns0:is>
          <ns0:t>rand</ns0:t>
        </ns0:is>
      </ns0:c>
      <ns0:c r="D408" t="inlineStr">
        <ns0:is>
          <ns0:t>gemini-2.5-flash-nothinking</ns0:t>
        </ns0:is>
      </ns0:c>
      <ns0:c r="E408">
        <ns0:f>COUNTIF(Cases!$B$2:$B$1859,A408)</ns0:f>
        <ns0:v>2</ns0:v>
      </ns0:c>
      <ns0:c r="F408">
        <ns0:f>IF(COUNTIFS(Cases!$B$2:$B$1859,A408,Cases!$G$2:$G$1859,1)&gt;0,1,0)</ns0:f>
        <ns0:v>1</ns0:v>
      </ns0:c>
      <ns0:c r="G408">
        <ns0:f>IF(COUNTIFS(Cases!$B$2:$B$1859,A408,Cases!$L$2:$L$1859,1)&gt;0,1,0)</ns0:f>
        <ns0:v>1</ns0:v>
      </ns0:c>
      <ns0:c r="H408">
        <ns0:f>IF(COUNTIFS(Cases!$B$2:$B$1859,A408,Cases!$Q$2:$Q$1859,1)&gt;0,1,0)</ns0:f>
        <ns0:v>1</ns0:v>
      </ns0:c>
      <ns0:c r="I408">
        <ns0:f>IF(COUNTIFS(Cases!$B$2:$B$1859,A408,Cases!$R$2:$R$1859,1)&gt;0,1,0)</ns0:f>
        <ns0:v>1</ns0:v>
      </ns0:c>
    </ns0:row>
    <ns0:row r="409">
      <ns0:c r="A409" t="inlineStr">
        <ns0:is>
          <ns0:t>function_0408</ns0:t>
        </ns0:is>
      </ns0:c>
      <ns0:c r="B409" t="inlineStr">
        <ns0:is>
          <ns0:t>run_013</ns0:t>
        </ns0:is>
      </ns0:c>
      <ns0:c r="C409" t="inlineStr">
        <ns0:is>
          <ns0:t>rand</ns0:t>
        </ns0:is>
      </ns0:c>
      <ns0:c r="D409" t="inlineStr">
        <ns0:is>
          <ns0:t>gemini-2.5-flash-nothinking</ns0:t>
        </ns0:is>
      </ns0:c>
      <ns0:c r="E409">
        <ns0:f>COUNTIF(Cases!$B$2:$B$1859,A409)</ns0:f>
        <ns0:v>2</ns0:v>
      </ns0:c>
      <ns0:c r="F409">
        <ns0:f>IF(COUNTIFS(Cases!$B$2:$B$1859,A409,Cases!$G$2:$G$1859,1)&gt;0,1,0)</ns0:f>
        <ns0:v>1</ns0:v>
      </ns0:c>
      <ns0:c r="G409">
        <ns0:f>IF(COUNTIFS(Cases!$B$2:$B$1859,A409,Cases!$L$2:$L$1859,1)&gt;0,1,0)</ns0:f>
        <ns0:v>1</ns0:v>
      </ns0:c>
      <ns0:c r="H409">
        <ns0:f>IF(COUNTIFS(Cases!$B$2:$B$1859,A409,Cases!$Q$2:$Q$1859,1)&gt;0,1,0)</ns0:f>
        <ns0:v>0</ns0:v>
      </ns0:c>
      <ns0:c r="I409">
        <ns0:f>IF(COUNTIFS(Cases!$B$2:$B$1859,A409,Cases!$R$2:$R$1859,1)&gt;0,1,0)</ns0:f>
        <ns0:v>0</ns0:v>
      </ns0:c>
    </ns0:row>
    <ns0:row r="410">
      <ns0:c r="A410" t="inlineStr">
        <ns0:is>
          <ns0:t>function_0409</ns0:t>
        </ns0:is>
      </ns0:c>
      <ns0:c r="B410" t="inlineStr">
        <ns0:is>
          <ns0:t>run_013</ns0:t>
        </ns0:is>
      </ns0:c>
      <ns0:c r="C410" t="inlineStr">
        <ns0:is>
          <ns0:t>rand</ns0:t>
        </ns0:is>
      </ns0:c>
      <ns0:c r="D410" t="inlineStr">
        <ns0:is>
          <ns0:t>gemini-2.5-flash-nothinking</ns0:t>
        </ns0:is>
      </ns0:c>
      <ns0:c r="E410">
        <ns0:f>COUNTIF(Cases!$B$2:$B$1859,A410)</ns0:f>
        <ns0:v>2</ns0:v>
      </ns0:c>
      <ns0:c r="F410">
        <ns0:f>IF(COUNTIFS(Cases!$B$2:$B$1859,A410,Cases!$G$2:$G$1859,1)&gt;0,1,0)</ns0:f>
        <ns0:v>1</ns0:v>
      </ns0:c>
      <ns0:c r="G410">
        <ns0:f>IF(COUNTIFS(Cases!$B$2:$B$1859,A410,Cases!$L$2:$L$1859,1)&gt;0,1,0)</ns0:f>
        <ns0:v>1</ns0:v>
      </ns0:c>
      <ns0:c r="H410">
        <ns0:f>IF(COUNTIFS(Cases!$B$2:$B$1859,A410,Cases!$Q$2:$Q$1859,1)&gt;0,1,0)</ns0:f>
        <ns0:v>1</ns0:v>
      </ns0:c>
      <ns0:c r="I410">
        <ns0:f>IF(COUNTIFS(Cases!$B$2:$B$1859,A410,Cases!$R$2:$R$1859,1)&gt;0,1,0)</ns0:f>
        <ns0:v>1</ns0:v>
      </ns0:c>
    </ns0:row>
    <ns0:row r="411">
      <ns0:c r="A411" t="inlineStr">
        <ns0:is>
          <ns0:t>function_0410</ns0:t>
        </ns0:is>
      </ns0:c>
      <ns0:c r="B411" t="inlineStr">
        <ns0:is>
          <ns0:t>run_013</ns0:t>
        </ns0:is>
      </ns0:c>
      <ns0:c r="C411" t="inlineStr">
        <ns0:is>
          <ns0:t>rand</ns0:t>
        </ns0:is>
      </ns0:c>
      <ns0:c r="D411" t="inlineStr">
        <ns0:is>
          <ns0:t>gemini-2.5-flash-nothinking</ns0:t>
        </ns0:is>
      </ns0:c>
      <ns0:c r="E411">
        <ns0:f>COUNTIF(Cases!$B$2:$B$1859,A411)</ns0:f>
        <ns0:v>2</ns0:v>
      </ns0:c>
      <ns0:c r="F411">
        <ns0:f>IF(COUNTIFS(Cases!$B$2:$B$1859,A411,Cases!$G$2:$G$1859,1)&gt;0,1,0)</ns0:f>
        <ns0:v>1</ns0:v>
      </ns0:c>
      <ns0:c r="G411">
        <ns0:f>IF(COUNTIFS(Cases!$B$2:$B$1859,A411,Cases!$L$2:$L$1859,1)&gt;0,1,0)</ns0:f>
        <ns0:v>1</ns0:v>
      </ns0:c>
      <ns0:c r="H411">
        <ns0:f>IF(COUNTIFS(Cases!$B$2:$B$1859,A411,Cases!$Q$2:$Q$1859,1)&gt;0,1,0)</ns0:f>
        <ns0:v>0</ns0:v>
      </ns0:c>
      <ns0:c r="I411">
        <ns0:f>IF(COUNTIFS(Cases!$B$2:$B$1859,A411,Cases!$R$2:$R$1859,1)&gt;0,1,0)</ns0:f>
        <ns0:v>1</ns0:v>
      </ns0:c>
    </ns0:row>
    <ns0:row r="412">
      <ns0:c r="A412" t="inlineStr">
        <ns0:is>
          <ns0:t>function_0411</ns0:t>
        </ns0:is>
      </ns0:c>
      <ns0:c r="B412" t="inlineStr">
        <ns0:is>
          <ns0:t>run_013</ns0:t>
        </ns0:is>
      </ns0:c>
      <ns0:c r="C412" t="inlineStr">
        <ns0:is>
          <ns0:t>rand</ns0:t>
        </ns0:is>
      </ns0:c>
      <ns0:c r="D412" t="inlineStr">
        <ns0:is>
          <ns0:t>gemini-2.5-flash-nothinking</ns0:t>
        </ns0:is>
      </ns0:c>
      <ns0:c r="E412">
        <ns0:f>COUNTIF(Cases!$B$2:$B$1859,A412)</ns0:f>
        <ns0:v>2</ns0:v>
      </ns0:c>
      <ns0:c r="F412">
        <ns0:f>IF(COUNTIFS(Cases!$B$2:$B$1859,A412,Cases!$G$2:$G$1859,1)&gt;0,1,0)</ns0:f>
        <ns0:v>0</ns0:v>
      </ns0:c>
      <ns0:c r="G412">
        <ns0:f>IF(COUNTIFS(Cases!$B$2:$B$1859,A412,Cases!$L$2:$L$1859,1)&gt;0,1,0)</ns0:f>
        <ns0:v>1</ns0:v>
      </ns0:c>
      <ns0:c r="H412">
        <ns0:f>IF(COUNTIFS(Cases!$B$2:$B$1859,A412,Cases!$Q$2:$Q$1859,1)&gt;0,1,0)</ns0:f>
        <ns0:v>0</ns0:v>
      </ns0:c>
      <ns0:c r="I412">
        <ns0:f>IF(COUNTIFS(Cases!$B$2:$B$1859,A412,Cases!$R$2:$R$1859,1)&gt;0,1,0)</ns0:f>
        <ns0:v>0</ns0:v>
      </ns0:c>
    </ns0:row>
    <ns0:row r="413">
      <ns0:c r="A413" t="inlineStr">
        <ns0:is>
          <ns0:t>function_0412</ns0:t>
        </ns0:is>
      </ns0:c>
      <ns0:c r="B413" t="inlineStr">
        <ns0:is>
          <ns0:t>run_013</ns0:t>
        </ns0:is>
      </ns0:c>
      <ns0:c r="C413" t="inlineStr">
        <ns0:is>
          <ns0:t>rand</ns0:t>
        </ns0:is>
      </ns0:c>
      <ns0:c r="D413" t="inlineStr">
        <ns0:is>
          <ns0:t>gemini-2.5-flash-nothinking</ns0:t>
        </ns0:is>
      </ns0:c>
      <ns0:c r="E413">
        <ns0:f>COUNTIF(Cases!$B$2:$B$1859,A413)</ns0:f>
        <ns0:v>2</ns0:v>
      </ns0:c>
      <ns0:c r="F413">
        <ns0:f>IF(COUNTIFS(Cases!$B$2:$B$1859,A413,Cases!$G$2:$G$1859,1)&gt;0,1,0)</ns0:f>
        <ns0:v>1</ns0:v>
      </ns0:c>
      <ns0:c r="G413">
        <ns0:f>IF(COUNTIFS(Cases!$B$2:$B$1859,A413,Cases!$L$2:$L$1859,1)&gt;0,1,0)</ns0:f>
        <ns0:v>1</ns0:v>
      </ns0:c>
      <ns0:c r="H413">
        <ns0:f>IF(COUNTIFS(Cases!$B$2:$B$1859,A413,Cases!$Q$2:$Q$1859,1)&gt;0,1,0)</ns0:f>
        <ns0:v>0</ns0:v>
      </ns0:c>
      <ns0:c r="I413">
        <ns0:f>IF(COUNTIFS(Cases!$B$2:$B$1859,A413,Cases!$R$2:$R$1859,1)&gt;0,1,0)</ns0:f>
        <ns0:v>0</ns0:v>
      </ns0:c>
    </ns0:row>
    <ns0:row r="414">
      <ns0:c r="A414" t="inlineStr">
        <ns0:is>
          <ns0:t>function_0413</ns0:t>
        </ns0:is>
      </ns0:c>
      <ns0:c r="B414" t="inlineStr">
        <ns0:is>
          <ns0:t>run_013</ns0:t>
        </ns0:is>
      </ns0:c>
      <ns0:c r="C414" t="inlineStr">
        <ns0:is>
          <ns0:t>rand</ns0:t>
        </ns0:is>
      </ns0:c>
      <ns0:c r="D414" t="inlineStr">
        <ns0:is>
          <ns0:t>gemini-2.5-flash-nothinking</ns0:t>
        </ns0:is>
      </ns0:c>
      <ns0:c r="E414">
        <ns0:f>COUNTIF(Cases!$B$2:$B$1859,A414)</ns0:f>
        <ns0:v>2</ns0:v>
      </ns0:c>
      <ns0:c r="F414">
        <ns0:f>IF(COUNTIFS(Cases!$B$2:$B$1859,A414,Cases!$G$2:$G$1859,1)&gt;0,1,0)</ns0:f>
        <ns0:v>1</ns0:v>
      </ns0:c>
      <ns0:c r="G414">
        <ns0:f>IF(COUNTIFS(Cases!$B$2:$B$1859,A414,Cases!$L$2:$L$1859,1)&gt;0,1,0)</ns0:f>
        <ns0:v>1</ns0:v>
      </ns0:c>
      <ns0:c r="H414">
        <ns0:f>IF(COUNTIFS(Cases!$B$2:$B$1859,A414,Cases!$Q$2:$Q$1859,1)&gt;0,1,0)</ns0:f>
        <ns0:v>0</ns0:v>
      </ns0:c>
      <ns0:c r="I414">
        <ns0:f>IF(COUNTIFS(Cases!$B$2:$B$1859,A414,Cases!$R$2:$R$1859,1)&gt;0,1,0)</ns0:f>
        <ns0:v>1</ns0:v>
      </ns0:c>
    </ns0:row>
    <ns0:row r="415">
      <ns0:c r="A415" t="inlineStr">
        <ns0:is>
          <ns0:t>function_0414</ns0:t>
        </ns0:is>
      </ns0:c>
      <ns0:c r="B415" t="inlineStr">
        <ns0:is>
          <ns0:t>run_013</ns0:t>
        </ns0:is>
      </ns0:c>
      <ns0:c r="C415" t="inlineStr">
        <ns0:is>
          <ns0:t>rand</ns0:t>
        </ns0:is>
      </ns0:c>
      <ns0:c r="D415" t="inlineStr">
        <ns0:is>
          <ns0:t>gemini-2.5-flash-nothinking</ns0:t>
        </ns0:is>
      </ns0:c>
      <ns0:c r="E415">
        <ns0:f>COUNTIF(Cases!$B$2:$B$1859,A415)</ns0:f>
        <ns0:v>2</ns0:v>
      </ns0:c>
      <ns0:c r="F415">
        <ns0:f>IF(COUNTIFS(Cases!$B$2:$B$1859,A415,Cases!$G$2:$G$1859,1)&gt;0,1,0)</ns0:f>
        <ns0:v>1</ns0:v>
      </ns0:c>
      <ns0:c r="G415">
        <ns0:f>IF(COUNTIFS(Cases!$B$2:$B$1859,A415,Cases!$L$2:$L$1859,1)&gt;0,1,0)</ns0:f>
        <ns0:v>1</ns0:v>
      </ns0:c>
      <ns0:c r="H415">
        <ns0:f>IF(COUNTIFS(Cases!$B$2:$B$1859,A415,Cases!$Q$2:$Q$1859,1)&gt;0,1,0)</ns0:f>
        <ns0:v>1</ns0:v>
      </ns0:c>
      <ns0:c r="I415">
        <ns0:f>IF(COUNTIFS(Cases!$B$2:$B$1859,A415,Cases!$R$2:$R$1859,1)&gt;0,1,0)</ns0:f>
        <ns0:v>1</ns0:v>
      </ns0:c>
    </ns0:row>
    <ns0:row r="416">
      <ns0:c r="A416" t="inlineStr">
        <ns0:is>
          <ns0:t>function_0415</ns0:t>
        </ns0:is>
      </ns0:c>
      <ns0:c r="B416" t="inlineStr">
        <ns0:is>
          <ns0:t>run_013</ns0:t>
        </ns0:is>
      </ns0:c>
      <ns0:c r="C416" t="inlineStr">
        <ns0:is>
          <ns0:t>rand</ns0:t>
        </ns0:is>
      </ns0:c>
      <ns0:c r="D416" t="inlineStr">
        <ns0:is>
          <ns0:t>gemini-2.5-flash-nothinking</ns0:t>
        </ns0:is>
      </ns0:c>
      <ns0:c r="E416">
        <ns0:f>COUNTIF(Cases!$B$2:$B$1859,A416)</ns0:f>
        <ns0:v>2</ns0:v>
      </ns0:c>
      <ns0:c r="F416">
        <ns0:f>IF(COUNTIFS(Cases!$B$2:$B$1859,A416,Cases!$G$2:$G$1859,1)&gt;0,1,0)</ns0:f>
        <ns0:v>1</ns0:v>
      </ns0:c>
      <ns0:c r="G416">
        <ns0:f>IF(COUNTIFS(Cases!$B$2:$B$1859,A416,Cases!$L$2:$L$1859,1)&gt;0,1,0)</ns0:f>
        <ns0:v>1</ns0:v>
      </ns0:c>
      <ns0:c r="H416">
        <ns0:f>IF(COUNTIFS(Cases!$B$2:$B$1859,A416,Cases!$Q$2:$Q$1859,1)&gt;0,1,0)</ns0:f>
        <ns0:v>0</ns0:v>
      </ns0:c>
      <ns0:c r="I416">
        <ns0:f>IF(COUNTIFS(Cases!$B$2:$B$1859,A416,Cases!$R$2:$R$1859,1)&gt;0,1,0)</ns0:f>
        <ns0:v>0</ns0:v>
      </ns0:c>
    </ns0:row>
    <ns0:row r="417">
      <ns0:c r="A417" t="inlineStr">
        <ns0:is>
          <ns0:t>function_0416</ns0:t>
        </ns0:is>
      </ns0:c>
      <ns0:c r="B417" t="inlineStr">
        <ns0:is>
          <ns0:t>run_013</ns0:t>
        </ns0:is>
      </ns0:c>
      <ns0:c r="C417" t="inlineStr">
        <ns0:is>
          <ns0:t>rand</ns0:t>
        </ns0:is>
      </ns0:c>
      <ns0:c r="D417" t="inlineStr">
        <ns0:is>
          <ns0:t>gemini-2.5-flash-nothinking</ns0:t>
        </ns0:is>
      </ns0:c>
      <ns0:c r="E417">
        <ns0:f>COUNTIF(Cases!$B$2:$B$1859,A417)</ns0:f>
        <ns0:v>2</ns0:v>
      </ns0:c>
      <ns0:c r="F417">
        <ns0:f>IF(COUNTIFS(Cases!$B$2:$B$1859,A417,Cases!$G$2:$G$1859,1)&gt;0,1,0)</ns0:f>
        <ns0:v>1</ns0:v>
      </ns0:c>
      <ns0:c r="G417">
        <ns0:f>IF(COUNTIFS(Cases!$B$2:$B$1859,A417,Cases!$L$2:$L$1859,1)&gt;0,1,0)</ns0:f>
        <ns0:v>1</ns0:v>
      </ns0:c>
      <ns0:c r="H417">
        <ns0:f>IF(COUNTIFS(Cases!$B$2:$B$1859,A417,Cases!$Q$2:$Q$1859,1)&gt;0,1,0)</ns0:f>
        <ns0:v>0</ns0:v>
      </ns0:c>
      <ns0:c r="I417">
        <ns0:f>IF(COUNTIFS(Cases!$B$2:$B$1859,A417,Cases!$R$2:$R$1859,1)&gt;0,1,0)</ns0:f>
        <ns0:v>0</ns0:v>
      </ns0:c>
    </ns0:row>
    <ns0:row r="418">
      <ns0:c r="A418" t="inlineStr">
        <ns0:is>
          <ns0:t>function_0417</ns0:t>
        </ns0:is>
      </ns0:c>
      <ns0:c r="B418" t="inlineStr">
        <ns0:is>
          <ns0:t>run_013</ns0:t>
        </ns0:is>
      </ns0:c>
      <ns0:c r="C418" t="inlineStr">
        <ns0:is>
          <ns0:t>rand</ns0:t>
        </ns0:is>
      </ns0:c>
      <ns0:c r="D418" t="inlineStr">
        <ns0:is>
          <ns0:t>gemini-2.5-flash-nothinking</ns0:t>
        </ns0:is>
      </ns0:c>
      <ns0:c r="E418">
        <ns0:f>COUNTIF(Cases!$B$2:$B$1859,A418)</ns0:f>
        <ns0:v>2</ns0:v>
      </ns0:c>
      <ns0:c r="F418">
        <ns0:f>IF(COUNTIFS(Cases!$B$2:$B$1859,A418,Cases!$G$2:$G$1859,1)&gt;0,1,0)</ns0:f>
        <ns0:v>1</ns0:v>
      </ns0:c>
      <ns0:c r="G418">
        <ns0:f>IF(COUNTIFS(Cases!$B$2:$B$1859,A418,Cases!$L$2:$L$1859,1)&gt;0,1,0)</ns0:f>
        <ns0:v>1</ns0:v>
      </ns0:c>
      <ns0:c r="H418">
        <ns0:f>IF(COUNTIFS(Cases!$B$2:$B$1859,A418,Cases!$Q$2:$Q$1859,1)&gt;0,1,0)</ns0:f>
        <ns0:v>0</ns0:v>
      </ns0:c>
      <ns0:c r="I418">
        <ns0:f>IF(COUNTIFS(Cases!$B$2:$B$1859,A418,Cases!$R$2:$R$1859,1)&gt;0,1,0)</ns0:f>
        <ns0:v>0</ns0:v>
      </ns0:c>
    </ns0:row>
    <ns0:row r="419">
      <ns0:c r="A419" t="inlineStr">
        <ns0:is>
          <ns0:t>function_0418</ns0:t>
        </ns0:is>
      </ns0:c>
      <ns0:c r="B419" t="inlineStr">
        <ns0:is>
          <ns0:t>run_013</ns0:t>
        </ns0:is>
      </ns0:c>
      <ns0:c r="C419" t="inlineStr">
        <ns0:is>
          <ns0:t>rand</ns0:t>
        </ns0:is>
      </ns0:c>
      <ns0:c r="D419" t="inlineStr">
        <ns0:is>
          <ns0:t>gemini-2.5-flash-nothinking</ns0:t>
        </ns0:is>
      </ns0:c>
      <ns0:c r="E419">
        <ns0:f>COUNTIF(Cases!$B$2:$B$1859,A419)</ns0:f>
        <ns0:v>1</ns0:v>
      </ns0:c>
      <ns0:c r="F419">
        <ns0:f>IF(COUNTIFS(Cases!$B$2:$B$1859,A419,Cases!$G$2:$G$1859,1)&gt;0,1,0)</ns0:f>
        <ns0:v>1</ns0:v>
      </ns0:c>
      <ns0:c r="G419">
        <ns0:f>IF(COUNTIFS(Cases!$B$2:$B$1859,A419,Cases!$L$2:$L$1859,1)&gt;0,1,0)</ns0:f>
        <ns0:v>1</ns0:v>
      </ns0:c>
      <ns0:c r="H419">
        <ns0:f>IF(COUNTIFS(Cases!$B$2:$B$1859,A419,Cases!$Q$2:$Q$1859,1)&gt;0,1,0)</ns0:f>
        <ns0:v>0</ns0:v>
      </ns0:c>
      <ns0:c r="I419">
        <ns0:f>IF(COUNTIFS(Cases!$B$2:$B$1859,A419,Cases!$R$2:$R$1859,1)&gt;0,1,0)</ns0:f>
        <ns0:v>1</ns0:v>
      </ns0:c>
    </ns0:row>
    <ns0:row r="420">
      <ns0:c r="A420" t="inlineStr">
        <ns0:is>
          <ns0:t>function_0419</ns0:t>
        </ns0:is>
      </ns0:c>
      <ns0:c r="B420" t="inlineStr">
        <ns0:is>
          <ns0:t>run_013</ns0:t>
        </ns0:is>
      </ns0:c>
      <ns0:c r="C420" t="inlineStr">
        <ns0:is>
          <ns0:t>rand</ns0:t>
        </ns0:is>
      </ns0:c>
      <ns0:c r="D420" t="inlineStr">
        <ns0:is>
          <ns0:t>gemini-2.5-flash-nothinking</ns0:t>
        </ns0:is>
      </ns0:c>
      <ns0:c r="E420">
        <ns0:f>COUNTIF(Cases!$B$2:$B$1859,A420)</ns0:f>
        <ns0:v>2</ns0:v>
      </ns0:c>
      <ns0:c r="F420">
        <ns0:f>IF(COUNTIFS(Cases!$B$2:$B$1859,A420,Cases!$G$2:$G$1859,1)&gt;0,1,0)</ns0:f>
        <ns0:v>1</ns0:v>
      </ns0:c>
      <ns0:c r="G420">
        <ns0:f>IF(COUNTIFS(Cases!$B$2:$B$1859,A420,Cases!$L$2:$L$1859,1)&gt;0,1,0)</ns0:f>
        <ns0:v>1</ns0:v>
      </ns0:c>
      <ns0:c r="H420">
        <ns0:f>IF(COUNTIFS(Cases!$B$2:$B$1859,A420,Cases!$Q$2:$Q$1859,1)&gt;0,1,0)</ns0:f>
        <ns0:v>0</ns0:v>
      </ns0:c>
      <ns0:c r="I420">
        <ns0:f>IF(COUNTIFS(Cases!$B$2:$B$1859,A420,Cases!$R$2:$R$1859,1)&gt;0,1,0)</ns0:f>
        <ns0:v>1</ns0:v>
      </ns0:c>
    </ns0:row>
    <ns0:row r="421">
      <ns0:c r="A421" t="inlineStr">
        <ns0:is>
          <ns0:t>function_0420</ns0:t>
        </ns0:is>
      </ns0:c>
      <ns0:c r="B421" t="inlineStr">
        <ns0:is>
          <ns0:t>run_013</ns0:t>
        </ns0:is>
      </ns0:c>
      <ns0:c r="C421" t="inlineStr">
        <ns0:is>
          <ns0:t>rand</ns0:t>
        </ns0:is>
      </ns0:c>
      <ns0:c r="D421" t="inlineStr">
        <ns0:is>
          <ns0:t>gemini-2.5-flash-nothinking</ns0:t>
        </ns0:is>
      </ns0:c>
      <ns0:c r="E421">
        <ns0:f>COUNTIF(Cases!$B$2:$B$1859,A421)</ns0:f>
        <ns0:v>2</ns0:v>
      </ns0:c>
      <ns0:c r="F421">
        <ns0:f>IF(COUNTIFS(Cases!$B$2:$B$1859,A421,Cases!$G$2:$G$1859,1)&gt;0,1,0)</ns0:f>
        <ns0:v>1</ns0:v>
      </ns0:c>
      <ns0:c r="G421">
        <ns0:f>IF(COUNTIFS(Cases!$B$2:$B$1859,A421,Cases!$L$2:$L$1859,1)&gt;0,1,0)</ns0:f>
        <ns0:v>1</ns0:v>
      </ns0:c>
      <ns0:c r="H421">
        <ns0:f>IF(COUNTIFS(Cases!$B$2:$B$1859,A421,Cases!$Q$2:$Q$1859,1)&gt;0,1,0)</ns0:f>
        <ns0:v>0</ns0:v>
      </ns0:c>
      <ns0:c r="I421">
        <ns0:f>IF(COUNTIFS(Cases!$B$2:$B$1859,A421,Cases!$R$2:$R$1859,1)&gt;0,1,0)</ns0:f>
        <ns0:v>1</ns0:v>
      </ns0:c>
    </ns0:row>
    <ns0:row r="422">
      <ns0:c r="A422" t="inlineStr">
        <ns0:is>
          <ns0:t>function_0421</ns0:t>
        </ns0:is>
      </ns0:c>
      <ns0:c r="B422" t="inlineStr">
        <ns0:is>
          <ns0:t>run_013</ns0:t>
        </ns0:is>
      </ns0:c>
      <ns0:c r="C422" t="inlineStr">
        <ns0:is>
          <ns0:t>rand</ns0:t>
        </ns0:is>
      </ns0:c>
      <ns0:c r="D422" t="inlineStr">
        <ns0:is>
          <ns0:t>gemini-2.5-flash-nothinking</ns0:t>
        </ns0:is>
      </ns0:c>
      <ns0:c r="E422">
        <ns0:f>COUNTIF(Cases!$B$2:$B$1859,A422)</ns0:f>
        <ns0:v>2</ns0:v>
      </ns0:c>
      <ns0:c r="F422">
        <ns0:f>IF(COUNTIFS(Cases!$B$2:$B$1859,A422,Cases!$G$2:$G$1859,1)&gt;0,1,0)</ns0:f>
        <ns0:v>0</ns0:v>
      </ns0:c>
      <ns0:c r="G422">
        <ns0:f>IF(COUNTIFS(Cases!$B$2:$B$1859,A422,Cases!$L$2:$L$1859,1)&gt;0,1,0)</ns0:f>
        <ns0:v>1</ns0:v>
      </ns0:c>
      <ns0:c r="H422">
        <ns0:f>IF(COUNTIFS(Cases!$B$2:$B$1859,A422,Cases!$Q$2:$Q$1859,1)&gt;0,1,0)</ns0:f>
        <ns0:v>0</ns0:v>
      </ns0:c>
      <ns0:c r="I422">
        <ns0:f>IF(COUNTIFS(Cases!$B$2:$B$1859,A422,Cases!$R$2:$R$1859,1)&gt;0,1,0)</ns0:f>
        <ns0:v>1</ns0:v>
      </ns0:c>
    </ns0:row>
    <ns0:row r="423">
      <ns0:c r="A423" t="inlineStr">
        <ns0:is>
          <ns0:t>function_0422</ns0:t>
        </ns0:is>
      </ns0:c>
      <ns0:c r="B423" t="inlineStr">
        <ns0:is>
          <ns0:t>run_013</ns0:t>
        </ns0:is>
      </ns0:c>
      <ns0:c r="C423" t="inlineStr">
        <ns0:is>
          <ns0:t>rand</ns0:t>
        </ns0:is>
      </ns0:c>
      <ns0:c r="D423" t="inlineStr">
        <ns0:is>
          <ns0:t>gemini-2.5-flash-nothinking</ns0:t>
        </ns0:is>
      </ns0:c>
      <ns0:c r="E423">
        <ns0:f>COUNTIF(Cases!$B$2:$B$1859,A423)</ns0:f>
        <ns0:v>2</ns0:v>
      </ns0:c>
      <ns0:c r="F423">
        <ns0:f>IF(COUNTIFS(Cases!$B$2:$B$1859,A423,Cases!$G$2:$G$1859,1)&gt;0,1,0)</ns0:f>
        <ns0:v>0</ns0:v>
      </ns0:c>
      <ns0:c r="G423">
        <ns0:f>IF(COUNTIFS(Cases!$B$2:$B$1859,A423,Cases!$L$2:$L$1859,1)&gt;0,1,0)</ns0:f>
        <ns0:v>1</ns0:v>
      </ns0:c>
      <ns0:c r="H423">
        <ns0:f>IF(COUNTIFS(Cases!$B$2:$B$1859,A423,Cases!$Q$2:$Q$1859,1)&gt;0,1,0)</ns0:f>
        <ns0:v>1</ns0:v>
      </ns0:c>
      <ns0:c r="I423">
        <ns0:f>IF(COUNTIFS(Cases!$B$2:$B$1859,A423,Cases!$R$2:$R$1859,1)&gt;0,1,0)</ns0:f>
        <ns0:v>1</ns0:v>
      </ns0:c>
    </ns0:row>
    <ns0:row r="424">
      <ns0:c r="A424" t="inlineStr">
        <ns0:is>
          <ns0:t>function_0423</ns0:t>
        </ns0:is>
      </ns0:c>
      <ns0:c r="B424" t="inlineStr">
        <ns0:is>
          <ns0:t>run_013</ns0:t>
        </ns0:is>
      </ns0:c>
      <ns0:c r="C424" t="inlineStr">
        <ns0:is>
          <ns0:t>rand</ns0:t>
        </ns0:is>
      </ns0:c>
      <ns0:c r="D424" t="inlineStr">
        <ns0:is>
          <ns0:t>gemini-2.5-flash-nothinking</ns0:t>
        </ns0:is>
      </ns0:c>
      <ns0:c r="E424">
        <ns0:f>COUNTIF(Cases!$B$2:$B$1859,A424)</ns0:f>
        <ns0:v>2</ns0:v>
      </ns0:c>
      <ns0:c r="F424">
        <ns0:f>IF(COUNTIFS(Cases!$B$2:$B$1859,A424,Cases!$G$2:$G$1859,1)&gt;0,1,0)</ns0:f>
        <ns0:v>1</ns0:v>
      </ns0:c>
      <ns0:c r="G424">
        <ns0:f>IF(COUNTIFS(Cases!$B$2:$B$1859,A424,Cases!$L$2:$L$1859,1)&gt;0,1,0)</ns0:f>
        <ns0:v>1</ns0:v>
      </ns0:c>
      <ns0:c r="H424">
        <ns0:f>IF(COUNTIFS(Cases!$B$2:$B$1859,A424,Cases!$Q$2:$Q$1859,1)&gt;0,1,0)</ns0:f>
        <ns0:v>0</ns0:v>
      </ns0:c>
      <ns0:c r="I424">
        <ns0:f>IF(COUNTIFS(Cases!$B$2:$B$1859,A424,Cases!$R$2:$R$1859,1)&gt;0,1,0)</ns0:f>
        <ns0:v>1</ns0:v>
      </ns0:c>
    </ns0:row>
    <ns0:row r="425">
      <ns0:c r="A425" t="inlineStr">
        <ns0:is>
          <ns0:t>function_0424</ns0:t>
        </ns0:is>
      </ns0:c>
      <ns0:c r="B425" t="inlineStr">
        <ns0:is>
          <ns0:t>run_013</ns0:t>
        </ns0:is>
      </ns0:c>
      <ns0:c r="C425" t="inlineStr">
        <ns0:is>
          <ns0:t>rand</ns0:t>
        </ns0:is>
      </ns0:c>
      <ns0:c r="D425" t="inlineStr">
        <ns0:is>
          <ns0:t>gemini-2.5-flash-nothinking</ns0:t>
        </ns0:is>
      </ns0:c>
      <ns0:c r="E425">
        <ns0:f>COUNTIF(Cases!$B$2:$B$1859,A425)</ns0:f>
        <ns0:v>2</ns0:v>
      </ns0:c>
      <ns0:c r="F425">
        <ns0:f>IF(COUNTIFS(Cases!$B$2:$B$1859,A425,Cases!$G$2:$G$1859,1)&gt;0,1,0)</ns0:f>
        <ns0:v>1</ns0:v>
      </ns0:c>
      <ns0:c r="G425">
        <ns0:f>IF(COUNTIFS(Cases!$B$2:$B$1859,A425,Cases!$L$2:$L$1859,1)&gt;0,1,0)</ns0:f>
        <ns0:v>1</ns0:v>
      </ns0:c>
      <ns0:c r="H425">
        <ns0:f>IF(COUNTIFS(Cases!$B$2:$B$1859,A425,Cases!$Q$2:$Q$1859,1)&gt;0,1,0)</ns0:f>
        <ns0:v>0</ns0:v>
      </ns0:c>
      <ns0:c r="I425">
        <ns0:f>IF(COUNTIFS(Cases!$B$2:$B$1859,A425,Cases!$R$2:$R$1859,1)&gt;0,1,0)</ns0:f>
        <ns0:v>0</ns0:v>
      </ns0:c>
    </ns0:row>
    <ns0:row r="426">
      <ns0:c r="A426" t="inlineStr">
        <ns0:is>
          <ns0:t>function_0425</ns0:t>
        </ns0:is>
      </ns0:c>
      <ns0:c r="B426" t="inlineStr">
        <ns0:is>
          <ns0:t>run_013</ns0:t>
        </ns0:is>
      </ns0:c>
      <ns0:c r="C426" t="inlineStr">
        <ns0:is>
          <ns0:t>rand</ns0:t>
        </ns0:is>
      </ns0:c>
      <ns0:c r="D426" t="inlineStr">
        <ns0:is>
          <ns0:t>gemini-2.5-flash-nothinking</ns0:t>
        </ns0:is>
      </ns0:c>
      <ns0:c r="E426">
        <ns0:f>COUNTIF(Cases!$B$2:$B$1859,A426)</ns0:f>
        <ns0:v>2</ns0:v>
      </ns0:c>
      <ns0:c r="F426">
        <ns0:f>IF(COUNTIFS(Cases!$B$2:$B$1859,A426,Cases!$G$2:$G$1859,1)&gt;0,1,0)</ns0:f>
        <ns0:v>1</ns0:v>
      </ns0:c>
      <ns0:c r="G426">
        <ns0:f>IF(COUNTIFS(Cases!$B$2:$B$1859,A426,Cases!$L$2:$L$1859,1)&gt;0,1,0)</ns0:f>
        <ns0:v>1</ns0:v>
      </ns0:c>
      <ns0:c r="H426">
        <ns0:f>IF(COUNTIFS(Cases!$B$2:$B$1859,A426,Cases!$Q$2:$Q$1859,1)&gt;0,1,0)</ns0:f>
        <ns0:v>0</ns0:v>
      </ns0:c>
      <ns0:c r="I426">
        <ns0:f>IF(COUNTIFS(Cases!$B$2:$B$1859,A426,Cases!$R$2:$R$1859,1)&gt;0,1,0)</ns0:f>
        <ns0:v>1</ns0:v>
      </ns0:c>
    </ns0:row>
    <ns0:row r="427">
      <ns0:c r="A427" t="inlineStr">
        <ns0:is>
          <ns0:t>function_0426</ns0:t>
        </ns0:is>
      </ns0:c>
      <ns0:c r="B427" t="inlineStr">
        <ns0:is>
          <ns0:t>run_013</ns0:t>
        </ns0:is>
      </ns0:c>
      <ns0:c r="C427" t="inlineStr">
        <ns0:is>
          <ns0:t>rand</ns0:t>
        </ns0:is>
      </ns0:c>
      <ns0:c r="D427" t="inlineStr">
        <ns0:is>
          <ns0:t>gemini-2.5-flash-nothinking</ns0:t>
        </ns0:is>
      </ns0:c>
      <ns0:c r="E427">
        <ns0:f>COUNTIF(Cases!$B$2:$B$1859,A427)</ns0:f>
        <ns0:v>2</ns0:v>
      </ns0:c>
      <ns0:c r="F427">
        <ns0:f>IF(COUNTIFS(Cases!$B$2:$B$1859,A427,Cases!$G$2:$G$1859,1)&gt;0,1,0)</ns0:f>
        <ns0:v>1</ns0:v>
      </ns0:c>
      <ns0:c r="G427">
        <ns0:f>IF(COUNTIFS(Cases!$B$2:$B$1859,A427,Cases!$L$2:$L$1859,1)&gt;0,1,0)</ns0:f>
        <ns0:v>1</ns0:v>
      </ns0:c>
      <ns0:c r="H427">
        <ns0:f>IF(COUNTIFS(Cases!$B$2:$B$1859,A427,Cases!$Q$2:$Q$1859,1)&gt;0,1,0)</ns0:f>
        <ns0:v>1</ns0:v>
      </ns0:c>
      <ns0:c r="I427">
        <ns0:f>IF(COUNTIFS(Cases!$B$2:$B$1859,A427,Cases!$R$2:$R$1859,1)&gt;0,1,0)</ns0:f>
        <ns0:v>1</ns0:v>
      </ns0:c>
    </ns0:row>
    <ns0:row r="428">
      <ns0:c r="A428" t="inlineStr">
        <ns0:is>
          <ns0:t>function_0427</ns0:t>
        </ns0:is>
      </ns0:c>
      <ns0:c r="B428" t="inlineStr">
        <ns0:is>
          <ns0:t>run_013</ns0:t>
        </ns0:is>
      </ns0:c>
      <ns0:c r="C428" t="inlineStr">
        <ns0:is>
          <ns0:t>rand</ns0:t>
        </ns0:is>
      </ns0:c>
      <ns0:c r="D428" t="inlineStr">
        <ns0:is>
          <ns0:t>gemini-2.5-flash-nothinking</ns0:t>
        </ns0:is>
      </ns0:c>
      <ns0:c r="E428">
        <ns0:f>COUNTIF(Cases!$B$2:$B$1859,A428)</ns0:f>
        <ns0:v>2</ns0:v>
      </ns0:c>
      <ns0:c r="F428">
        <ns0:f>IF(COUNTIFS(Cases!$B$2:$B$1859,A428,Cases!$G$2:$G$1859,1)&gt;0,1,0)</ns0:f>
        <ns0:v>1</ns0:v>
      </ns0:c>
      <ns0:c r="G428">
        <ns0:f>IF(COUNTIFS(Cases!$B$2:$B$1859,A428,Cases!$L$2:$L$1859,1)&gt;0,1,0)</ns0:f>
        <ns0:v>1</ns0:v>
      </ns0:c>
      <ns0:c r="H428">
        <ns0:f>IF(COUNTIFS(Cases!$B$2:$B$1859,A428,Cases!$Q$2:$Q$1859,1)&gt;0,1,0)</ns0:f>
        <ns0:v>1</ns0:v>
      </ns0:c>
      <ns0:c r="I428">
        <ns0:f>IF(COUNTIFS(Cases!$B$2:$B$1859,A428,Cases!$R$2:$R$1859,1)&gt;0,1,0)</ns0:f>
        <ns0:v>1</ns0:v>
      </ns0:c>
    </ns0:row>
    <ns0:row r="429">
      <ns0:c r="A429" t="inlineStr">
        <ns0:is>
          <ns0:t>function_0428</ns0:t>
        </ns0:is>
      </ns0:c>
      <ns0:c r="B429" t="inlineStr">
        <ns0:is>
          <ns0:t>run_013</ns0:t>
        </ns0:is>
      </ns0:c>
      <ns0:c r="C429" t="inlineStr">
        <ns0:is>
          <ns0:t>rand</ns0:t>
        </ns0:is>
      </ns0:c>
      <ns0:c r="D429" t="inlineStr">
        <ns0:is>
          <ns0:t>gemini-2.5-flash-nothinking</ns0:t>
        </ns0:is>
      </ns0:c>
      <ns0:c r="E429">
        <ns0:f>COUNTIF(Cases!$B$2:$B$1859,A429)</ns0:f>
        <ns0:v>2</ns0:v>
      </ns0:c>
      <ns0:c r="F429">
        <ns0:f>IF(COUNTIFS(Cases!$B$2:$B$1859,A429,Cases!$G$2:$G$1859,1)&gt;0,1,0)</ns0:f>
        <ns0:v>1</ns0:v>
      </ns0:c>
      <ns0:c r="G429">
        <ns0:f>IF(COUNTIFS(Cases!$B$2:$B$1859,A429,Cases!$L$2:$L$1859,1)&gt;0,1,0)</ns0:f>
        <ns0:v>1</ns0:v>
      </ns0:c>
      <ns0:c r="H429">
        <ns0:f>IF(COUNTIFS(Cases!$B$2:$B$1859,A429,Cases!$Q$2:$Q$1859,1)&gt;0,1,0)</ns0:f>
        <ns0:v>0</ns0:v>
      </ns0:c>
      <ns0:c r="I429">
        <ns0:f>IF(COUNTIFS(Cases!$B$2:$B$1859,A429,Cases!$R$2:$R$1859,1)&gt;0,1,0)</ns0:f>
        <ns0:v>1</ns0:v>
      </ns0:c>
    </ns0:row>
    <ns0:row r="430">
      <ns0:c r="A430" t="inlineStr">
        <ns0:is>
          <ns0:t>function_0429</ns0:t>
        </ns0:is>
      </ns0:c>
      <ns0:c r="B430" t="inlineStr">
        <ns0:is>
          <ns0:t>run_013</ns0:t>
        </ns0:is>
      </ns0:c>
      <ns0:c r="C430" t="inlineStr">
        <ns0:is>
          <ns0:t>rand</ns0:t>
        </ns0:is>
      </ns0:c>
      <ns0:c r="D430" t="inlineStr">
        <ns0:is>
          <ns0:t>gemini-2.5-flash-nothinking</ns0:t>
        </ns0:is>
      </ns0:c>
      <ns0:c r="E430">
        <ns0:f>COUNTIF(Cases!$B$2:$B$1859,A430)</ns0:f>
        <ns0:v>2</ns0:v>
      </ns0:c>
      <ns0:c r="F430">
        <ns0:f>IF(COUNTIFS(Cases!$B$2:$B$1859,A430,Cases!$G$2:$G$1859,1)&gt;0,1,0)</ns0:f>
        <ns0:v>1</ns0:v>
      </ns0:c>
      <ns0:c r="G430">
        <ns0:f>IF(COUNTIFS(Cases!$B$2:$B$1859,A430,Cases!$L$2:$L$1859,1)&gt;0,1,0)</ns0:f>
        <ns0:v>1</ns0:v>
      </ns0:c>
      <ns0:c r="H430">
        <ns0:f>IF(COUNTIFS(Cases!$B$2:$B$1859,A430,Cases!$Q$2:$Q$1859,1)&gt;0,1,0)</ns0:f>
        <ns0:v>0</ns0:v>
      </ns0:c>
      <ns0:c r="I430">
        <ns0:f>IF(COUNTIFS(Cases!$B$2:$B$1859,A430,Cases!$R$2:$R$1859,1)&gt;0,1,0)</ns0:f>
        <ns0:v>1</ns0:v>
      </ns0:c>
    </ns0:row>
    <ns0:row r="431">
      <ns0:c r="A431" t="inlineStr">
        <ns0:is>
          <ns0:t>function_0430</ns0:t>
        </ns0:is>
      </ns0:c>
      <ns0:c r="B431" t="inlineStr">
        <ns0:is>
          <ns0:t>run_013</ns0:t>
        </ns0:is>
      </ns0:c>
      <ns0:c r="C431" t="inlineStr">
        <ns0:is>
          <ns0:t>rand</ns0:t>
        </ns0:is>
      </ns0:c>
      <ns0:c r="D431" t="inlineStr">
        <ns0:is>
          <ns0:t>gemini-2.5-flash-nothinking</ns0:t>
        </ns0:is>
      </ns0:c>
      <ns0:c r="E431">
        <ns0:f>COUNTIF(Cases!$B$2:$B$1859,A431)</ns0:f>
        <ns0:v>2</ns0:v>
      </ns0:c>
      <ns0:c r="F431">
        <ns0:f>IF(COUNTIFS(Cases!$B$2:$B$1859,A431,Cases!$G$2:$G$1859,1)&gt;0,1,0)</ns0:f>
        <ns0:v>1</ns0:v>
      </ns0:c>
      <ns0:c r="G431">
        <ns0:f>IF(COUNTIFS(Cases!$B$2:$B$1859,A431,Cases!$L$2:$L$1859,1)&gt;0,1,0)</ns0:f>
        <ns0:v>1</ns0:v>
      </ns0:c>
      <ns0:c r="H431">
        <ns0:f>IF(COUNTIFS(Cases!$B$2:$B$1859,A431,Cases!$Q$2:$Q$1859,1)&gt;0,1,0)</ns0:f>
        <ns0:v>1</ns0:v>
      </ns0:c>
      <ns0:c r="I431">
        <ns0:f>IF(COUNTIFS(Cases!$B$2:$B$1859,A431,Cases!$R$2:$R$1859,1)&gt;0,1,0)</ns0:f>
        <ns0:v>1</ns0:v>
      </ns0:c>
    </ns0:row>
    <ns0:row r="432">
      <ns0:c r="A432" t="inlineStr">
        <ns0:is>
          <ns0:t>function_0431</ns0:t>
        </ns0:is>
      </ns0:c>
      <ns0:c r="B432" t="inlineStr">
        <ns0:is>
          <ns0:t>run_013</ns0:t>
        </ns0:is>
      </ns0:c>
      <ns0:c r="C432" t="inlineStr">
        <ns0:is>
          <ns0:t>rand</ns0:t>
        </ns0:is>
      </ns0:c>
      <ns0:c r="D432" t="inlineStr">
        <ns0:is>
          <ns0:t>gemini-2.5-flash-nothinking</ns0:t>
        </ns0:is>
      </ns0:c>
      <ns0:c r="E432">
        <ns0:f>COUNTIF(Cases!$B$2:$B$1859,A432)</ns0:f>
        <ns0:v>2</ns0:v>
      </ns0:c>
      <ns0:c r="F432">
        <ns0:f>IF(COUNTIFS(Cases!$B$2:$B$1859,A432,Cases!$G$2:$G$1859,1)&gt;0,1,0)</ns0:f>
        <ns0:v>1</ns0:v>
      </ns0:c>
      <ns0:c r="G432">
        <ns0:f>IF(COUNTIFS(Cases!$B$2:$B$1859,A432,Cases!$L$2:$L$1859,1)&gt;0,1,0)</ns0:f>
        <ns0:v>1</ns0:v>
      </ns0:c>
      <ns0:c r="H432">
        <ns0:f>IF(COUNTIFS(Cases!$B$2:$B$1859,A432,Cases!$Q$2:$Q$1859,1)&gt;0,1,0)</ns0:f>
        <ns0:v>0</ns0:v>
      </ns0:c>
      <ns0:c r="I432">
        <ns0:f>IF(COUNTIFS(Cases!$B$2:$B$1859,A432,Cases!$R$2:$R$1859,1)&gt;0,1,0)</ns0:f>
        <ns0:v>0</ns0:v>
      </ns0:c>
    </ns0:row>
    <ns0:row r="433">
      <ns0:c r="A433" t="inlineStr">
        <ns0:is>
          <ns0:t>function_0432</ns0:t>
        </ns0:is>
      </ns0:c>
      <ns0:c r="B433" t="inlineStr">
        <ns0:is>
          <ns0:t>run_013</ns0:t>
        </ns0:is>
      </ns0:c>
      <ns0:c r="C433" t="inlineStr">
        <ns0:is>
          <ns0:t>rand</ns0:t>
        </ns0:is>
      </ns0:c>
      <ns0:c r="D433" t="inlineStr">
        <ns0:is>
          <ns0:t>gemini-2.5-flash-nothinking</ns0:t>
        </ns0:is>
      </ns0:c>
      <ns0:c r="E433">
        <ns0:f>COUNTIF(Cases!$B$2:$B$1859,A433)</ns0:f>
        <ns0:v>2</ns0:v>
      </ns0:c>
      <ns0:c r="F433">
        <ns0:f>IF(COUNTIFS(Cases!$B$2:$B$1859,A433,Cases!$G$2:$G$1859,1)&gt;0,1,0)</ns0:f>
        <ns0:v>1</ns0:v>
      </ns0:c>
      <ns0:c r="G433">
        <ns0:f>IF(COUNTIFS(Cases!$B$2:$B$1859,A433,Cases!$L$2:$L$1859,1)&gt;0,1,0)</ns0:f>
        <ns0:v>1</ns0:v>
      </ns0:c>
      <ns0:c r="H433">
        <ns0:f>IF(COUNTIFS(Cases!$B$2:$B$1859,A433,Cases!$Q$2:$Q$1859,1)&gt;0,1,0)</ns0:f>
        <ns0:v>1</ns0:v>
      </ns0:c>
      <ns0:c r="I433">
        <ns0:f>IF(COUNTIFS(Cases!$B$2:$B$1859,A433,Cases!$R$2:$R$1859,1)&gt;0,1,0)</ns0:f>
        <ns0:v>1</ns0:v>
      </ns0:c>
    </ns0:row>
    <ns0:row r="434">
      <ns0:c r="A434" t="inlineStr">
        <ns0:is>
          <ns0:t>function_0433</ns0:t>
        </ns0:is>
      </ns0:c>
      <ns0:c r="B434" t="inlineStr">
        <ns0:is>
          <ns0:t>run_013</ns0:t>
        </ns0:is>
      </ns0:c>
      <ns0:c r="C434" t="inlineStr">
        <ns0:is>
          <ns0:t>rand</ns0:t>
        </ns0:is>
      </ns0:c>
      <ns0:c r="D434" t="inlineStr">
        <ns0:is>
          <ns0:t>gemini-2.5-flash-nothinking</ns0:t>
        </ns0:is>
      </ns0:c>
      <ns0:c r="E434">
        <ns0:f>COUNTIF(Cases!$B$2:$B$1859,A434)</ns0:f>
        <ns0:v>2</ns0:v>
      </ns0:c>
      <ns0:c r="F434">
        <ns0:f>IF(COUNTIFS(Cases!$B$2:$B$1859,A434,Cases!$G$2:$G$1859,1)&gt;0,1,0)</ns0:f>
        <ns0:v>1</ns0:v>
      </ns0:c>
      <ns0:c r="G434">
        <ns0:f>IF(COUNTIFS(Cases!$B$2:$B$1859,A434,Cases!$L$2:$L$1859,1)&gt;0,1,0)</ns0:f>
        <ns0:v>1</ns0:v>
      </ns0:c>
      <ns0:c r="H434">
        <ns0:f>IF(COUNTIFS(Cases!$B$2:$B$1859,A434,Cases!$Q$2:$Q$1859,1)&gt;0,1,0)</ns0:f>
        <ns0:v>0</ns0:v>
      </ns0:c>
      <ns0:c r="I434">
        <ns0:f>IF(COUNTIFS(Cases!$B$2:$B$1859,A434,Cases!$R$2:$R$1859,1)&gt;0,1,0)</ns0:f>
        <ns0:v>1</ns0:v>
      </ns0:c>
    </ns0:row>
    <ns0:row r="435">
      <ns0:c r="A435" t="inlineStr">
        <ns0:is>
          <ns0:t>function_0434</ns0:t>
        </ns0:is>
      </ns0:c>
      <ns0:c r="B435" t="inlineStr">
        <ns0:is>
          <ns0:t>run_013</ns0:t>
        </ns0:is>
      </ns0:c>
      <ns0:c r="C435" t="inlineStr">
        <ns0:is>
          <ns0:t>rand</ns0:t>
        </ns0:is>
      </ns0:c>
      <ns0:c r="D435" t="inlineStr">
        <ns0:is>
          <ns0:t>gemini-2.5-flash-nothinking</ns0:t>
        </ns0:is>
      </ns0:c>
      <ns0:c r="E435">
        <ns0:f>COUNTIF(Cases!$B$2:$B$1859,A435)</ns0:f>
        <ns0:v>2</ns0:v>
      </ns0:c>
      <ns0:c r="F435">
        <ns0:f>IF(COUNTIFS(Cases!$B$2:$B$1859,A435,Cases!$G$2:$G$1859,1)&gt;0,1,0)</ns0:f>
        <ns0:v>1</ns0:v>
      </ns0:c>
      <ns0:c r="G435">
        <ns0:f>IF(COUNTIFS(Cases!$B$2:$B$1859,A435,Cases!$L$2:$L$1859,1)&gt;0,1,0)</ns0:f>
        <ns0:v>1</ns0:v>
      </ns0:c>
      <ns0:c r="H435">
        <ns0:f>IF(COUNTIFS(Cases!$B$2:$B$1859,A435,Cases!$Q$2:$Q$1859,1)&gt;0,1,0)</ns0:f>
        <ns0:v>0</ns0:v>
      </ns0:c>
      <ns0:c r="I435">
        <ns0:f>IF(COUNTIFS(Cases!$B$2:$B$1859,A435,Cases!$R$2:$R$1859,1)&gt;0,1,0)</ns0:f>
        <ns0:v>1</ns0:v>
      </ns0:c>
    </ns0:row>
    <ns0:row r="436">
      <ns0:c r="A436" t="inlineStr">
        <ns0:is>
          <ns0:t>function_0435</ns0:t>
        </ns0:is>
      </ns0:c>
      <ns0:c r="B436" t="inlineStr">
        <ns0:is>
          <ns0:t>run_013</ns0:t>
        </ns0:is>
      </ns0:c>
      <ns0:c r="C436" t="inlineStr">
        <ns0:is>
          <ns0:t>rand</ns0:t>
        </ns0:is>
      </ns0:c>
      <ns0:c r="D436" t="inlineStr">
        <ns0:is>
          <ns0:t>gemini-2.5-flash-nothinking</ns0:t>
        </ns0:is>
      </ns0:c>
      <ns0:c r="E436">
        <ns0:f>COUNTIF(Cases!$B$2:$B$1859,A436)</ns0:f>
        <ns0:v>2</ns0:v>
      </ns0:c>
      <ns0:c r="F436">
        <ns0:f>IF(COUNTIFS(Cases!$B$2:$B$1859,A436,Cases!$G$2:$G$1859,1)&gt;0,1,0)</ns0:f>
        <ns0:v>1</ns0:v>
      </ns0:c>
      <ns0:c r="G436">
        <ns0:f>IF(COUNTIFS(Cases!$B$2:$B$1859,A436,Cases!$L$2:$L$1859,1)&gt;0,1,0)</ns0:f>
        <ns0:v>1</ns0:v>
      </ns0:c>
      <ns0:c r="H436">
        <ns0:f>IF(COUNTIFS(Cases!$B$2:$B$1859,A436,Cases!$Q$2:$Q$1859,1)&gt;0,1,0)</ns0:f>
        <ns0:v>0</ns0:v>
      </ns0:c>
      <ns0:c r="I436">
        <ns0:f>IF(COUNTIFS(Cases!$B$2:$B$1859,A436,Cases!$R$2:$R$1859,1)&gt;0,1,0)</ns0:f>
        <ns0:v>1</ns0:v>
      </ns0:c>
    </ns0:row>
    <ns0:row r="437">
      <ns0:c r="A437" t="inlineStr">
        <ns0:is>
          <ns0:t>function_0436</ns0:t>
        </ns0:is>
      </ns0:c>
      <ns0:c r="B437" t="inlineStr">
        <ns0:is>
          <ns0:t>run_013</ns0:t>
        </ns0:is>
      </ns0:c>
      <ns0:c r="C437" t="inlineStr">
        <ns0:is>
          <ns0:t>rand</ns0:t>
        </ns0:is>
      </ns0:c>
      <ns0:c r="D437" t="inlineStr">
        <ns0:is>
          <ns0:t>gemini-2.5-flash-nothinking</ns0:t>
        </ns0:is>
      </ns0:c>
      <ns0:c r="E437">
        <ns0:f>COUNTIF(Cases!$B$2:$B$1859,A437)</ns0:f>
        <ns0:v>2</ns0:v>
      </ns0:c>
      <ns0:c r="F437">
        <ns0:f>IF(COUNTIFS(Cases!$B$2:$B$1859,A437,Cases!$G$2:$G$1859,1)&gt;0,1,0)</ns0:f>
        <ns0:v>1</ns0:v>
      </ns0:c>
      <ns0:c r="G437">
        <ns0:f>IF(COUNTIFS(Cases!$B$2:$B$1859,A437,Cases!$L$2:$L$1859,1)&gt;0,1,0)</ns0:f>
        <ns0:v>1</ns0:v>
      </ns0:c>
      <ns0:c r="H437">
        <ns0:f>IF(COUNTIFS(Cases!$B$2:$B$1859,A437,Cases!$Q$2:$Q$1859,1)&gt;0,1,0)</ns0:f>
        <ns0:v>0</ns0:v>
      </ns0:c>
      <ns0:c r="I437">
        <ns0:f>IF(COUNTIFS(Cases!$B$2:$B$1859,A437,Cases!$R$2:$R$1859,1)&gt;0,1,0)</ns0:f>
        <ns0:v>1</ns0:v>
      </ns0:c>
    </ns0:row>
    <ns0:row r="438">
      <ns0:c r="A438" t="inlineStr">
        <ns0:is>
          <ns0:t>function_0437</ns0:t>
        </ns0:is>
      </ns0:c>
      <ns0:c r="B438" t="inlineStr">
        <ns0:is>
          <ns0:t>run_013</ns0:t>
        </ns0:is>
      </ns0:c>
      <ns0:c r="C438" t="inlineStr">
        <ns0:is>
          <ns0:t>rand</ns0:t>
        </ns0:is>
      </ns0:c>
      <ns0:c r="D438" t="inlineStr">
        <ns0:is>
          <ns0:t>gemini-2.5-flash-nothinking</ns0:t>
        </ns0:is>
      </ns0:c>
      <ns0:c r="E438">
        <ns0:f>COUNTIF(Cases!$B$2:$B$1859,A438)</ns0:f>
        <ns0:v>2</ns0:v>
      </ns0:c>
      <ns0:c r="F438">
        <ns0:f>IF(COUNTIFS(Cases!$B$2:$B$1859,A438,Cases!$G$2:$G$1859,1)&gt;0,1,0)</ns0:f>
        <ns0:v>1</ns0:v>
      </ns0:c>
      <ns0:c r="G438">
        <ns0:f>IF(COUNTIFS(Cases!$B$2:$B$1859,A438,Cases!$L$2:$L$1859,1)&gt;0,1,0)</ns0:f>
        <ns0:v>1</ns0:v>
      </ns0:c>
      <ns0:c r="H438">
        <ns0:f>IF(COUNTIFS(Cases!$B$2:$B$1859,A438,Cases!$Q$2:$Q$1859,1)&gt;0,1,0)</ns0:f>
        <ns0:v>0</ns0:v>
      </ns0:c>
      <ns0:c r="I438">
        <ns0:f>IF(COUNTIFS(Cases!$B$2:$B$1859,A438,Cases!$R$2:$R$1859,1)&gt;0,1,0)</ns0:f>
        <ns0:v>0</ns0:v>
      </ns0:c>
    </ns0:row>
    <ns0:row r="439">
      <ns0:c r="A439" t="inlineStr">
        <ns0:is>
          <ns0:t>function_0438</ns0:t>
        </ns0:is>
      </ns0:c>
      <ns0:c r="B439" t="inlineStr">
        <ns0:is>
          <ns0:t>run_013</ns0:t>
        </ns0:is>
      </ns0:c>
      <ns0:c r="C439" t="inlineStr">
        <ns0:is>
          <ns0:t>rand</ns0:t>
        </ns0:is>
      </ns0:c>
      <ns0:c r="D439" t="inlineStr">
        <ns0:is>
          <ns0:t>gemini-2.5-flash-nothinking</ns0:t>
        </ns0:is>
      </ns0:c>
      <ns0:c r="E439">
        <ns0:f>COUNTIF(Cases!$B$2:$B$1859,A439)</ns0:f>
        <ns0:v>3</ns0:v>
      </ns0:c>
      <ns0:c r="F439">
        <ns0:f>IF(COUNTIFS(Cases!$B$2:$B$1859,A439,Cases!$G$2:$G$1859,1)&gt;0,1,0)</ns0:f>
        <ns0:v>0</ns0:v>
      </ns0:c>
      <ns0:c r="G439">
        <ns0:f>IF(COUNTIFS(Cases!$B$2:$B$1859,A439,Cases!$L$2:$L$1859,1)&gt;0,1,0)</ns0:f>
        <ns0:v>0</ns0:v>
      </ns0:c>
      <ns0:c r="H439">
        <ns0:f>IF(COUNTIFS(Cases!$B$2:$B$1859,A439,Cases!$Q$2:$Q$1859,1)&gt;0,1,0)</ns0:f>
        <ns0:v>0</ns0:v>
      </ns0:c>
      <ns0:c r="I439">
        <ns0:f>IF(COUNTIFS(Cases!$B$2:$B$1859,A439,Cases!$R$2:$R$1859,1)&gt;0,1,0)</ns0:f>
        <ns0:v>0</ns0:v>
      </ns0:c>
    </ns0:row>
    <ns0:row r="440">
      <ns0:c r="A440" t="inlineStr">
        <ns0:is>
          <ns0:t>function_0439</ns0:t>
        </ns0:is>
      </ns0:c>
      <ns0:c r="B440" t="inlineStr">
        <ns0:is>
          <ns0:t>run_013</ns0:t>
        </ns0:is>
      </ns0:c>
      <ns0:c r="C440" t="inlineStr">
        <ns0:is>
          <ns0:t>rand</ns0:t>
        </ns0:is>
      </ns0:c>
      <ns0:c r="D440" t="inlineStr">
        <ns0:is>
          <ns0:t>gemini-2.5-flash-nothinking</ns0:t>
        </ns0:is>
      </ns0:c>
      <ns0:c r="E440">
        <ns0:f>COUNTIF(Cases!$B$2:$B$1859,A440)</ns0:f>
        <ns0:v>3</ns0:v>
      </ns0:c>
      <ns0:c r="F440">
        <ns0:f>IF(COUNTIFS(Cases!$B$2:$B$1859,A440,Cases!$G$2:$G$1859,1)&gt;0,1,0)</ns0:f>
        <ns0:v>1</ns0:v>
      </ns0:c>
      <ns0:c r="G440">
        <ns0:f>IF(COUNTIFS(Cases!$B$2:$B$1859,A440,Cases!$L$2:$L$1859,1)&gt;0,1,0)</ns0:f>
        <ns0:v>0</ns0:v>
      </ns0:c>
      <ns0:c r="H440">
        <ns0:f>IF(COUNTIFS(Cases!$B$2:$B$1859,A440,Cases!$Q$2:$Q$1859,1)&gt;0,1,0)</ns0:f>
        <ns0:v>0</ns0:v>
      </ns0:c>
      <ns0:c r="I440">
        <ns0:f>IF(COUNTIFS(Cases!$B$2:$B$1859,A440,Cases!$R$2:$R$1859,1)&gt;0,1,0)</ns0:f>
        <ns0:v>0</ns0:v>
      </ns0:c>
    </ns0:row>
    <ns0:row r="441">
      <ns0:c r="A441" t="inlineStr">
        <ns0:is>
          <ns0:t>function_0440</ns0:t>
        </ns0:is>
      </ns0:c>
      <ns0:c r="B441" t="inlineStr">
        <ns0:is>
          <ns0:t>run_013</ns0:t>
        </ns0:is>
      </ns0:c>
      <ns0:c r="C441" t="inlineStr">
        <ns0:is>
          <ns0:t>rand</ns0:t>
        </ns0:is>
      </ns0:c>
      <ns0:c r="D441" t="inlineStr">
        <ns0:is>
          <ns0:t>gemini-2.5-flash-nothinking</ns0:t>
        </ns0:is>
      </ns0:c>
      <ns0:c r="E441">
        <ns0:f>COUNTIF(Cases!$B$2:$B$1859,A441)</ns0:f>
        <ns0:v>1</ns0:v>
      </ns0:c>
      <ns0:c r="F441">
        <ns0:f>IF(COUNTIFS(Cases!$B$2:$B$1859,A441,Cases!$G$2:$G$1859,1)&gt;0,1,0)</ns0:f>
        <ns0:v>0</ns0:v>
      </ns0:c>
      <ns0:c r="G441">
        <ns0:f>IF(COUNTIFS(Cases!$B$2:$B$1859,A441,Cases!$L$2:$L$1859,1)&gt;0,1,0)</ns0:f>
        <ns0:v>0</ns0:v>
      </ns0:c>
      <ns0:c r="H441">
        <ns0:f>IF(COUNTIFS(Cases!$B$2:$B$1859,A441,Cases!$Q$2:$Q$1859,1)&gt;0,1,0)</ns0:f>
        <ns0:v>0</ns0:v>
      </ns0:c>
      <ns0:c r="I441">
        <ns0:f>IF(COUNTIFS(Cases!$B$2:$B$1859,A441,Cases!$R$2:$R$1859,1)&gt;0,1,0)</ns0:f>
        <ns0:v>0</ns0:v>
      </ns0:c>
    </ns0:row>
    <ns0:row r="442">
      <ns0:c r="A442" t="inlineStr">
        <ns0:is>
          <ns0:t>function_0441</ns0:t>
        </ns0:is>
      </ns0:c>
      <ns0:c r="B442" t="inlineStr">
        <ns0:is>
          <ns0:t>run_013</ns0:t>
        </ns0:is>
      </ns0:c>
      <ns0:c r="C442" t="inlineStr">
        <ns0:is>
          <ns0:t>rand</ns0:t>
        </ns0:is>
      </ns0:c>
      <ns0:c r="D442" t="inlineStr">
        <ns0:is>
          <ns0:t>gemini-2.5-flash-nothinking</ns0:t>
        </ns0:is>
      </ns0:c>
      <ns0:c r="E442">
        <ns0:f>COUNTIF(Cases!$B$2:$B$1859,A442)</ns0:f>
        <ns0:v>2</ns0:v>
      </ns0:c>
      <ns0:c r="F442">
        <ns0:f>IF(COUNTIFS(Cases!$B$2:$B$1859,A442,Cases!$G$2:$G$1859,1)&gt;0,1,0)</ns0:f>
        <ns0:v>1</ns0:v>
      </ns0:c>
      <ns0:c r="G442">
        <ns0:f>IF(COUNTIFS(Cases!$B$2:$B$1859,A442,Cases!$L$2:$L$1859,1)&gt;0,1,0)</ns0:f>
        <ns0:v>1</ns0:v>
      </ns0:c>
      <ns0:c r="H442">
        <ns0:f>IF(COUNTIFS(Cases!$B$2:$B$1859,A442,Cases!$Q$2:$Q$1859,1)&gt;0,1,0)</ns0:f>
        <ns0:v>0</ns0:v>
      </ns0:c>
      <ns0:c r="I442">
        <ns0:f>IF(COUNTIFS(Cases!$B$2:$B$1859,A442,Cases!$R$2:$R$1859,1)&gt;0,1,0)</ns0:f>
        <ns0:v>1</ns0:v>
      </ns0:c>
    </ns0:row>
    <ns0:row r="443">
      <ns0:c r="A443" t="inlineStr">
        <ns0:is>
          <ns0:t>function_0442</ns0:t>
        </ns0:is>
      </ns0:c>
      <ns0:c r="B443" t="inlineStr">
        <ns0:is>
          <ns0:t>run_013</ns0:t>
        </ns0:is>
      </ns0:c>
      <ns0:c r="C443" t="inlineStr">
        <ns0:is>
          <ns0:t>rand</ns0:t>
        </ns0:is>
      </ns0:c>
      <ns0:c r="D443" t="inlineStr">
        <ns0:is>
          <ns0:t>gemini-2.5-flash-nothinking</ns0:t>
        </ns0:is>
      </ns0:c>
      <ns0:c r="E443">
        <ns0:f>COUNTIF(Cases!$B$2:$B$1859,A443)</ns0:f>
        <ns0:v>2</ns0:v>
      </ns0:c>
      <ns0:c r="F443">
        <ns0:f>IF(COUNTIFS(Cases!$B$2:$B$1859,A443,Cases!$G$2:$G$1859,1)&gt;0,1,0)</ns0:f>
        <ns0:v>1</ns0:v>
      </ns0:c>
      <ns0:c r="G443">
        <ns0:f>IF(COUNTIFS(Cases!$B$2:$B$1859,A443,Cases!$L$2:$L$1859,1)&gt;0,1,0)</ns0:f>
        <ns0:v>1</ns0:v>
      </ns0:c>
      <ns0:c r="H443">
        <ns0:f>IF(COUNTIFS(Cases!$B$2:$B$1859,A443,Cases!$Q$2:$Q$1859,1)&gt;0,1,0)</ns0:f>
        <ns0:v>1</ns0:v>
      </ns0:c>
      <ns0:c r="I443">
        <ns0:f>IF(COUNTIFS(Cases!$B$2:$B$1859,A443,Cases!$R$2:$R$1859,1)&gt;0,1,0)</ns0:f>
        <ns0:v>1</ns0:v>
      </ns0:c>
    </ns0:row>
    <ns0:row r="444">
      <ns0:c r="A444" t="inlineStr">
        <ns0:is>
          <ns0:t>function_0443</ns0:t>
        </ns0:is>
      </ns0:c>
      <ns0:c r="B444" t="inlineStr">
        <ns0:is>
          <ns0:t>run_013</ns0:t>
        </ns0:is>
      </ns0:c>
      <ns0:c r="C444" t="inlineStr">
        <ns0:is>
          <ns0:t>rand</ns0:t>
        </ns0:is>
      </ns0:c>
      <ns0:c r="D444" t="inlineStr">
        <ns0:is>
          <ns0:t>gemini-2.5-flash-nothinking</ns0:t>
        </ns0:is>
      </ns0:c>
      <ns0:c r="E444">
        <ns0:f>COUNTIF(Cases!$B$2:$B$1859,A444)</ns0:f>
        <ns0:v>3</ns0:v>
      </ns0:c>
      <ns0:c r="F444">
        <ns0:f>IF(COUNTIFS(Cases!$B$2:$B$1859,A444,Cases!$G$2:$G$1859,1)&gt;0,1,0)</ns0:f>
        <ns0:v>1</ns0:v>
      </ns0:c>
      <ns0:c r="G444">
        <ns0:f>IF(COUNTIFS(Cases!$B$2:$B$1859,A444,Cases!$L$2:$L$1859,1)&gt;0,1,0)</ns0:f>
        <ns0:v>1</ns0:v>
      </ns0:c>
      <ns0:c r="H444">
        <ns0:f>IF(COUNTIFS(Cases!$B$2:$B$1859,A444,Cases!$Q$2:$Q$1859,1)&gt;0,1,0)</ns0:f>
        <ns0:v>0</ns0:v>
      </ns0:c>
      <ns0:c r="I444">
        <ns0:f>IF(COUNTIFS(Cases!$B$2:$B$1859,A444,Cases!$R$2:$R$1859,1)&gt;0,1,0)</ns0:f>
        <ns0:v>1</ns0:v>
      </ns0:c>
    </ns0:row>
    <ns0:row r="445">
      <ns0:c r="A445" t="inlineStr">
        <ns0:is>
          <ns0:t>function_0444</ns0:t>
        </ns0:is>
      </ns0:c>
      <ns0:c r="B445" t="inlineStr">
        <ns0:is>
          <ns0:t>run_013</ns0:t>
        </ns0:is>
      </ns0:c>
      <ns0:c r="C445" t="inlineStr">
        <ns0:is>
          <ns0:t>rand</ns0:t>
        </ns0:is>
      </ns0:c>
      <ns0:c r="D445" t="inlineStr">
        <ns0:is>
          <ns0:t>gemini-2.5-flash-nothinking</ns0:t>
        </ns0:is>
      </ns0:c>
      <ns0:c r="E445">
        <ns0:f>COUNTIF(Cases!$B$2:$B$1859,A445)</ns0:f>
        <ns0:v>3</ns0:v>
      </ns0:c>
      <ns0:c r="F445">
        <ns0:f>IF(COUNTIFS(Cases!$B$2:$B$1859,A445,Cases!$G$2:$G$1859,1)&gt;0,1,0)</ns0:f>
        <ns0:v>1</ns0:v>
      </ns0:c>
      <ns0:c r="G445">
        <ns0:f>IF(COUNTIFS(Cases!$B$2:$B$1859,A445,Cases!$L$2:$L$1859,1)&gt;0,1,0)</ns0:f>
        <ns0:v>1</ns0:v>
      </ns0:c>
      <ns0:c r="H445">
        <ns0:f>IF(COUNTIFS(Cases!$B$2:$B$1859,A445,Cases!$Q$2:$Q$1859,1)&gt;0,1,0)</ns0:f>
        <ns0:v>1</ns0:v>
      </ns0:c>
      <ns0:c r="I445">
        <ns0:f>IF(COUNTIFS(Cases!$B$2:$B$1859,A445,Cases!$R$2:$R$1859,1)&gt;0,1,0)</ns0:f>
        <ns0:v>1</ns0:v>
      </ns0:c>
    </ns0:row>
    <ns0:row r="446">
      <ns0:c r="A446" t="inlineStr">
        <ns0:is>
          <ns0:t>function_0445</ns0:t>
        </ns0:is>
      </ns0:c>
      <ns0:c r="B446" t="inlineStr">
        <ns0:is>
          <ns0:t>run_013</ns0:t>
        </ns0:is>
      </ns0:c>
      <ns0:c r="C446" t="inlineStr">
        <ns0:is>
          <ns0:t>rand</ns0:t>
        </ns0:is>
      </ns0:c>
      <ns0:c r="D446" t="inlineStr">
        <ns0:is>
          <ns0:t>gemini-2.5-flash-nothinking</ns0:t>
        </ns0:is>
      </ns0:c>
      <ns0:c r="E446">
        <ns0:f>COUNTIF(Cases!$B$2:$B$1859,A446)</ns0:f>
        <ns0:v>4</ns0:v>
      </ns0:c>
      <ns0:c r="F446">
        <ns0:f>IF(COUNTIFS(Cases!$B$2:$B$1859,A446,Cases!$G$2:$G$1859,1)&gt;0,1,0)</ns0:f>
        <ns0:v>0</ns0:v>
      </ns0:c>
      <ns0:c r="G446">
        <ns0:f>IF(COUNTIFS(Cases!$B$2:$B$1859,A446,Cases!$L$2:$L$1859,1)&gt;0,1,0)</ns0:f>
        <ns0:v>0</ns0:v>
      </ns0:c>
      <ns0:c r="H446">
        <ns0:f>IF(COUNTIFS(Cases!$B$2:$B$1859,A446,Cases!$Q$2:$Q$1859,1)&gt;0,1,0)</ns0:f>
        <ns0:v>0</ns0:v>
      </ns0:c>
      <ns0:c r="I446">
        <ns0:f>IF(COUNTIFS(Cases!$B$2:$B$1859,A446,Cases!$R$2:$R$1859,1)&gt;0,1,0)</ns0:f>
        <ns0:v>0</ns0:v>
      </ns0:c>
    </ns0:row>
    <ns0:row r="447">
      <ns0:c r="A447" t="inlineStr">
        <ns0:is>
          <ns0:t>function_0446</ns0:t>
        </ns0:is>
      </ns0:c>
      <ns0:c r="B447" t="inlineStr">
        <ns0:is>
          <ns0:t>run_013</ns0:t>
        </ns0:is>
      </ns0:c>
      <ns0:c r="C447" t="inlineStr">
        <ns0:is>
          <ns0:t>rand</ns0:t>
        </ns0:is>
      </ns0:c>
      <ns0:c r="D447" t="inlineStr">
        <ns0:is>
          <ns0:t>gemini-2.5-flash-nothinking</ns0:t>
        </ns0:is>
      </ns0:c>
      <ns0:c r="E447">
        <ns0:f>COUNTIF(Cases!$B$2:$B$1859,A447)</ns0:f>
        <ns0:v>2</ns0:v>
      </ns0:c>
      <ns0:c r="F447">
        <ns0:f>IF(COUNTIFS(Cases!$B$2:$B$1859,A447,Cases!$G$2:$G$1859,1)&gt;0,1,0)</ns0:f>
        <ns0:v>1</ns0:v>
      </ns0:c>
      <ns0:c r="G447">
        <ns0:f>IF(COUNTIFS(Cases!$B$2:$B$1859,A447,Cases!$L$2:$L$1859,1)&gt;0,1,0)</ns0:f>
        <ns0:v>1</ns0:v>
      </ns0:c>
      <ns0:c r="H447">
        <ns0:f>IF(COUNTIFS(Cases!$B$2:$B$1859,A447,Cases!$Q$2:$Q$1859,1)&gt;0,1,0)</ns0:f>
        <ns0:v>0</ns0:v>
      </ns0:c>
      <ns0:c r="I447">
        <ns0:f>IF(COUNTIFS(Cases!$B$2:$B$1859,A447,Cases!$R$2:$R$1859,1)&gt;0,1,0)</ns0:f>
        <ns0:v>1</ns0:v>
      </ns0:c>
    </ns0:row>
    <ns0:row r="448">
      <ns0:c r="A448" t="inlineStr">
        <ns0:is>
          <ns0:t>function_0447</ns0:t>
        </ns0:is>
      </ns0:c>
      <ns0:c r="B448" t="inlineStr">
        <ns0:is>
          <ns0:t>run_013</ns0:t>
        </ns0:is>
      </ns0:c>
      <ns0:c r="C448" t="inlineStr">
        <ns0:is>
          <ns0:t>rand</ns0:t>
        </ns0:is>
      </ns0:c>
      <ns0:c r="D448" t="inlineStr">
        <ns0:is>
          <ns0:t>gemini-2.5-flash-nothinking</ns0:t>
        </ns0:is>
      </ns0:c>
      <ns0:c r="E448">
        <ns0:f>COUNTIF(Cases!$B$2:$B$1859,A448)</ns0:f>
        <ns0:v>3</ns0:v>
      </ns0:c>
      <ns0:c r="F448">
        <ns0:f>IF(COUNTIFS(Cases!$B$2:$B$1859,A448,Cases!$G$2:$G$1859,1)&gt;0,1,0)</ns0:f>
        <ns0:v>0</ns0:v>
      </ns0:c>
      <ns0:c r="G448">
        <ns0:f>IF(COUNTIFS(Cases!$B$2:$B$1859,A448,Cases!$L$2:$L$1859,1)&gt;0,1,0)</ns0:f>
        <ns0:v>1</ns0:v>
      </ns0:c>
      <ns0:c r="H448">
        <ns0:f>IF(COUNTIFS(Cases!$B$2:$B$1859,A448,Cases!$Q$2:$Q$1859,1)&gt;0,1,0)</ns0:f>
        <ns0:v>0</ns0:v>
      </ns0:c>
      <ns0:c r="I448">
        <ns0:f>IF(COUNTIFS(Cases!$B$2:$B$1859,A448,Cases!$R$2:$R$1859,1)&gt;0,1,0)</ns0:f>
        <ns0:v>1</ns0:v>
      </ns0:c>
    </ns0:row>
    <ns0:row r="449">
      <ns0:c r="A449" t="inlineStr">
        <ns0:is>
          <ns0:t>function_0448</ns0:t>
        </ns0:is>
      </ns0:c>
      <ns0:c r="B449" t="inlineStr">
        <ns0:is>
          <ns0:t>run_013</ns0:t>
        </ns0:is>
      </ns0:c>
      <ns0:c r="C449" t="inlineStr">
        <ns0:is>
          <ns0:t>rand</ns0:t>
        </ns0:is>
      </ns0:c>
      <ns0:c r="D449" t="inlineStr">
        <ns0:is>
          <ns0:t>gemini-2.5-flash-nothinking</ns0:t>
        </ns0:is>
      </ns0:c>
      <ns0:c r="E449">
        <ns0:f>COUNTIF(Cases!$B$2:$B$1859,A449)</ns0:f>
        <ns0:v>3</ns0:v>
      </ns0:c>
      <ns0:c r="F449">
        <ns0:f>IF(COUNTIFS(Cases!$B$2:$B$1859,A449,Cases!$G$2:$G$1859,1)&gt;0,1,0)</ns0:f>
        <ns0:v>1</ns0:v>
      </ns0:c>
      <ns0:c r="G449">
        <ns0:f>IF(COUNTIFS(Cases!$B$2:$B$1859,A449,Cases!$L$2:$L$1859,1)&gt;0,1,0)</ns0:f>
        <ns0:v>1</ns0:v>
      </ns0:c>
      <ns0:c r="H449">
        <ns0:f>IF(COUNTIFS(Cases!$B$2:$B$1859,A449,Cases!$Q$2:$Q$1859,1)&gt;0,1,0)</ns0:f>
        <ns0:v>0</ns0:v>
      </ns0:c>
      <ns0:c r="I449">
        <ns0:f>IF(COUNTIFS(Cases!$B$2:$B$1859,A449,Cases!$R$2:$R$1859,1)&gt;0,1,0)</ns0:f>
        <ns0:v>0</ns0:v>
      </ns0:c>
    </ns0:row>
    <ns0:row r="450">
      <ns0:c r="A450" t="inlineStr">
        <ns0:is>
          <ns0:t>function_0449</ns0:t>
        </ns0:is>
      </ns0:c>
      <ns0:c r="B450" t="inlineStr">
        <ns0:is>
          <ns0:t>run_013</ns0:t>
        </ns0:is>
      </ns0:c>
      <ns0:c r="C450" t="inlineStr">
        <ns0:is>
          <ns0:t>rand</ns0:t>
        </ns0:is>
      </ns0:c>
      <ns0:c r="D450" t="inlineStr">
        <ns0:is>
          <ns0:t>gemini-2.5-flash-nothinking</ns0:t>
        </ns0:is>
      </ns0:c>
      <ns0:c r="E450">
        <ns0:f>COUNTIF(Cases!$B$2:$B$1859,A450)</ns0:f>
        <ns0:v>3</ns0:v>
      </ns0:c>
      <ns0:c r="F450">
        <ns0:f>IF(COUNTIFS(Cases!$B$2:$B$1859,A450,Cases!$G$2:$G$1859,1)&gt;0,1,0)</ns0:f>
        <ns0:v>1</ns0:v>
      </ns0:c>
      <ns0:c r="G450">
        <ns0:f>IF(COUNTIFS(Cases!$B$2:$B$1859,A450,Cases!$L$2:$L$1859,1)&gt;0,1,0)</ns0:f>
        <ns0:v>1</ns0:v>
      </ns0:c>
      <ns0:c r="H450">
        <ns0:f>IF(COUNTIFS(Cases!$B$2:$B$1859,A450,Cases!$Q$2:$Q$1859,1)&gt;0,1,0)</ns0:f>
        <ns0:v>0</ns0:v>
      </ns0:c>
      <ns0:c r="I450">
        <ns0:f>IF(COUNTIFS(Cases!$B$2:$B$1859,A450,Cases!$R$2:$R$1859,1)&gt;0,1,0)</ns0:f>
        <ns0:v>0</ns0:v>
      </ns0:c>
    </ns0:row>
    <ns0:row r="451">
      <ns0:c r="A451" t="inlineStr">
        <ns0:is>
          <ns0:t>function_0450</ns0:t>
        </ns0:is>
      </ns0:c>
      <ns0:c r="B451" t="inlineStr">
        <ns0:is>
          <ns0:t>run_013</ns0:t>
        </ns0:is>
      </ns0:c>
      <ns0:c r="C451" t="inlineStr">
        <ns0:is>
          <ns0:t>rand</ns0:t>
        </ns0:is>
      </ns0:c>
      <ns0:c r="D451" t="inlineStr">
        <ns0:is>
          <ns0:t>gemini-2.5-flash-nothinking</ns0:t>
        </ns0:is>
      </ns0:c>
      <ns0:c r="E451">
        <ns0:f>COUNTIF(Cases!$B$2:$B$1859,A451)</ns0:f>
        <ns0:v>3</ns0:v>
      </ns0:c>
      <ns0:c r="F451">
        <ns0:f>IF(COUNTIFS(Cases!$B$2:$B$1859,A451,Cases!$G$2:$G$1859,1)&gt;0,1,0)</ns0:f>
        <ns0:v>1</ns0:v>
      </ns0:c>
      <ns0:c r="G451">
        <ns0:f>IF(COUNTIFS(Cases!$B$2:$B$1859,A451,Cases!$L$2:$L$1859,1)&gt;0,1,0)</ns0:f>
        <ns0:v>1</ns0:v>
      </ns0:c>
      <ns0:c r="H451">
        <ns0:f>IF(COUNTIFS(Cases!$B$2:$B$1859,A451,Cases!$Q$2:$Q$1859,1)&gt;0,1,0)</ns0:f>
        <ns0:v>0</ns0:v>
      </ns0:c>
      <ns0:c r="I451">
        <ns0:f>IF(COUNTIFS(Cases!$B$2:$B$1859,A451,Cases!$R$2:$R$1859,1)&gt;0,1,0)</ns0:f>
        <ns0:v>0</ns0:v>
      </ns0:c>
    </ns0:row>
    <ns0:row r="452">
      <ns0:c r="A452" t="inlineStr">
        <ns0:is>
          <ns0:t>function_0451</ns0:t>
        </ns0:is>
      </ns0:c>
      <ns0:c r="B452" t="inlineStr">
        <ns0:is>
          <ns0:t>run_013</ns0:t>
        </ns0:is>
      </ns0:c>
      <ns0:c r="C452" t="inlineStr">
        <ns0:is>
          <ns0:t>rand</ns0:t>
        </ns0:is>
      </ns0:c>
      <ns0:c r="D452" t="inlineStr">
        <ns0:is>
          <ns0:t>gemini-2.5-flash-nothinking</ns0:t>
        </ns0:is>
      </ns0:c>
      <ns0:c r="E452">
        <ns0:f>COUNTIF(Cases!$B$2:$B$1859,A452)</ns0:f>
        <ns0:v>3</ns0:v>
      </ns0:c>
      <ns0:c r="F452">
        <ns0:f>IF(COUNTIFS(Cases!$B$2:$B$1859,A452,Cases!$G$2:$G$1859,1)&gt;0,1,0)</ns0:f>
        <ns0:v>1</ns0:v>
      </ns0:c>
      <ns0:c r="G452">
        <ns0:f>IF(COUNTIFS(Cases!$B$2:$B$1859,A452,Cases!$L$2:$L$1859,1)&gt;0,1,0)</ns0:f>
        <ns0:v>1</ns0:v>
      </ns0:c>
      <ns0:c r="H452">
        <ns0:f>IF(COUNTIFS(Cases!$B$2:$B$1859,A452,Cases!$Q$2:$Q$1859,1)&gt;0,1,0)</ns0:f>
        <ns0:v>0</ns0:v>
      </ns0:c>
      <ns0:c r="I452">
        <ns0:f>IF(COUNTIFS(Cases!$B$2:$B$1859,A452,Cases!$R$2:$R$1859,1)&gt;0,1,0)</ns0:f>
        <ns0:v>0</ns0:v>
      </ns0:c>
    </ns0:row>
    <ns0:row r="453">
      <ns0:c r="A453" t="inlineStr">
        <ns0:is>
          <ns0:t>function_0452</ns0:t>
        </ns0:is>
      </ns0:c>
      <ns0:c r="B453" t="inlineStr">
        <ns0:is>
          <ns0:t>run_013</ns0:t>
        </ns0:is>
      </ns0:c>
      <ns0:c r="C453" t="inlineStr">
        <ns0:is>
          <ns0:t>rand</ns0:t>
        </ns0:is>
      </ns0:c>
      <ns0:c r="D453" t="inlineStr">
        <ns0:is>
          <ns0:t>gemini-2.5-flash-nothinking</ns0:t>
        </ns0:is>
      </ns0:c>
      <ns0:c r="E453">
        <ns0:f>COUNTIF(Cases!$B$2:$B$1859,A453)</ns0:f>
        <ns0:v>3</ns0:v>
      </ns0:c>
      <ns0:c r="F453">
        <ns0:f>IF(COUNTIFS(Cases!$B$2:$B$1859,A453,Cases!$G$2:$G$1859,1)&gt;0,1,0)</ns0:f>
        <ns0:v>0</ns0:v>
      </ns0:c>
      <ns0:c r="G453">
        <ns0:f>IF(COUNTIFS(Cases!$B$2:$B$1859,A453,Cases!$L$2:$L$1859,1)&gt;0,1,0)</ns0:f>
        <ns0:v>1</ns0:v>
      </ns0:c>
      <ns0:c r="H453">
        <ns0:f>IF(COUNTIFS(Cases!$B$2:$B$1859,A453,Cases!$Q$2:$Q$1859,1)&gt;0,1,0)</ns0:f>
        <ns0:v>0</ns0:v>
      </ns0:c>
      <ns0:c r="I453">
        <ns0:f>IF(COUNTIFS(Cases!$B$2:$B$1859,A453,Cases!$R$2:$R$1859,1)&gt;0,1,0)</ns0:f>
        <ns0:v>0</ns0:v>
      </ns0:c>
    </ns0:row>
    <ns0:row r="454">
      <ns0:c r="A454" t="inlineStr">
        <ns0:is>
          <ns0:t>function_0453</ns0:t>
        </ns0:is>
      </ns0:c>
      <ns0:c r="B454" t="inlineStr">
        <ns0:is>
          <ns0:t>run_013</ns0:t>
        </ns0:is>
      </ns0:c>
      <ns0:c r="C454" t="inlineStr">
        <ns0:is>
          <ns0:t>rand</ns0:t>
        </ns0:is>
      </ns0:c>
      <ns0:c r="D454" t="inlineStr">
        <ns0:is>
          <ns0:t>gemini-2.5-flash-nothinking</ns0:t>
        </ns0:is>
      </ns0:c>
      <ns0:c r="E454">
        <ns0:f>COUNTIF(Cases!$B$2:$B$1859,A454)</ns0:f>
        <ns0:v>3</ns0:v>
      </ns0:c>
      <ns0:c r="F454">
        <ns0:f>IF(COUNTIFS(Cases!$B$2:$B$1859,A454,Cases!$G$2:$G$1859,1)&gt;0,1,0)</ns0:f>
        <ns0:v>0</ns0:v>
      </ns0:c>
      <ns0:c r="G454">
        <ns0:f>IF(COUNTIFS(Cases!$B$2:$B$1859,A454,Cases!$L$2:$L$1859,1)&gt;0,1,0)</ns0:f>
        <ns0:v>1</ns0:v>
      </ns0:c>
      <ns0:c r="H454">
        <ns0:f>IF(COUNTIFS(Cases!$B$2:$B$1859,A454,Cases!$Q$2:$Q$1859,1)&gt;0,1,0)</ns0:f>
        <ns0:v>0</ns0:v>
      </ns0:c>
      <ns0:c r="I454">
        <ns0:f>IF(COUNTIFS(Cases!$B$2:$B$1859,A454,Cases!$R$2:$R$1859,1)&gt;0,1,0)</ns0:f>
        <ns0:v>0</ns0:v>
      </ns0:c>
    </ns0:row>
    <ns0:row r="455">
      <ns0:c r="A455" t="inlineStr">
        <ns0:is>
          <ns0:t>function_0454</ns0:t>
        </ns0:is>
      </ns0:c>
      <ns0:c r="B455" t="inlineStr">
        <ns0:is>
          <ns0:t>run_013</ns0:t>
        </ns0:is>
      </ns0:c>
      <ns0:c r="C455" t="inlineStr">
        <ns0:is>
          <ns0:t>rand</ns0:t>
        </ns0:is>
      </ns0:c>
      <ns0:c r="D455" t="inlineStr">
        <ns0:is>
          <ns0:t>gemini-2.5-flash-nothinking</ns0:t>
        </ns0:is>
      </ns0:c>
      <ns0:c r="E455">
        <ns0:f>COUNTIF(Cases!$B$2:$B$1859,A455)</ns0:f>
        <ns0:v>3</ns0:v>
      </ns0:c>
      <ns0:c r="F455">
        <ns0:f>IF(COUNTIFS(Cases!$B$2:$B$1859,A455,Cases!$G$2:$G$1859,1)&gt;0,1,0)</ns0:f>
        <ns0:v>0</ns0:v>
      </ns0:c>
      <ns0:c r="G455">
        <ns0:f>IF(COUNTIFS(Cases!$B$2:$B$1859,A455,Cases!$L$2:$L$1859,1)&gt;0,1,0)</ns0:f>
        <ns0:v>1</ns0:v>
      </ns0:c>
      <ns0:c r="H455">
        <ns0:f>IF(COUNTIFS(Cases!$B$2:$B$1859,A455,Cases!$Q$2:$Q$1859,1)&gt;0,1,0)</ns0:f>
        <ns0:v>0</ns0:v>
      </ns0:c>
      <ns0:c r="I455">
        <ns0:f>IF(COUNTIFS(Cases!$B$2:$B$1859,A455,Cases!$R$2:$R$1859,1)&gt;0,1,0)</ns0:f>
        <ns0:v>0</ns0:v>
      </ns0:c>
    </ns0:row>
    <ns0:row r="456">
      <ns0:c r="A456" t="inlineStr">
        <ns0:is>
          <ns0:t>function_0455</ns0:t>
        </ns0:is>
      </ns0:c>
      <ns0:c r="B456" t="inlineStr">
        <ns0:is>
          <ns0:t>run_013</ns0:t>
        </ns0:is>
      </ns0:c>
      <ns0:c r="C456" t="inlineStr">
        <ns0:is>
          <ns0:t>rand</ns0:t>
        </ns0:is>
      </ns0:c>
      <ns0:c r="D456" t="inlineStr">
        <ns0:is>
          <ns0:t>gemini-2.5-flash-nothinking</ns0:t>
        </ns0:is>
      </ns0:c>
      <ns0:c r="E456">
        <ns0:f>COUNTIF(Cases!$B$2:$B$1859,A456)</ns0:f>
        <ns0:v>3</ns0:v>
      </ns0:c>
      <ns0:c r="F456">
        <ns0:f>IF(COUNTIFS(Cases!$B$2:$B$1859,A456,Cases!$G$2:$G$1859,1)&gt;0,1,0)</ns0:f>
        <ns0:v>1</ns0:v>
      </ns0:c>
      <ns0:c r="G456">
        <ns0:f>IF(COUNTIFS(Cases!$B$2:$B$1859,A456,Cases!$L$2:$L$1859,1)&gt;0,1,0)</ns0:f>
        <ns0:v>1</ns0:v>
      </ns0:c>
      <ns0:c r="H456">
        <ns0:f>IF(COUNTIFS(Cases!$B$2:$B$1859,A456,Cases!$Q$2:$Q$1859,1)&gt;0,1,0)</ns0:f>
        <ns0:v>1</ns0:v>
      </ns0:c>
      <ns0:c r="I456">
        <ns0:f>IF(COUNTIFS(Cases!$B$2:$B$1859,A456,Cases!$R$2:$R$1859,1)&gt;0,1,0)</ns0:f>
        <ns0:v>1</ns0:v>
      </ns0:c>
    </ns0:row>
    <ns0:row r="457">
      <ns0:c r="A457" t="inlineStr">
        <ns0:is>
          <ns0:t>function_0456</ns0:t>
        </ns0:is>
      </ns0:c>
      <ns0:c r="B457" t="inlineStr">
        <ns0:is>
          <ns0:t>run_013</ns0:t>
        </ns0:is>
      </ns0:c>
      <ns0:c r="C457" t="inlineStr">
        <ns0:is>
          <ns0:t>rand</ns0:t>
        </ns0:is>
      </ns0:c>
      <ns0:c r="D457" t="inlineStr">
        <ns0:is>
          <ns0:t>gemini-2.5-flash-nothinking</ns0:t>
        </ns0:is>
      </ns0:c>
      <ns0:c r="E457">
        <ns0:f>COUNTIF(Cases!$B$2:$B$1859,A457)</ns0:f>
        <ns0:v>4</ns0:v>
      </ns0:c>
      <ns0:c r="F457">
        <ns0:f>IF(COUNTIFS(Cases!$B$2:$B$1859,A457,Cases!$G$2:$G$1859,1)&gt;0,1,0)</ns0:f>
        <ns0:v>0</ns0:v>
      </ns0:c>
      <ns0:c r="G457">
        <ns0:f>IF(COUNTIFS(Cases!$B$2:$B$1859,A457,Cases!$L$2:$L$1859,1)&gt;0,1,0)</ns0:f>
        <ns0:v>1</ns0:v>
      </ns0:c>
      <ns0:c r="H457">
        <ns0:f>IF(COUNTIFS(Cases!$B$2:$B$1859,A457,Cases!$Q$2:$Q$1859,1)&gt;0,1,0)</ns0:f>
        <ns0:v>0</ns0:v>
      </ns0:c>
      <ns0:c r="I457">
        <ns0:f>IF(COUNTIFS(Cases!$B$2:$B$1859,A457,Cases!$R$2:$R$1859,1)&gt;0,1,0)</ns0:f>
        <ns0:v>0</ns0:v>
      </ns0:c>
    </ns0:row>
    <ns0:row r="458">
      <ns0:c r="A458" t="inlineStr">
        <ns0:is>
          <ns0:t>function_0457</ns0:t>
        </ns0:is>
      </ns0:c>
      <ns0:c r="B458" t="inlineStr">
        <ns0:is>
          <ns0:t>run_013</ns0:t>
        </ns0:is>
      </ns0:c>
      <ns0:c r="C458" t="inlineStr">
        <ns0:is>
          <ns0:t>rand</ns0:t>
        </ns0:is>
      </ns0:c>
      <ns0:c r="D458" t="inlineStr">
        <ns0:is>
          <ns0:t>gemini-2.5-flash-nothinking</ns0:t>
        </ns0:is>
      </ns0:c>
      <ns0:c r="E458">
        <ns0:f>COUNTIF(Cases!$B$2:$B$1859,A458)</ns0:f>
        <ns0:v>3</ns0:v>
      </ns0:c>
      <ns0:c r="F458">
        <ns0:f>IF(COUNTIFS(Cases!$B$2:$B$1859,A458,Cases!$G$2:$G$1859,1)&gt;0,1,0)</ns0:f>
        <ns0:v>1</ns0:v>
      </ns0:c>
      <ns0:c r="G458">
        <ns0:f>IF(COUNTIFS(Cases!$B$2:$B$1859,A458,Cases!$L$2:$L$1859,1)&gt;0,1,0)</ns0:f>
        <ns0:v>1</ns0:v>
      </ns0:c>
      <ns0:c r="H458">
        <ns0:f>IF(COUNTIFS(Cases!$B$2:$B$1859,A458,Cases!$Q$2:$Q$1859,1)&gt;0,1,0)</ns0:f>
        <ns0:v>1</ns0:v>
      </ns0:c>
      <ns0:c r="I458">
        <ns0:f>IF(COUNTIFS(Cases!$B$2:$B$1859,A458,Cases!$R$2:$R$1859,1)&gt;0,1,0)</ns0:f>
        <ns0:v>1</ns0:v>
      </ns0:c>
    </ns0:row>
    <ns0:row r="459">
      <ns0:c r="A459" t="inlineStr">
        <ns0:is>
          <ns0:t>function_0458</ns0:t>
        </ns0:is>
      </ns0:c>
      <ns0:c r="B459" t="inlineStr">
        <ns0:is>
          <ns0:t>run_013</ns0:t>
        </ns0:is>
      </ns0:c>
      <ns0:c r="C459" t="inlineStr">
        <ns0:is>
          <ns0:t>rand</ns0:t>
        </ns0:is>
      </ns0:c>
      <ns0:c r="D459" t="inlineStr">
        <ns0:is>
          <ns0:t>gemini-2.5-flash-nothinking</ns0:t>
        </ns0:is>
      </ns0:c>
      <ns0:c r="E459">
        <ns0:f>COUNTIF(Cases!$B$2:$B$1859,A459)</ns0:f>
        <ns0:v>4</ns0:v>
      </ns0:c>
      <ns0:c r="F459">
        <ns0:f>IF(COUNTIFS(Cases!$B$2:$B$1859,A459,Cases!$G$2:$G$1859,1)&gt;0,1,0)</ns0:f>
        <ns0:v>0</ns0:v>
      </ns0:c>
      <ns0:c r="G459">
        <ns0:f>IF(COUNTIFS(Cases!$B$2:$B$1859,A459,Cases!$L$2:$L$1859,1)&gt;0,1,0)</ns0:f>
        <ns0:v>1</ns0:v>
      </ns0:c>
      <ns0:c r="H459">
        <ns0:f>IF(COUNTIFS(Cases!$B$2:$B$1859,A459,Cases!$Q$2:$Q$1859,1)&gt;0,1,0)</ns0:f>
        <ns0:v>0</ns0:v>
      </ns0:c>
      <ns0:c r="I459">
        <ns0:f>IF(COUNTIFS(Cases!$B$2:$B$1859,A459,Cases!$R$2:$R$1859,1)&gt;0,1,0)</ns0:f>
        <ns0:v>0</ns0:v>
      </ns0:c>
    </ns0:row>
    <ns0:row r="460">
      <ns0:c r="A460" t="inlineStr">
        <ns0:is>
          <ns0:t>function_0459</ns0:t>
        </ns0:is>
      </ns0:c>
      <ns0:c r="B460" t="inlineStr">
        <ns0:is>
          <ns0:t>run_013</ns0:t>
        </ns0:is>
      </ns0:c>
      <ns0:c r="C460" t="inlineStr">
        <ns0:is>
          <ns0:t>rand</ns0:t>
        </ns0:is>
      </ns0:c>
      <ns0:c r="D460" t="inlineStr">
        <ns0:is>
          <ns0:t>gemini-2.5-flash-nothinking</ns0:t>
        </ns0:is>
      </ns0:c>
      <ns0:c r="E460">
        <ns0:f>COUNTIF(Cases!$B$2:$B$1859,A460)</ns0:f>
        <ns0:v>4</ns0:v>
      </ns0:c>
      <ns0:c r="F460">
        <ns0:f>IF(COUNTIFS(Cases!$B$2:$B$1859,A460,Cases!$G$2:$G$1859,1)&gt;0,1,0)</ns0:f>
        <ns0:v>0</ns0:v>
      </ns0:c>
      <ns0:c r="G460">
        <ns0:f>IF(COUNTIFS(Cases!$B$2:$B$1859,A460,Cases!$L$2:$L$1859,1)&gt;0,1,0)</ns0:f>
        <ns0:v>0</ns0:v>
      </ns0:c>
      <ns0:c r="H460">
        <ns0:f>IF(COUNTIFS(Cases!$B$2:$B$1859,A460,Cases!$Q$2:$Q$1859,1)&gt;0,1,0)</ns0:f>
        <ns0:v>0</ns0:v>
      </ns0:c>
      <ns0:c r="I460">
        <ns0:f>IF(COUNTIFS(Cases!$B$2:$B$1859,A460,Cases!$R$2:$R$1859,1)&gt;0,1,0)</ns0:f>
        <ns0:v>0</ns0:v>
      </ns0:c>
    </ns0:row>
    <ns0:row r="461">
      <ns0:c r="A461" t="inlineStr">
        <ns0:is>
          <ns0:t>function_0460</ns0:t>
        </ns0:is>
      </ns0:c>
      <ns0:c r="B461" t="inlineStr">
        <ns0:is>
          <ns0:t>run_013</ns0:t>
        </ns0:is>
      </ns0:c>
      <ns0:c r="C461" t="inlineStr">
        <ns0:is>
          <ns0:t>rand</ns0:t>
        </ns0:is>
      </ns0:c>
      <ns0:c r="D461" t="inlineStr">
        <ns0:is>
          <ns0:t>gemini-2.5-flash-nothinking</ns0:t>
        </ns0:is>
      </ns0:c>
      <ns0:c r="E461">
        <ns0:f>COUNTIF(Cases!$B$2:$B$1859,A461)</ns0:f>
        <ns0:v>1</ns0:v>
      </ns0:c>
      <ns0:c r="F461">
        <ns0:f>IF(COUNTIFS(Cases!$B$2:$B$1859,A461,Cases!$G$2:$G$1859,1)&gt;0,1,0)</ns0:f>
        <ns0:v>1</ns0:v>
      </ns0:c>
      <ns0:c r="G461">
        <ns0:f>IF(COUNTIFS(Cases!$B$2:$B$1859,A461,Cases!$L$2:$L$1859,1)&gt;0,1,0)</ns0:f>
        <ns0:v>1</ns0:v>
      </ns0:c>
      <ns0:c r="H461">
        <ns0:f>IF(COUNTIFS(Cases!$B$2:$B$1859,A461,Cases!$Q$2:$Q$1859,1)&gt;0,1,0)</ns0:f>
        <ns0:v>0</ns0:v>
      </ns0:c>
      <ns0:c r="I461">
        <ns0:f>IF(COUNTIFS(Cases!$B$2:$B$1859,A461,Cases!$R$2:$R$1859,1)&gt;0,1,0)</ns0:f>
        <ns0:v>0</ns0:v>
      </ns0:c>
    </ns0:row>
    <ns0:row r="462">
      <ns0:c r="A462" t="inlineStr">
        <ns0:is>
          <ns0:t>function_0461</ns0:t>
        </ns0:is>
      </ns0:c>
      <ns0:c r="B462" t="inlineStr">
        <ns0:is>
          <ns0:t>run_013</ns0:t>
        </ns0:is>
      </ns0:c>
      <ns0:c r="C462" t="inlineStr">
        <ns0:is>
          <ns0:t>rand</ns0:t>
        </ns0:is>
      </ns0:c>
      <ns0:c r="D462" t="inlineStr">
        <ns0:is>
          <ns0:t>gemini-2.5-flash-nothinking</ns0:t>
        </ns0:is>
      </ns0:c>
      <ns0:c r="E462">
        <ns0:f>COUNTIF(Cases!$B$2:$B$1859,A462)</ns0:f>
        <ns0:v>4</ns0:v>
      </ns0:c>
      <ns0:c r="F462">
        <ns0:f>IF(COUNTIFS(Cases!$B$2:$B$1859,A462,Cases!$G$2:$G$1859,1)&gt;0,1,0)</ns0:f>
        <ns0:v>0</ns0:v>
      </ns0:c>
      <ns0:c r="G462">
        <ns0:f>IF(COUNTIFS(Cases!$B$2:$B$1859,A462,Cases!$L$2:$L$1859,1)&gt;0,1,0)</ns0:f>
        <ns0:v>0</ns0:v>
      </ns0:c>
      <ns0:c r="H462">
        <ns0:f>IF(COUNTIFS(Cases!$B$2:$B$1859,A462,Cases!$Q$2:$Q$1859,1)&gt;0,1,0)</ns0:f>
        <ns0:v>0</ns0:v>
      </ns0:c>
      <ns0:c r="I462">
        <ns0:f>IF(COUNTIFS(Cases!$B$2:$B$1859,A462,Cases!$R$2:$R$1859,1)&gt;0,1,0)</ns0:f>
        <ns0:v>0</ns0:v>
      </ns0:c>
    </ns0:row>
    <ns0:row r="463">
      <ns0:c r="A463" t="inlineStr">
        <ns0:is>
          <ns0:t>function_0462</ns0:t>
        </ns0:is>
      </ns0:c>
      <ns0:c r="B463" t="inlineStr">
        <ns0:is>
          <ns0:t>run_013</ns0:t>
        </ns0:is>
      </ns0:c>
      <ns0:c r="C463" t="inlineStr">
        <ns0:is>
          <ns0:t>rand</ns0:t>
        </ns0:is>
      </ns0:c>
      <ns0:c r="D463" t="inlineStr">
        <ns0:is>
          <ns0:t>gemini-2.5-flash-nothinking</ns0:t>
        </ns0:is>
      </ns0:c>
      <ns0:c r="E463">
        <ns0:f>COUNTIF(Cases!$B$2:$B$1859,A463)</ns0:f>
        <ns0:v>2</ns0:v>
      </ns0:c>
      <ns0:c r="F463">
        <ns0:f>IF(COUNTIFS(Cases!$B$2:$B$1859,A463,Cases!$G$2:$G$1859,1)&gt;0,1,0)</ns0:f>
        <ns0:v>0</ns0:v>
      </ns0:c>
      <ns0:c r="G463">
        <ns0:f>IF(COUNTIFS(Cases!$B$2:$B$1859,A463,Cases!$L$2:$L$1859,1)&gt;0,1,0)</ns0:f>
        <ns0:v>0</ns0:v>
      </ns0:c>
      <ns0:c r="H463">
        <ns0:f>IF(COUNTIFS(Cases!$B$2:$B$1859,A463,Cases!$Q$2:$Q$1859,1)&gt;0,1,0)</ns0:f>
        <ns0:v>0</ns0:v>
      </ns0:c>
      <ns0:c r="I463">
        <ns0:f>IF(COUNTIFS(Cases!$B$2:$B$1859,A463,Cases!$R$2:$R$1859,1)&gt;0,1,0)</ns0:f>
        <ns0:v>0</ns0:v>
      </ns0:c>
    </ns0:row>
    <ns0:row r="464">
      <ns0:c r="A464" t="inlineStr">
        <ns0:is>
          <ns0:t>function_0463</ns0:t>
        </ns0:is>
      </ns0:c>
      <ns0:c r="B464" t="inlineStr">
        <ns0:is>
          <ns0:t>run_013</ns0:t>
        </ns0:is>
      </ns0:c>
      <ns0:c r="C464" t="inlineStr">
        <ns0:is>
          <ns0:t>rand</ns0:t>
        </ns0:is>
      </ns0:c>
      <ns0:c r="D464" t="inlineStr">
        <ns0:is>
          <ns0:t>gemini-2.5-flash-nothinking</ns0:t>
        </ns0:is>
      </ns0:c>
      <ns0:c r="E464">
        <ns0:f>COUNTIF(Cases!$B$2:$B$1859,A464)</ns0:f>
        <ns0:v>2</ns0:v>
      </ns0:c>
      <ns0:c r="F464">
        <ns0:f>IF(COUNTIFS(Cases!$B$2:$B$1859,A464,Cases!$G$2:$G$1859,1)&gt;0,1,0)</ns0:f>
        <ns0:v>0</ns0:v>
      </ns0:c>
      <ns0:c r="G464">
        <ns0:f>IF(COUNTIFS(Cases!$B$2:$B$1859,A464,Cases!$L$2:$L$1859,1)&gt;0,1,0)</ns0:f>
        <ns0:v>0</ns0:v>
      </ns0:c>
      <ns0:c r="H464">
        <ns0:f>IF(COUNTIFS(Cases!$B$2:$B$1859,A464,Cases!$Q$2:$Q$1859,1)&gt;0,1,0)</ns0:f>
        <ns0:v>0</ns0:v>
      </ns0:c>
      <ns0:c r="I464">
        <ns0:f>IF(COUNTIFS(Cases!$B$2:$B$1859,A464,Cases!$R$2:$R$1859,1)&gt;0,1,0)</ns0:f>
        <ns0:v>0</ns0:v>
      </ns0:c>
    </ns0:row>
    <ns0:row r="465">
      <ns0:c r="A465" t="inlineStr">
        <ns0:is>
          <ns0:t>function_0464</ns0:t>
        </ns0:is>
      </ns0:c>
      <ns0:c r="B465" t="inlineStr">
        <ns0:is>
          <ns0:t>run_013</ns0:t>
        </ns0:is>
      </ns0:c>
      <ns0:c r="C465" t="inlineStr">
        <ns0:is>
          <ns0:t>rand</ns0:t>
        </ns0:is>
      </ns0:c>
      <ns0:c r="D465" t="inlineStr">
        <ns0:is>
          <ns0:t>gemini-2.5-flash-nothinking</ns0:t>
        </ns0:is>
      </ns0:c>
      <ns0:c r="E465">
        <ns0:f>COUNTIF(Cases!$B$2:$B$1859,A465)</ns0:f>
        <ns0:v>1</ns0:v>
      </ns0:c>
      <ns0:c r="F465">
        <ns0:f>IF(COUNTIFS(Cases!$B$2:$B$1859,A465,Cases!$G$2:$G$1859,1)&gt;0,1,0)</ns0:f>
        <ns0:v>1</ns0:v>
      </ns0:c>
      <ns0:c r="G465">
        <ns0:f>IF(COUNTIFS(Cases!$B$2:$B$1859,A465,Cases!$L$2:$L$1859,1)&gt;0,1,0)</ns0:f>
        <ns0:v>1</ns0:v>
      </ns0:c>
      <ns0:c r="H465">
        <ns0:f>IF(COUNTIFS(Cases!$B$2:$B$1859,A465,Cases!$Q$2:$Q$1859,1)&gt;0,1,0)</ns0:f>
        <ns0:v>0</ns0:v>
      </ns0:c>
      <ns0:c r="I465">
        <ns0:f>IF(COUNTIFS(Cases!$B$2:$B$1859,A465,Cases!$R$2:$R$1859,1)&gt;0,1,0)</ns0:f>
        <ns0:v>1</ns0:v>
      </ns0:c>
    </ns0:row>
    <ns0:row r="466">
      <ns0:c r="A466" t="inlineStr">
        <ns0:is>
          <ns0:t>function_0465</ns0:t>
        </ns0:is>
      </ns0:c>
      <ns0:c r="B466" t="inlineStr">
        <ns0:is>
          <ns0:t>run_013</ns0:t>
        </ns0:is>
      </ns0:c>
      <ns0:c r="C466" t="inlineStr">
        <ns0:is>
          <ns0:t>rand</ns0:t>
        </ns0:is>
      </ns0:c>
      <ns0:c r="D466" t="inlineStr">
        <ns0:is>
          <ns0:t>gemini-2.5-flash-nothinking</ns0:t>
        </ns0:is>
      </ns0:c>
      <ns0:c r="E466">
        <ns0:f>COUNTIF(Cases!$B$2:$B$1859,A466)</ns0:f>
        <ns0:v>3</ns0:v>
      </ns0:c>
      <ns0:c r="F466">
        <ns0:f>IF(COUNTIFS(Cases!$B$2:$B$1859,A466,Cases!$G$2:$G$1859,1)&gt;0,1,0)</ns0:f>
        <ns0:v>1</ns0:v>
      </ns0:c>
      <ns0:c r="G466">
        <ns0:f>IF(COUNTIFS(Cases!$B$2:$B$1859,A466,Cases!$L$2:$L$1859,1)&gt;0,1,0)</ns0:f>
        <ns0:v>1</ns0:v>
      </ns0:c>
      <ns0:c r="H466">
        <ns0:f>IF(COUNTIFS(Cases!$B$2:$B$1859,A466,Cases!$Q$2:$Q$1859,1)&gt;0,1,0)</ns0:f>
        <ns0:v>1</ns0:v>
      </ns0:c>
      <ns0:c r="I466">
        <ns0:f>IF(COUNTIFS(Cases!$B$2:$B$1859,A466,Cases!$R$2:$R$1859,1)&gt;0,1,0)</ns0:f>
        <ns0:v>1</ns0:v>
      </ns0:c>
    </ns0:row>
    <ns0:row r="467">
      <ns0:c r="A467" t="inlineStr">
        <ns0:is>
          <ns0:t>function_0466</ns0:t>
        </ns0:is>
      </ns0:c>
      <ns0:c r="B467" t="inlineStr">
        <ns0:is>
          <ns0:t>run_013</ns0:t>
        </ns0:is>
      </ns0:c>
      <ns0:c r="C467" t="inlineStr">
        <ns0:is>
          <ns0:t>rand</ns0:t>
        </ns0:is>
      </ns0:c>
      <ns0:c r="D467" t="inlineStr">
        <ns0:is>
          <ns0:t>gemini-2.5-flash-nothinking</ns0:t>
        </ns0:is>
      </ns0:c>
      <ns0:c r="E467">
        <ns0:f>COUNTIF(Cases!$B$2:$B$1859,A467)</ns0:f>
        <ns0:v>3</ns0:v>
      </ns0:c>
      <ns0:c r="F467">
        <ns0:f>IF(COUNTIFS(Cases!$B$2:$B$1859,A467,Cases!$G$2:$G$1859,1)&gt;0,1,0)</ns0:f>
        <ns0:v>1</ns0:v>
      </ns0:c>
      <ns0:c r="G467">
        <ns0:f>IF(COUNTIFS(Cases!$B$2:$B$1859,A467,Cases!$L$2:$L$1859,1)&gt;0,1,0)</ns0:f>
        <ns0:v>1</ns0:v>
      </ns0:c>
      <ns0:c r="H467">
        <ns0:f>IF(COUNTIFS(Cases!$B$2:$B$1859,A467,Cases!$Q$2:$Q$1859,1)&gt;0,1,0)</ns0:f>
        <ns0:v>0</ns0:v>
      </ns0:c>
      <ns0:c r="I467">
        <ns0:f>IF(COUNTIFS(Cases!$B$2:$B$1859,A467,Cases!$R$2:$R$1859,1)&gt;0,1,0)</ns0:f>
        <ns0:v>1</ns0:v>
      </ns0:c>
    </ns0:row>
    <ns0:row r="468">
      <ns0:c r="A468" t="inlineStr">
        <ns0:is>
          <ns0:t>function_0467</ns0:t>
        </ns0:is>
      </ns0:c>
      <ns0:c r="B468" t="inlineStr">
        <ns0:is>
          <ns0:t>run_013</ns0:t>
        </ns0:is>
      </ns0:c>
      <ns0:c r="C468" t="inlineStr">
        <ns0:is>
          <ns0:t>rand</ns0:t>
        </ns0:is>
      </ns0:c>
      <ns0:c r="D468" t="inlineStr">
        <ns0:is>
          <ns0:t>gemini-2.5-flash-nothinking</ns0:t>
        </ns0:is>
      </ns0:c>
      <ns0:c r="E468">
        <ns0:f>COUNTIF(Cases!$B$2:$B$1859,A468)</ns0:f>
        <ns0:v>3</ns0:v>
      </ns0:c>
      <ns0:c r="F468">
        <ns0:f>IF(COUNTIFS(Cases!$B$2:$B$1859,A468,Cases!$G$2:$G$1859,1)&gt;0,1,0)</ns0:f>
        <ns0:v>1</ns0:v>
      </ns0:c>
      <ns0:c r="G468">
        <ns0:f>IF(COUNTIFS(Cases!$B$2:$B$1859,A468,Cases!$L$2:$L$1859,1)&gt;0,1,0)</ns0:f>
        <ns0:v>1</ns0:v>
      </ns0:c>
      <ns0:c r="H468">
        <ns0:f>IF(COUNTIFS(Cases!$B$2:$B$1859,A468,Cases!$Q$2:$Q$1859,1)&gt;0,1,0)</ns0:f>
        <ns0:v>0</ns0:v>
      </ns0:c>
      <ns0:c r="I468">
        <ns0:f>IF(COUNTIFS(Cases!$B$2:$B$1859,A468,Cases!$R$2:$R$1859,1)&gt;0,1,0)</ns0:f>
        <ns0:v>1</ns0:v>
      </ns0:c>
    </ns0:row>
    <ns0:row r="469">
      <ns0:c r="A469" t="inlineStr">
        <ns0:is>
          <ns0:t>function_0468</ns0:t>
        </ns0:is>
      </ns0:c>
      <ns0:c r="B469" t="inlineStr">
        <ns0:is>
          <ns0:t>run_013</ns0:t>
        </ns0:is>
      </ns0:c>
      <ns0:c r="C469" t="inlineStr">
        <ns0:is>
          <ns0:t>rand</ns0:t>
        </ns0:is>
      </ns0:c>
      <ns0:c r="D469" t="inlineStr">
        <ns0:is>
          <ns0:t>gemini-2.5-flash-nothinking</ns0:t>
        </ns0:is>
      </ns0:c>
      <ns0:c r="E469">
        <ns0:f>COUNTIF(Cases!$B$2:$B$1859,A469)</ns0:f>
        <ns0:v>3</ns0:v>
      </ns0:c>
      <ns0:c r="F469">
        <ns0:f>IF(COUNTIFS(Cases!$B$2:$B$1859,A469,Cases!$G$2:$G$1859,1)&gt;0,1,0)</ns0:f>
        <ns0:v>0</ns0:v>
      </ns0:c>
      <ns0:c r="G469">
        <ns0:f>IF(COUNTIFS(Cases!$B$2:$B$1859,A469,Cases!$L$2:$L$1859,1)&gt;0,1,0)</ns0:f>
        <ns0:v>1</ns0:v>
      </ns0:c>
      <ns0:c r="H469">
        <ns0:f>IF(COUNTIFS(Cases!$B$2:$B$1859,A469,Cases!$Q$2:$Q$1859,1)&gt;0,1,0)</ns0:f>
        <ns0:v>0</ns0:v>
      </ns0:c>
      <ns0:c r="I469">
        <ns0:f>IF(COUNTIFS(Cases!$B$2:$B$1859,A469,Cases!$R$2:$R$1859,1)&gt;0,1,0)</ns0:f>
        <ns0:v>0</ns0:v>
      </ns0:c>
    </ns0:row>
    <ns0:row r="470">
      <ns0:c r="A470" t="inlineStr">
        <ns0:is>
          <ns0:t>function_0469</ns0:t>
        </ns0:is>
      </ns0:c>
      <ns0:c r="B470" t="inlineStr">
        <ns0:is>
          <ns0:t>run_013</ns0:t>
        </ns0:is>
      </ns0:c>
      <ns0:c r="C470" t="inlineStr">
        <ns0:is>
          <ns0:t>rand</ns0:t>
        </ns0:is>
      </ns0:c>
      <ns0:c r="D470" t="inlineStr">
        <ns0:is>
          <ns0:t>gemini-2.5-flash-nothinking</ns0:t>
        </ns0:is>
      </ns0:c>
      <ns0:c r="E470">
        <ns0:f>COUNTIF(Cases!$B$2:$B$1859,A470)</ns0:f>
        <ns0:v>2</ns0:v>
      </ns0:c>
      <ns0:c r="F470">
        <ns0:f>IF(COUNTIFS(Cases!$B$2:$B$1859,A470,Cases!$G$2:$G$1859,1)&gt;0,1,0)</ns0:f>
        <ns0:v>1</ns0:v>
      </ns0:c>
      <ns0:c r="G470">
        <ns0:f>IF(COUNTIFS(Cases!$B$2:$B$1859,A470,Cases!$L$2:$L$1859,1)&gt;0,1,0)</ns0:f>
        <ns0:v>1</ns0:v>
      </ns0:c>
      <ns0:c r="H470">
        <ns0:f>IF(COUNTIFS(Cases!$B$2:$B$1859,A470,Cases!$Q$2:$Q$1859,1)&gt;0,1,0)</ns0:f>
        <ns0:v>1</ns0:v>
      </ns0:c>
      <ns0:c r="I470">
        <ns0:f>IF(COUNTIFS(Cases!$B$2:$B$1859,A470,Cases!$R$2:$R$1859,1)&gt;0,1,0)</ns0:f>
        <ns0:v>1</ns0:v>
      </ns0:c>
    </ns0:row>
    <ns0:row r="471">
      <ns0:c r="A471" t="inlineStr">
        <ns0:is>
          <ns0:t>function_0470</ns0:t>
        </ns0:is>
      </ns0:c>
      <ns0:c r="B471" t="inlineStr">
        <ns0:is>
          <ns0:t>run_013</ns0:t>
        </ns0:is>
      </ns0:c>
      <ns0:c r="C471" t="inlineStr">
        <ns0:is>
          <ns0:t>rand</ns0:t>
        </ns0:is>
      </ns0:c>
      <ns0:c r="D471" t="inlineStr">
        <ns0:is>
          <ns0:t>gemini-2.5-flash-nothinking</ns0:t>
        </ns0:is>
      </ns0:c>
      <ns0:c r="E471">
        <ns0:f>COUNTIF(Cases!$B$2:$B$1859,A471)</ns0:f>
        <ns0:v>4</ns0:v>
      </ns0:c>
      <ns0:c r="F471">
        <ns0:f>IF(COUNTIFS(Cases!$B$2:$B$1859,A471,Cases!$G$2:$G$1859,1)&gt;0,1,0)</ns0:f>
        <ns0:v>1</ns0:v>
      </ns0:c>
      <ns0:c r="G471">
        <ns0:f>IF(COUNTIFS(Cases!$B$2:$B$1859,A471,Cases!$L$2:$L$1859,1)&gt;0,1,0)</ns0:f>
        <ns0:v>1</ns0:v>
      </ns0:c>
      <ns0:c r="H471">
        <ns0:f>IF(COUNTIFS(Cases!$B$2:$B$1859,A471,Cases!$Q$2:$Q$1859,1)&gt;0,1,0)</ns0:f>
        <ns0:v>1</ns0:v>
      </ns0:c>
      <ns0:c r="I471">
        <ns0:f>IF(COUNTIFS(Cases!$B$2:$B$1859,A471,Cases!$R$2:$R$1859,1)&gt;0,1,0)</ns0:f>
        <ns0:v>1</ns0:v>
      </ns0:c>
    </ns0:row>
    <ns0:row r="472">
      <ns0:c r="A472" t="inlineStr">
        <ns0:is>
          <ns0:t>function_0471</ns0:t>
        </ns0:is>
      </ns0:c>
      <ns0:c r="B472" t="inlineStr">
        <ns0:is>
          <ns0:t>run_013</ns0:t>
        </ns0:is>
      </ns0:c>
      <ns0:c r="C472" t="inlineStr">
        <ns0:is>
          <ns0:t>rand</ns0:t>
        </ns0:is>
      </ns0:c>
      <ns0:c r="D472" t="inlineStr">
        <ns0:is>
          <ns0:t>gemini-2.5-flash-nothinking</ns0:t>
        </ns0:is>
      </ns0:c>
      <ns0:c r="E472">
        <ns0:f>COUNTIF(Cases!$B$2:$B$1859,A472)</ns0:f>
        <ns0:v>4</ns0:v>
      </ns0:c>
      <ns0:c r="F472">
        <ns0:f>IF(COUNTIFS(Cases!$B$2:$B$1859,A472,Cases!$G$2:$G$1859,1)&gt;0,1,0)</ns0:f>
        <ns0:v>0</ns0:v>
      </ns0:c>
      <ns0:c r="G472">
        <ns0:f>IF(COUNTIFS(Cases!$B$2:$B$1859,A472,Cases!$L$2:$L$1859,1)&gt;0,1,0)</ns0:f>
        <ns0:v>1</ns0:v>
      </ns0:c>
      <ns0:c r="H472">
        <ns0:f>IF(COUNTIFS(Cases!$B$2:$B$1859,A472,Cases!$Q$2:$Q$1859,1)&gt;0,1,0)</ns0:f>
        <ns0:v>0</ns0:v>
      </ns0:c>
      <ns0:c r="I472">
        <ns0:f>IF(COUNTIFS(Cases!$B$2:$B$1859,A472,Cases!$R$2:$R$1859,1)&gt;0,1,0)</ns0:f>
        <ns0:v>1</ns0:v>
      </ns0:c>
    </ns0:row>
    <ns0:row r="473">
      <ns0:c r="A473" t="inlineStr">
        <ns0:is>
          <ns0:t>function_0472</ns0:t>
        </ns0:is>
      </ns0:c>
      <ns0:c r="B473" t="inlineStr">
        <ns0:is>
          <ns0:t>run_013</ns0:t>
        </ns0:is>
      </ns0:c>
      <ns0:c r="C473" t="inlineStr">
        <ns0:is>
          <ns0:t>rand</ns0:t>
        </ns0:is>
      </ns0:c>
      <ns0:c r="D473" t="inlineStr">
        <ns0:is>
          <ns0:t>gemini-2.5-flash-nothinking</ns0:t>
        </ns0:is>
      </ns0:c>
      <ns0:c r="E473">
        <ns0:f>COUNTIF(Cases!$B$2:$B$1859,A473)</ns0:f>
        <ns0:v>4</ns0:v>
      </ns0:c>
      <ns0:c r="F473">
        <ns0:f>IF(COUNTIFS(Cases!$B$2:$B$1859,A473,Cases!$G$2:$G$1859,1)&gt;0,1,0)</ns0:f>
        <ns0:v>1</ns0:v>
      </ns0:c>
      <ns0:c r="G473">
        <ns0:f>IF(COUNTIFS(Cases!$B$2:$B$1859,A473,Cases!$L$2:$L$1859,1)&gt;0,1,0)</ns0:f>
        <ns0:v>1</ns0:v>
      </ns0:c>
      <ns0:c r="H473">
        <ns0:f>IF(COUNTIFS(Cases!$B$2:$B$1859,A473,Cases!$Q$2:$Q$1859,1)&gt;0,1,0)</ns0:f>
        <ns0:v>1</ns0:v>
      </ns0:c>
      <ns0:c r="I473">
        <ns0:f>IF(COUNTIFS(Cases!$B$2:$B$1859,A473,Cases!$R$2:$R$1859,1)&gt;0,1,0)</ns0:f>
        <ns0:v>1</ns0:v>
      </ns0:c>
    </ns0:row>
    <ns0:row r="474">
      <ns0:c r="A474" t="inlineStr">
        <ns0:is>
          <ns0:t>function_0473</ns0:t>
        </ns0:is>
      </ns0:c>
      <ns0:c r="B474" t="inlineStr">
        <ns0:is>
          <ns0:t>run_013</ns0:t>
        </ns0:is>
      </ns0:c>
      <ns0:c r="C474" t="inlineStr">
        <ns0:is>
          <ns0:t>rand</ns0:t>
        </ns0:is>
      </ns0:c>
      <ns0:c r="D474" t="inlineStr">
        <ns0:is>
          <ns0:t>gemini-2.5-flash-nothinking</ns0:t>
        </ns0:is>
      </ns0:c>
      <ns0:c r="E474">
        <ns0:f>COUNTIF(Cases!$B$2:$B$1859,A474)</ns0:f>
        <ns0:v>4</ns0:v>
      </ns0:c>
      <ns0:c r="F474">
        <ns0:f>IF(COUNTIFS(Cases!$B$2:$B$1859,A474,Cases!$G$2:$G$1859,1)&gt;0,1,0)</ns0:f>
        <ns0:v>0</ns0:v>
      </ns0:c>
      <ns0:c r="G474">
        <ns0:f>IF(COUNTIFS(Cases!$B$2:$B$1859,A474,Cases!$L$2:$L$1859,1)&gt;0,1,0)</ns0:f>
        <ns0:v>1</ns0:v>
      </ns0:c>
      <ns0:c r="H474">
        <ns0:f>IF(COUNTIFS(Cases!$B$2:$B$1859,A474,Cases!$Q$2:$Q$1859,1)&gt;0,1,0)</ns0:f>
        <ns0:v>0</ns0:v>
      </ns0:c>
      <ns0:c r="I474">
        <ns0:f>IF(COUNTIFS(Cases!$B$2:$B$1859,A474,Cases!$R$2:$R$1859,1)&gt;0,1,0)</ns0:f>
        <ns0:v>1</ns0:v>
      </ns0:c>
    </ns0:row>
    <ns0:row r="475">
      <ns0:c r="A475" t="inlineStr">
        <ns0:is>
          <ns0:t>function_0474</ns0:t>
        </ns0:is>
      </ns0:c>
      <ns0:c r="B475" t="inlineStr">
        <ns0:is>
          <ns0:t>run_013</ns0:t>
        </ns0:is>
      </ns0:c>
      <ns0:c r="C475" t="inlineStr">
        <ns0:is>
          <ns0:t>rand</ns0:t>
        </ns0:is>
      </ns0:c>
      <ns0:c r="D475" t="inlineStr">
        <ns0:is>
          <ns0:t>gemini-2.5-flash-nothinking</ns0:t>
        </ns0:is>
      </ns0:c>
      <ns0:c r="E475">
        <ns0:f>COUNTIF(Cases!$B$2:$B$1859,A475)</ns0:f>
        <ns0:v>4</ns0:v>
      </ns0:c>
      <ns0:c r="F475">
        <ns0:f>IF(COUNTIFS(Cases!$B$2:$B$1859,A475,Cases!$G$2:$G$1859,1)&gt;0,1,0)</ns0:f>
        <ns0:v>0</ns0:v>
      </ns0:c>
      <ns0:c r="G475">
        <ns0:f>IF(COUNTIFS(Cases!$B$2:$B$1859,A475,Cases!$L$2:$L$1859,1)&gt;0,1,0)</ns0:f>
        <ns0:v>1</ns0:v>
      </ns0:c>
      <ns0:c r="H475">
        <ns0:f>IF(COUNTIFS(Cases!$B$2:$B$1859,A475,Cases!$Q$2:$Q$1859,1)&gt;0,1,0)</ns0:f>
        <ns0:v>0</ns0:v>
      </ns0:c>
      <ns0:c r="I475">
        <ns0:f>IF(COUNTIFS(Cases!$B$2:$B$1859,A475,Cases!$R$2:$R$1859,1)&gt;0,1,0)</ns0:f>
        <ns0:v>0</ns0:v>
      </ns0:c>
    </ns0:row>
    <ns0:row r="476">
      <ns0:c r="A476" t="inlineStr">
        <ns0:is>
          <ns0:t>function_0475</ns0:t>
        </ns0:is>
      </ns0:c>
      <ns0:c r="B476" t="inlineStr">
        <ns0:is>
          <ns0:t>run_013</ns0:t>
        </ns0:is>
      </ns0:c>
      <ns0:c r="C476" t="inlineStr">
        <ns0:is>
          <ns0:t>rand</ns0:t>
        </ns0:is>
      </ns0:c>
      <ns0:c r="D476" t="inlineStr">
        <ns0:is>
          <ns0:t>gemini-2.5-flash-nothinking</ns0:t>
        </ns0:is>
      </ns0:c>
      <ns0:c r="E476">
        <ns0:f>COUNTIF(Cases!$B$2:$B$1859,A476)</ns0:f>
        <ns0:v>2</ns0:v>
      </ns0:c>
      <ns0:c r="F476">
        <ns0:f>IF(COUNTIFS(Cases!$B$2:$B$1859,A476,Cases!$G$2:$G$1859,1)&gt;0,1,0)</ns0:f>
        <ns0:v>0</ns0:v>
      </ns0:c>
      <ns0:c r="G476">
        <ns0:f>IF(COUNTIFS(Cases!$B$2:$B$1859,A476,Cases!$L$2:$L$1859,1)&gt;0,1,0)</ns0:f>
        <ns0:v>1</ns0:v>
      </ns0:c>
      <ns0:c r="H476">
        <ns0:f>IF(COUNTIFS(Cases!$B$2:$B$1859,A476,Cases!$Q$2:$Q$1859,1)&gt;0,1,0)</ns0:f>
        <ns0:v>0</ns0:v>
      </ns0:c>
      <ns0:c r="I476">
        <ns0:f>IF(COUNTIFS(Cases!$B$2:$B$1859,A476,Cases!$R$2:$R$1859,1)&gt;0,1,0)</ns0:f>
        <ns0:v>0</ns0:v>
      </ns0:c>
    </ns0:row>
    <ns0:row r="477">
      <ns0:c r="A477" t="inlineStr">
        <ns0:is>
          <ns0:t>function_0476</ns0:t>
        </ns0:is>
      </ns0:c>
      <ns0:c r="B477" t="inlineStr">
        <ns0:is>
          <ns0:t>run_013</ns0:t>
        </ns0:is>
      </ns0:c>
      <ns0:c r="C477" t="inlineStr">
        <ns0:is>
          <ns0:t>rand</ns0:t>
        </ns0:is>
      </ns0:c>
      <ns0:c r="D477" t="inlineStr">
        <ns0:is>
          <ns0:t>gemini-2.5-flash-nothinking</ns0:t>
        </ns0:is>
      </ns0:c>
      <ns0:c r="E477">
        <ns0:f>COUNTIF(Cases!$B$2:$B$1859,A477)</ns0:f>
        <ns0:v>2</ns0:v>
      </ns0:c>
      <ns0:c r="F477">
        <ns0:f>IF(COUNTIFS(Cases!$B$2:$B$1859,A477,Cases!$G$2:$G$1859,1)&gt;0,1,0)</ns0:f>
        <ns0:v>1</ns0:v>
      </ns0:c>
      <ns0:c r="G477">
        <ns0:f>IF(COUNTIFS(Cases!$B$2:$B$1859,A477,Cases!$L$2:$L$1859,1)&gt;0,1,0)</ns0:f>
        <ns0:v>1</ns0:v>
      </ns0:c>
      <ns0:c r="H477">
        <ns0:f>IF(COUNTIFS(Cases!$B$2:$B$1859,A477,Cases!$Q$2:$Q$1859,1)&gt;0,1,0)</ns0:f>
        <ns0:v>0</ns0:v>
      </ns0:c>
      <ns0:c r="I477">
        <ns0:f>IF(COUNTIFS(Cases!$B$2:$B$1859,A477,Cases!$R$2:$R$1859,1)&gt;0,1,0)</ns0:f>
        <ns0:v>0</ns0:v>
      </ns0:c>
    </ns0:row>
    <ns0:row r="478">
      <ns0:c r="A478" t="inlineStr">
        <ns0:is>
          <ns0:t>function_0477</ns0:t>
        </ns0:is>
      </ns0:c>
      <ns0:c r="B478" t="inlineStr">
        <ns0:is>
          <ns0:t>run_013</ns0:t>
        </ns0:is>
      </ns0:c>
      <ns0:c r="C478" t="inlineStr">
        <ns0:is>
          <ns0:t>rand</ns0:t>
        </ns0:is>
      </ns0:c>
      <ns0:c r="D478" t="inlineStr">
        <ns0:is>
          <ns0:t>gemini-2.5-flash-nothinking</ns0:t>
        </ns0:is>
      </ns0:c>
      <ns0:c r="E478">
        <ns0:f>COUNTIF(Cases!$B$2:$B$1859,A478)</ns0:f>
        <ns0:v>2</ns0:v>
      </ns0:c>
      <ns0:c r="F478">
        <ns0:f>IF(COUNTIFS(Cases!$B$2:$B$1859,A478,Cases!$G$2:$G$1859,1)&gt;0,1,0)</ns0:f>
        <ns0:v>0</ns0:v>
      </ns0:c>
      <ns0:c r="G478">
        <ns0:f>IF(COUNTIFS(Cases!$B$2:$B$1859,A478,Cases!$L$2:$L$1859,1)&gt;0,1,0)</ns0:f>
        <ns0:v>0</ns0:v>
      </ns0:c>
      <ns0:c r="H478">
        <ns0:f>IF(COUNTIFS(Cases!$B$2:$B$1859,A478,Cases!$Q$2:$Q$1859,1)&gt;0,1,0)</ns0:f>
        <ns0:v>0</ns0:v>
      </ns0:c>
      <ns0:c r="I478">
        <ns0:f>IF(COUNTIFS(Cases!$B$2:$B$1859,A478,Cases!$R$2:$R$1859,1)&gt;0,1,0)</ns0:f>
        <ns0:v>0</ns0:v>
      </ns0:c>
    </ns0:row>
    <ns0:row r="479">
      <ns0:c r="A479" t="inlineStr">
        <ns0:is>
          <ns0:t>function_0478</ns0:t>
        </ns0:is>
      </ns0:c>
      <ns0:c r="B479" t="inlineStr">
        <ns0:is>
          <ns0:t>run_013</ns0:t>
        </ns0:is>
      </ns0:c>
      <ns0:c r="C479" t="inlineStr">
        <ns0:is>
          <ns0:t>rand</ns0:t>
        </ns0:is>
      </ns0:c>
      <ns0:c r="D479" t="inlineStr">
        <ns0:is>
          <ns0:t>gemini-2.5-flash-nothinking</ns0:t>
        </ns0:is>
      </ns0:c>
      <ns0:c r="E479">
        <ns0:f>COUNTIF(Cases!$B$2:$B$1859,A479)</ns0:f>
        <ns0:v>2</ns0:v>
      </ns0:c>
      <ns0:c r="F479">
        <ns0:f>IF(COUNTIFS(Cases!$B$2:$B$1859,A479,Cases!$G$2:$G$1859,1)&gt;0,1,0)</ns0:f>
        <ns0:v>0</ns0:v>
      </ns0:c>
      <ns0:c r="G479">
        <ns0:f>IF(COUNTIFS(Cases!$B$2:$B$1859,A479,Cases!$L$2:$L$1859,1)&gt;0,1,0)</ns0:f>
        <ns0:v>1</ns0:v>
      </ns0:c>
      <ns0:c r="H479">
        <ns0:f>IF(COUNTIFS(Cases!$B$2:$B$1859,A479,Cases!$Q$2:$Q$1859,1)&gt;0,1,0)</ns0:f>
        <ns0:v>0</ns0:v>
      </ns0:c>
      <ns0:c r="I479">
        <ns0:f>IF(COUNTIFS(Cases!$B$2:$B$1859,A479,Cases!$R$2:$R$1859,1)&gt;0,1,0)</ns0:f>
        <ns0:v>1</ns0:v>
      </ns0:c>
    </ns0:row>
    <ns0:row r="480">
      <ns0:c r="A480" t="inlineStr">
        <ns0:is>
          <ns0:t>function_0479</ns0:t>
        </ns0:is>
      </ns0:c>
      <ns0:c r="B480" t="inlineStr">
        <ns0:is>
          <ns0:t>run_013</ns0:t>
        </ns0:is>
      </ns0:c>
      <ns0:c r="C480" t="inlineStr">
        <ns0:is>
          <ns0:t>rand</ns0:t>
        </ns0:is>
      </ns0:c>
      <ns0:c r="D480" t="inlineStr">
        <ns0:is>
          <ns0:t>gemini-2.5-flash-nothinking</ns0:t>
        </ns0:is>
      </ns0:c>
      <ns0:c r="E480">
        <ns0:f>COUNTIF(Cases!$B$2:$B$1859,A480)</ns0:f>
        <ns0:v>2</ns0:v>
      </ns0:c>
      <ns0:c r="F480">
        <ns0:f>IF(COUNTIFS(Cases!$B$2:$B$1859,A480,Cases!$G$2:$G$1859,1)&gt;0,1,0)</ns0:f>
        <ns0:v>0</ns0:v>
      </ns0:c>
      <ns0:c r="G480">
        <ns0:f>IF(COUNTIFS(Cases!$B$2:$B$1859,A480,Cases!$L$2:$L$1859,1)&gt;0,1,0)</ns0:f>
        <ns0:v>1</ns0:v>
      </ns0:c>
      <ns0:c r="H480">
        <ns0:f>IF(COUNTIFS(Cases!$B$2:$B$1859,A480,Cases!$Q$2:$Q$1859,1)&gt;0,1,0)</ns0:f>
        <ns0:v>0</ns0:v>
      </ns0:c>
      <ns0:c r="I480">
        <ns0:f>IF(COUNTIFS(Cases!$B$2:$B$1859,A480,Cases!$R$2:$R$1859,1)&gt;0,1,0)</ns0:f>
        <ns0:v>0</ns0:v>
      </ns0:c>
    </ns0:row>
    <ns0:row r="481">
      <ns0:c r="A481" t="inlineStr">
        <ns0:is>
          <ns0:t>function_0480</ns0:t>
        </ns0:is>
      </ns0:c>
      <ns0:c r="B481" t="inlineStr">
        <ns0:is>
          <ns0:t>run_013</ns0:t>
        </ns0:is>
      </ns0:c>
      <ns0:c r="C481" t="inlineStr">
        <ns0:is>
          <ns0:t>rand</ns0:t>
        </ns0:is>
      </ns0:c>
      <ns0:c r="D481" t="inlineStr">
        <ns0:is>
          <ns0:t>gemini-2.5-flash-nothinking</ns0:t>
        </ns0:is>
      </ns0:c>
      <ns0:c r="E481">
        <ns0:f>COUNTIF(Cases!$B$2:$B$1859,A481)</ns0:f>
        <ns0:v>2</ns0:v>
      </ns0:c>
      <ns0:c r="F481">
        <ns0:f>IF(COUNTIFS(Cases!$B$2:$B$1859,A481,Cases!$G$2:$G$1859,1)&gt;0,1,0)</ns0:f>
        <ns0:v>1</ns0:v>
      </ns0:c>
      <ns0:c r="G481">
        <ns0:f>IF(COUNTIFS(Cases!$B$2:$B$1859,A481,Cases!$L$2:$L$1859,1)&gt;0,1,0)</ns0:f>
        <ns0:v>1</ns0:v>
      </ns0:c>
      <ns0:c r="H481">
        <ns0:f>IF(COUNTIFS(Cases!$B$2:$B$1859,A481,Cases!$Q$2:$Q$1859,1)&gt;0,1,0)</ns0:f>
        <ns0:v>1</ns0:v>
      </ns0:c>
      <ns0:c r="I481">
        <ns0:f>IF(COUNTIFS(Cases!$B$2:$B$1859,A481,Cases!$R$2:$R$1859,1)&gt;0,1,0)</ns0:f>
        <ns0:v>1</ns0:v>
      </ns0:c>
    </ns0:row>
    <ns0:row r="482">
      <ns0:c r="A482" t="inlineStr">
        <ns0:is>
          <ns0:t>function_0481</ns0:t>
        </ns0:is>
      </ns0:c>
      <ns0:c r="B482" t="inlineStr">
        <ns0:is>
          <ns0:t>run_014</ns0:t>
        </ns0:is>
      </ns0:c>
      <ns0:c r="C482" t="inlineStr">
        <ns0:is>
          <ns0:t>rust-crc32fast</ns0:t>
        </ns0:is>
      </ns0:c>
      <ns0:c r="D482" t="inlineStr">
        <ns0:is>
          <ns0:t>gemini-2.5-flash-nothinking</ns0:t>
        </ns0:is>
      </ns0:c>
      <ns0:c r="E482">
        <ns0:f>COUNTIF(Cases!$B$2:$B$1859,A482)</ns0:f>
        <ns0:v>1</ns0:v>
      </ns0:c>
      <ns0:c r="F482">
        <ns0:f>IF(COUNTIFS(Cases!$B$2:$B$1859,A482,Cases!$G$2:$G$1859,1)&gt;0,1,0)</ns0:f>
        <ns0:v>1</ns0:v>
      </ns0:c>
      <ns0:c r="G482">
        <ns0:f>IF(COUNTIFS(Cases!$B$2:$B$1859,A482,Cases!$L$2:$L$1859,1)&gt;0,1,0)</ns0:f>
        <ns0:v>1</ns0:v>
      </ns0:c>
      <ns0:c r="H482">
        <ns0:f>IF(COUNTIFS(Cases!$B$2:$B$1859,A482,Cases!$Q$2:$Q$1859,1)&gt;0,1,0)</ns0:f>
        <ns0:v>0</ns0:v>
      </ns0:c>
      <ns0:c r="I482">
        <ns0:f>IF(COUNTIFS(Cases!$B$2:$B$1859,A482,Cases!$R$2:$R$1859,1)&gt;0,1,0)</ns0:f>
        <ns0:v>1</ns0:v>
      </ns0:c>
    </ns0:row>
    <ns0:row r="483">
      <ns0:c r="A483" t="inlineStr">
        <ns0:is>
          <ns0:t>function_0482</ns0:t>
        </ns0:is>
      </ns0:c>
      <ns0:c r="B483" t="inlineStr">
        <ns0:is>
          <ns0:t>run_014</ns0:t>
        </ns0:is>
      </ns0:c>
      <ns0:c r="C483" t="inlineStr">
        <ns0:is>
          <ns0:t>rust-crc32fast</ns0:t>
        </ns0:is>
      </ns0:c>
      <ns0:c r="D483" t="inlineStr">
        <ns0:is>
          <ns0:t>gemini-2.5-flash-nothinking</ns0:t>
        </ns0:is>
      </ns0:c>
      <ns0:c r="E483">
        <ns0:f>COUNTIF(Cases!$B$2:$B$1859,A483)</ns0:f>
        <ns0:v>1</ns0:v>
      </ns0:c>
      <ns0:c r="F483">
        <ns0:f>IF(COUNTIFS(Cases!$B$2:$B$1859,A483,Cases!$G$2:$G$1859,1)&gt;0,1,0)</ns0:f>
        <ns0:v>1</ns0:v>
      </ns0:c>
      <ns0:c r="G483">
        <ns0:f>IF(COUNTIFS(Cases!$B$2:$B$1859,A483,Cases!$L$2:$L$1859,1)&gt;0,1,0)</ns0:f>
        <ns0:v>1</ns0:v>
      </ns0:c>
      <ns0:c r="H483">
        <ns0:f>IF(COUNTIFS(Cases!$B$2:$B$1859,A483,Cases!$Q$2:$Q$1859,1)&gt;0,1,0)</ns0:f>
        <ns0:v>0</ns0:v>
      </ns0:c>
      <ns0:c r="I483">
        <ns0:f>IF(COUNTIFS(Cases!$B$2:$B$1859,A483,Cases!$R$2:$R$1859,1)&gt;0,1,0)</ns0:f>
        <ns0:v>1</ns0:v>
      </ns0:c>
    </ns0:row>
    <ns0:row r="484">
      <ns0:c r="A484" t="inlineStr">
        <ns0:is>
          <ns0:t>function_0483</ns0:t>
        </ns0:is>
      </ns0:c>
      <ns0:c r="B484" t="inlineStr">
        <ns0:is>
          <ns0:t>run_014</ns0:t>
        </ns0:is>
      </ns0:c>
      <ns0:c r="C484" t="inlineStr">
        <ns0:is>
          <ns0:t>rust-crc32fast</ns0:t>
        </ns0:is>
      </ns0:c>
      <ns0:c r="D484" t="inlineStr">
        <ns0:is>
          <ns0:t>gemini-2.5-flash-nothinking</ns0:t>
        </ns0:is>
      </ns0:c>
      <ns0:c r="E484">
        <ns0:f>COUNTIF(Cases!$B$2:$B$1859,A484)</ns0:f>
        <ns0:v>1</ns0:v>
      </ns0:c>
      <ns0:c r="F484">
        <ns0:f>IF(COUNTIFS(Cases!$B$2:$B$1859,A484,Cases!$G$2:$G$1859,1)&gt;0,1,0)</ns0:f>
        <ns0:v>1</ns0:v>
      </ns0:c>
      <ns0:c r="G484">
        <ns0:f>IF(COUNTIFS(Cases!$B$2:$B$1859,A484,Cases!$L$2:$L$1859,1)&gt;0,1,0)</ns0:f>
        <ns0:v>1</ns0:v>
      </ns0:c>
      <ns0:c r="H484">
        <ns0:f>IF(COUNTIFS(Cases!$B$2:$B$1859,A484,Cases!$Q$2:$Q$1859,1)&gt;0,1,0)</ns0:f>
        <ns0:v>0</ns0:v>
      </ns0:c>
      <ns0:c r="I484">
        <ns0:f>IF(COUNTIFS(Cases!$B$2:$B$1859,A484,Cases!$R$2:$R$1859,1)&gt;0,1,0)</ns0:f>
        <ns0:v>1</ns0:v>
      </ns0:c>
    </ns0:row>
    <ns0:row r="485">
      <ns0:c r="A485" t="inlineStr">
        <ns0:is>
          <ns0:t>function_0484</ns0:t>
        </ns0:is>
      </ns0:c>
      <ns0:c r="B485" t="inlineStr">
        <ns0:is>
          <ns0:t>run_014</ns0:t>
        </ns0:is>
      </ns0:c>
      <ns0:c r="C485" t="inlineStr">
        <ns0:is>
          <ns0:t>rust-crc32fast</ns0:t>
        </ns0:is>
      </ns0:c>
      <ns0:c r="D485" t="inlineStr">
        <ns0:is>
          <ns0:t>gemini-2.5-flash-nothinking</ns0:t>
        </ns0:is>
      </ns0:c>
      <ns0:c r="E485">
        <ns0:f>COUNTIF(Cases!$B$2:$B$1859,A485)</ns0:f>
        <ns0:v>1</ns0:v>
      </ns0:c>
      <ns0:c r="F485">
        <ns0:f>IF(COUNTIFS(Cases!$B$2:$B$1859,A485,Cases!$G$2:$G$1859,1)&gt;0,1,0)</ns0:f>
        <ns0:v>1</ns0:v>
      </ns0:c>
      <ns0:c r="G485">
        <ns0:f>IF(COUNTIFS(Cases!$B$2:$B$1859,A485,Cases!$L$2:$L$1859,1)&gt;0,1,0)</ns0:f>
        <ns0:v>1</ns0:v>
      </ns0:c>
      <ns0:c r="H485">
        <ns0:f>IF(COUNTIFS(Cases!$B$2:$B$1859,A485,Cases!$Q$2:$Q$1859,1)&gt;0,1,0)</ns0:f>
        <ns0:v>1</ns0:v>
      </ns0:c>
      <ns0:c r="I485">
        <ns0:f>IF(COUNTIFS(Cases!$B$2:$B$1859,A485,Cases!$R$2:$R$1859,1)&gt;0,1,0)</ns0:f>
        <ns0:v>1</ns0:v>
      </ns0:c>
    </ns0:row>
    <ns0:row r="486">
      <ns0:c r="A486" t="inlineStr">
        <ns0:is>
          <ns0:t>function_0485</ns0:t>
        </ns0:is>
      </ns0:c>
      <ns0:c r="B486" t="inlineStr">
        <ns0:is>
          <ns0:t>run_014</ns0:t>
        </ns0:is>
      </ns0:c>
      <ns0:c r="C486" t="inlineStr">
        <ns0:is>
          <ns0:t>rust-crc32fast</ns0:t>
        </ns0:is>
      </ns0:c>
      <ns0:c r="D486" t="inlineStr">
        <ns0:is>
          <ns0:t>gemini-2.5-flash-nothinking</ns0:t>
        </ns0:is>
      </ns0:c>
      <ns0:c r="E486">
        <ns0:f>COUNTIF(Cases!$B$2:$B$1859,A486)</ns0:f>
        <ns0:v>1</ns0:v>
      </ns0:c>
      <ns0:c r="F486">
        <ns0:f>IF(COUNTIFS(Cases!$B$2:$B$1859,A486,Cases!$G$2:$G$1859,1)&gt;0,1,0)</ns0:f>
        <ns0:v>1</ns0:v>
      </ns0:c>
      <ns0:c r="G486">
        <ns0:f>IF(COUNTIFS(Cases!$B$2:$B$1859,A486,Cases!$L$2:$L$1859,1)&gt;0,1,0)</ns0:f>
        <ns0:v>1</ns0:v>
      </ns0:c>
      <ns0:c r="H486">
        <ns0:f>IF(COUNTIFS(Cases!$B$2:$B$1859,A486,Cases!$Q$2:$Q$1859,1)&gt;0,1,0)</ns0:f>
        <ns0:v>0</ns0:v>
      </ns0:c>
      <ns0:c r="I486">
        <ns0:f>IF(COUNTIFS(Cases!$B$2:$B$1859,A486,Cases!$R$2:$R$1859,1)&gt;0,1,0)</ns0:f>
        <ns0:v>1</ns0:v>
      </ns0:c>
    </ns0:row>
    <ns0:row r="487">
      <ns0:c r="A487" t="inlineStr">
        <ns0:is>
          <ns0:t>function_0486</ns0:t>
        </ns0:is>
      </ns0:c>
      <ns0:c r="B487" t="inlineStr">
        <ns0:is>
          <ns0:t>run_014</ns0:t>
        </ns0:is>
      </ns0:c>
      <ns0:c r="C487" t="inlineStr">
        <ns0:is>
          <ns0:t>rust-crc32fast</ns0:t>
        </ns0:is>
      </ns0:c>
      <ns0:c r="D487" t="inlineStr">
        <ns0:is>
          <ns0:t>gemini-2.5-flash-nothinking</ns0:t>
        </ns0:is>
      </ns0:c>
      <ns0:c r="E487">
        <ns0:f>COUNTIF(Cases!$B$2:$B$1859,A487)</ns0:f>
        <ns0:v>4</ns0:v>
      </ns0:c>
      <ns0:c r="F487">
        <ns0:f>IF(COUNTIFS(Cases!$B$2:$B$1859,A487,Cases!$G$2:$G$1859,1)&gt;0,1,0)</ns0:f>
        <ns0:v>1</ns0:v>
      </ns0:c>
      <ns0:c r="G487">
        <ns0:f>IF(COUNTIFS(Cases!$B$2:$B$1859,A487,Cases!$L$2:$L$1859,1)&gt;0,1,0)</ns0:f>
        <ns0:v>1</ns0:v>
      </ns0:c>
      <ns0:c r="H487">
        <ns0:f>IF(COUNTIFS(Cases!$B$2:$B$1859,A487,Cases!$Q$2:$Q$1859,1)&gt;0,1,0)</ns0:f>
        <ns0:v>1</ns0:v>
      </ns0:c>
      <ns0:c r="I487">
        <ns0:f>IF(COUNTIFS(Cases!$B$2:$B$1859,A487,Cases!$R$2:$R$1859,1)&gt;0,1,0)</ns0:f>
        <ns0:v>1</ns0:v>
      </ns0:c>
    </ns0:row>
    <ns0:row r="488">
      <ns0:c r="A488" t="inlineStr">
        <ns0:is>
          <ns0:t>function_0487</ns0:t>
        </ns0:is>
      </ns0:c>
      <ns0:c r="B488" t="inlineStr">
        <ns0:is>
          <ns0:t>run_015</ns0:t>
        </ns0:is>
      </ns0:c>
      <ns0:c r="C488" t="inlineStr">
        <ns0:is>
          <ns0:t>rustc-demangle</ns0:t>
        </ns0:is>
      </ns0:c>
      <ns0:c r="D488" t="inlineStr">
        <ns0:is>
          <ns0:t>gemini-2.5-flash-nothinking</ns0:t>
        </ns0:is>
      </ns0:c>
      <ns0:c r="E488">
        <ns0:f>COUNTIF(Cases!$B$2:$B$1859,A488)</ns0:f>
        <ns0:v>2</ns0:v>
      </ns0:c>
      <ns0:c r="F488">
        <ns0:f>IF(COUNTIFS(Cases!$B$2:$B$1859,A488,Cases!$G$2:$G$1859,1)&gt;0,1,0)</ns0:f>
        <ns0:v>0</ns0:v>
      </ns0:c>
      <ns0:c r="G488">
        <ns0:f>IF(COUNTIFS(Cases!$B$2:$B$1859,A488,Cases!$L$2:$L$1859,1)&gt;0,1,0)</ns0:f>
        <ns0:v>0</ns0:v>
      </ns0:c>
      <ns0:c r="H488">
        <ns0:f>IF(COUNTIFS(Cases!$B$2:$B$1859,A488,Cases!$Q$2:$Q$1859,1)&gt;0,1,0)</ns0:f>
        <ns0:v>0</ns0:v>
      </ns0:c>
      <ns0:c r="I488">
        <ns0:f>IF(COUNTIFS(Cases!$B$2:$B$1859,A488,Cases!$R$2:$R$1859,1)&gt;0,1,0)</ns0:f>
        <ns0:v>0</ns0:v>
      </ns0:c>
    </ns0:row>
    <ns0:row r="489">
      <ns0:c r="A489" t="inlineStr">
        <ns0:is>
          <ns0:t>function_0488</ns0:t>
        </ns0:is>
      </ns0:c>
      <ns0:c r="B489" t="inlineStr">
        <ns0:is>
          <ns0:t>run_015</ns0:t>
        </ns0:is>
      </ns0:c>
      <ns0:c r="C489" t="inlineStr">
        <ns0:is>
          <ns0:t>rustc-demangle</ns0:t>
        </ns0:is>
      </ns0:c>
      <ns0:c r="D489" t="inlineStr">
        <ns0:is>
          <ns0:t>gemini-2.5-flash-nothinking</ns0:t>
        </ns0:is>
      </ns0:c>
      <ns0:c r="E489">
        <ns0:f>COUNTIF(Cases!$B$2:$B$1859,A489)</ns0:f>
        <ns0:v>4</ns0:v>
      </ns0:c>
      <ns0:c r="F489">
        <ns0:f>IF(COUNTIFS(Cases!$B$2:$B$1859,A489,Cases!$G$2:$G$1859,1)&gt;0,1,0)</ns0:f>
        <ns0:v>1</ns0:v>
      </ns0:c>
      <ns0:c r="G489">
        <ns0:f>IF(COUNTIFS(Cases!$B$2:$B$1859,A489,Cases!$L$2:$L$1859,1)&gt;0,1,0)</ns0:f>
        <ns0:v>1</ns0:v>
      </ns0:c>
      <ns0:c r="H489">
        <ns0:f>IF(COUNTIFS(Cases!$B$2:$B$1859,A489,Cases!$Q$2:$Q$1859,1)&gt;0,1,0)</ns0:f>
        <ns0:v>0</ns0:v>
      </ns0:c>
      <ns0:c r="I489">
        <ns0:f>IF(COUNTIFS(Cases!$B$2:$B$1859,A489,Cases!$R$2:$R$1859,1)&gt;0,1,0)</ns0:f>
        <ns0:v>0</ns0:v>
      </ns0:c>
    </ns0:row>
    <ns0:row r="490">
      <ns0:c r="A490" t="inlineStr">
        <ns0:is>
          <ns0:t>function_0489</ns0:t>
        </ns0:is>
      </ns0:c>
      <ns0:c r="B490" t="inlineStr">
        <ns0:is>
          <ns0:t>run_015</ns0:t>
        </ns0:is>
      </ns0:c>
      <ns0:c r="C490" t="inlineStr">
        <ns0:is>
          <ns0:t>rustc-demangle</ns0:t>
        </ns0:is>
      </ns0:c>
      <ns0:c r="D490" t="inlineStr">
        <ns0:is>
          <ns0:t>gemini-2.5-flash-nothinking</ns0:t>
        </ns0:is>
      </ns0:c>
      <ns0:c r="E490">
        <ns0:f>COUNTIF(Cases!$B$2:$B$1859,A490)</ns0:f>
        <ns0:v>2</ns0:v>
      </ns0:c>
      <ns0:c r="F490">
        <ns0:f>IF(COUNTIFS(Cases!$B$2:$B$1859,A490,Cases!$G$2:$G$1859,1)&gt;0,1,0)</ns0:f>
        <ns0:v>1</ns0:v>
      </ns0:c>
      <ns0:c r="G490">
        <ns0:f>IF(COUNTIFS(Cases!$B$2:$B$1859,A490,Cases!$L$2:$L$1859,1)&gt;0,1,0)</ns0:f>
        <ns0:v>1</ns0:v>
      </ns0:c>
      <ns0:c r="H490">
        <ns0:f>IF(COUNTIFS(Cases!$B$2:$B$1859,A490,Cases!$Q$2:$Q$1859,1)&gt;0,1,0)</ns0:f>
        <ns0:v>1</ns0:v>
      </ns0:c>
      <ns0:c r="I490">
        <ns0:f>IF(COUNTIFS(Cases!$B$2:$B$1859,A490,Cases!$R$2:$R$1859,1)&gt;0,1,0)</ns0:f>
        <ns0:v>1</ns0:v>
      </ns0:c>
    </ns0:row>
    <ns0:row r="491">
      <ns0:c r="A491" t="inlineStr">
        <ns0:is>
          <ns0:t>function_0490</ns0:t>
        </ns0:is>
      </ns0:c>
      <ns0:c r="B491" t="inlineStr">
        <ns0:is>
          <ns0:t>run_015</ns0:t>
        </ns0:is>
      </ns0:c>
      <ns0:c r="C491" t="inlineStr">
        <ns0:is>
          <ns0:t>rustc-demangle</ns0:t>
        </ns0:is>
      </ns0:c>
      <ns0:c r="D491" t="inlineStr">
        <ns0:is>
          <ns0:t>gemini-2.5-flash-nothinking</ns0:t>
        </ns0:is>
      </ns0:c>
      <ns0:c r="E491">
        <ns0:f>COUNTIF(Cases!$B$2:$B$1859,A491)</ns0:f>
        <ns0:v>4</ns0:v>
      </ns0:c>
      <ns0:c r="F491">
        <ns0:f>IF(COUNTIFS(Cases!$B$2:$B$1859,A491,Cases!$G$2:$G$1859,1)&gt;0,1,0)</ns0:f>
        <ns0:v>0</ns0:v>
      </ns0:c>
      <ns0:c r="G491">
        <ns0:f>IF(COUNTIFS(Cases!$B$2:$B$1859,A491,Cases!$L$2:$L$1859,1)&gt;0,1,0)</ns0:f>
        <ns0:v>1</ns0:v>
      </ns0:c>
      <ns0:c r="H491">
        <ns0:f>IF(COUNTIFS(Cases!$B$2:$B$1859,A491,Cases!$Q$2:$Q$1859,1)&gt;0,1,0)</ns0:f>
        <ns0:v>0</ns0:v>
      </ns0:c>
      <ns0:c r="I491">
        <ns0:f>IF(COUNTIFS(Cases!$B$2:$B$1859,A491,Cases!$R$2:$R$1859,1)&gt;0,1,0)</ns0:f>
        <ns0:v>1</ns0:v>
      </ns0:c>
    </ns0:row>
    <ns0:row r="492">
      <ns0:c r="A492" t="inlineStr">
        <ns0:is>
          <ns0:t>function_0491</ns0:t>
        </ns0:is>
      </ns0:c>
      <ns0:c r="B492" t="inlineStr">
        <ns0:is>
          <ns0:t>run_015</ns0:t>
        </ns0:is>
      </ns0:c>
      <ns0:c r="C492" t="inlineStr">
        <ns0:is>
          <ns0:t>rustc-demangle</ns0:t>
        </ns0:is>
      </ns0:c>
      <ns0:c r="D492" t="inlineStr">
        <ns0:is>
          <ns0:t>gemini-2.5-flash-nothinking</ns0:t>
        </ns0:is>
      </ns0:c>
      <ns0:c r="E492">
        <ns0:f>COUNTIF(Cases!$B$2:$B$1859,A492)</ns0:f>
        <ns0:v>3</ns0:v>
      </ns0:c>
      <ns0:c r="F492">
        <ns0:f>IF(COUNTIFS(Cases!$B$2:$B$1859,A492,Cases!$G$2:$G$1859,1)&gt;0,1,0)</ns0:f>
        <ns0:v>0</ns0:v>
      </ns0:c>
      <ns0:c r="G492">
        <ns0:f>IF(COUNTIFS(Cases!$B$2:$B$1859,A492,Cases!$L$2:$L$1859,1)&gt;0,1,0)</ns0:f>
        <ns0:v>1</ns0:v>
      </ns0:c>
      <ns0:c r="H492">
        <ns0:f>IF(COUNTIFS(Cases!$B$2:$B$1859,A492,Cases!$Q$2:$Q$1859,1)&gt;0,1,0)</ns0:f>
        <ns0:v>0</ns0:v>
      </ns0:c>
      <ns0:c r="I492">
        <ns0:f>IF(COUNTIFS(Cases!$B$2:$B$1859,A492,Cases!$R$2:$R$1859,1)&gt;0,1,0)</ns0:f>
        <ns0:v>0</ns0:v>
      </ns0:c>
    </ns0:row>
    <ns0:row r="493">
      <ns0:c r="A493" t="inlineStr">
        <ns0:is>
          <ns0:t>function_0492</ns0:t>
        </ns0:is>
      </ns0:c>
      <ns0:c r="B493" t="inlineStr">
        <ns0:is>
          <ns0:t>run_015</ns0:t>
        </ns0:is>
      </ns0:c>
      <ns0:c r="C493" t="inlineStr">
        <ns0:is>
          <ns0:t>rustc-demangle</ns0:t>
        </ns0:is>
      </ns0:c>
      <ns0:c r="D493" t="inlineStr">
        <ns0:is>
          <ns0:t>gemini-2.5-flash-nothinking</ns0:t>
        </ns0:is>
      </ns0:c>
      <ns0:c r="E493">
        <ns0:f>COUNTIF(Cases!$B$2:$B$1859,A493)</ns0:f>
        <ns0:v>1</ns0:v>
      </ns0:c>
      <ns0:c r="F493">
        <ns0:f>IF(COUNTIFS(Cases!$B$2:$B$1859,A493,Cases!$G$2:$G$1859,1)&gt;0,1,0)</ns0:f>
        <ns0:v>1</ns0:v>
      </ns0:c>
      <ns0:c r="G493">
        <ns0:f>IF(COUNTIFS(Cases!$B$2:$B$1859,A493,Cases!$L$2:$L$1859,1)&gt;0,1,0)</ns0:f>
        <ns0:v>1</ns0:v>
      </ns0:c>
      <ns0:c r="H493">
        <ns0:f>IF(COUNTIFS(Cases!$B$2:$B$1859,A493,Cases!$Q$2:$Q$1859,1)&gt;0,1,0)</ns0:f>
        <ns0:v>0</ns0:v>
      </ns0:c>
      <ns0:c r="I493">
        <ns0:f>IF(COUNTIFS(Cases!$B$2:$B$1859,A493,Cases!$R$2:$R$1859,1)&gt;0,1,0)</ns0:f>
        <ns0:v>1</ns0:v>
      </ns0:c>
    </ns0:row>
    <ns0:row r="494">
      <ns0:c r="A494" t="inlineStr">
        <ns0:is>
          <ns0:t>function_0493</ns0:t>
        </ns0:is>
      </ns0:c>
      <ns0:c r="B494" t="inlineStr">
        <ns0:is>
          <ns0:t>run_015</ns0:t>
        </ns0:is>
      </ns0:c>
      <ns0:c r="C494" t="inlineStr">
        <ns0:is>
          <ns0:t>rustc-demangle</ns0:t>
        </ns0:is>
      </ns0:c>
      <ns0:c r="D494" t="inlineStr">
        <ns0:is>
          <ns0:t>gemini-2.5-flash-nothinking</ns0:t>
        </ns0:is>
      </ns0:c>
      <ns0:c r="E494">
        <ns0:f>COUNTIF(Cases!$B$2:$B$1859,A494)</ns0:f>
        <ns0:v>4</ns0:v>
      </ns0:c>
      <ns0:c r="F494">
        <ns0:f>IF(COUNTIFS(Cases!$B$2:$B$1859,A494,Cases!$G$2:$G$1859,1)&gt;0,1,0)</ns0:f>
        <ns0:v>1</ns0:v>
      </ns0:c>
      <ns0:c r="G494">
        <ns0:f>IF(COUNTIFS(Cases!$B$2:$B$1859,A494,Cases!$L$2:$L$1859,1)&gt;0,1,0)</ns0:f>
        <ns0:v>1</ns0:v>
      </ns0:c>
      <ns0:c r="H494">
        <ns0:f>IF(COUNTIFS(Cases!$B$2:$B$1859,A494,Cases!$Q$2:$Q$1859,1)&gt;0,1,0)</ns0:f>
        <ns0:v>0</ns0:v>
      </ns0:c>
      <ns0:c r="I494">
        <ns0:f>IF(COUNTIFS(Cases!$B$2:$B$1859,A494,Cases!$R$2:$R$1859,1)&gt;0,1,0)</ns0:f>
        <ns0:v>1</ns0:v>
      </ns0:c>
    </ns0:row>
    <ns0:row r="495">
      <ns0:c r="A495" t="inlineStr">
        <ns0:is>
          <ns0:t>function_0494</ns0:t>
        </ns0:is>
      </ns0:c>
      <ns0:c r="B495" t="inlineStr">
        <ns0:is>
          <ns0:t>run_015</ns0:t>
        </ns0:is>
      </ns0:c>
      <ns0:c r="C495" t="inlineStr">
        <ns0:is>
          <ns0:t>rustc-demangle</ns0:t>
        </ns0:is>
      </ns0:c>
      <ns0:c r="D495" t="inlineStr">
        <ns0:is>
          <ns0:t>gemini-2.5-flash-nothinking</ns0:t>
        </ns0:is>
      </ns0:c>
      <ns0:c r="E495">
        <ns0:f>COUNTIF(Cases!$B$2:$B$1859,A495)</ns0:f>
        <ns0:v>4</ns0:v>
      </ns0:c>
      <ns0:c r="F495">
        <ns0:f>IF(COUNTIFS(Cases!$B$2:$B$1859,A495,Cases!$G$2:$G$1859,1)&gt;0,1,0)</ns0:f>
        <ns0:v>0</ns0:v>
      </ns0:c>
      <ns0:c r="G495">
        <ns0:f>IF(COUNTIFS(Cases!$B$2:$B$1859,A495,Cases!$L$2:$L$1859,1)&gt;0,1,0)</ns0:f>
        <ns0:v>1</ns0:v>
      </ns0:c>
      <ns0:c r="H495">
        <ns0:f>IF(COUNTIFS(Cases!$B$2:$B$1859,A495,Cases!$Q$2:$Q$1859,1)&gt;0,1,0)</ns0:f>
        <ns0:v>0</ns0:v>
      </ns0:c>
      <ns0:c r="I495">
        <ns0:f>IF(COUNTIFS(Cases!$B$2:$B$1859,A495,Cases!$R$2:$R$1859,1)&gt;0,1,0)</ns0:f>
        <ns0:v>0</ns0:v>
      </ns0:c>
    </ns0:row>
    <ns0:row r="496">
      <ns0:c r="A496" t="inlineStr">
        <ns0:is>
          <ns0:t>function_0495</ns0:t>
        </ns0:is>
      </ns0:c>
      <ns0:c r="B496" t="inlineStr">
        <ns0:is>
          <ns0:t>run_015</ns0:t>
        </ns0:is>
      </ns0:c>
      <ns0:c r="C496" t="inlineStr">
        <ns0:is>
          <ns0:t>rustc-demangle</ns0:t>
        </ns0:is>
      </ns0:c>
      <ns0:c r="D496" t="inlineStr">
        <ns0:is>
          <ns0:t>gemini-2.5-flash-nothinking</ns0:t>
        </ns0:is>
      </ns0:c>
      <ns0:c r="E496">
        <ns0:f>COUNTIF(Cases!$B$2:$B$1859,A496)</ns0:f>
        <ns0:v>1</ns0:v>
      </ns0:c>
      <ns0:c r="F496">
        <ns0:f>IF(COUNTIFS(Cases!$B$2:$B$1859,A496,Cases!$G$2:$G$1859,1)&gt;0,1,0)</ns0:f>
        <ns0:v>1</ns0:v>
      </ns0:c>
      <ns0:c r="G496">
        <ns0:f>IF(COUNTIFS(Cases!$B$2:$B$1859,A496,Cases!$L$2:$L$1859,1)&gt;0,1,0)</ns0:f>
        <ns0:v>1</ns0:v>
      </ns0:c>
      <ns0:c r="H496">
        <ns0:f>IF(COUNTIFS(Cases!$B$2:$B$1859,A496,Cases!$Q$2:$Q$1859,1)&gt;0,1,0)</ns0:f>
        <ns0:v>1</ns0:v>
      </ns0:c>
      <ns0:c r="I496">
        <ns0:f>IF(COUNTIFS(Cases!$B$2:$B$1859,A496,Cases!$R$2:$R$1859,1)&gt;0,1,0)</ns0:f>
        <ns0:v>1</ns0:v>
      </ns0:c>
    </ns0:row>
    <ns0:row r="497">
      <ns0:c r="A497" t="inlineStr">
        <ns0:is>
          <ns0:t>function_0496</ns0:t>
        </ns0:is>
      </ns0:c>
      <ns0:c r="B497" t="inlineStr">
        <ns0:is>
          <ns0:t>run_015</ns0:t>
        </ns0:is>
      </ns0:c>
      <ns0:c r="C497" t="inlineStr">
        <ns0:is>
          <ns0:t>rustc-demangle</ns0:t>
        </ns0:is>
      </ns0:c>
      <ns0:c r="D497" t="inlineStr">
        <ns0:is>
          <ns0:t>gemini-2.5-flash-nothinking</ns0:t>
        </ns0:is>
      </ns0:c>
      <ns0:c r="E497">
        <ns0:f>COUNTIF(Cases!$B$2:$B$1859,A497)</ns0:f>
        <ns0:v>1</ns0:v>
      </ns0:c>
      <ns0:c r="F497">
        <ns0:f>IF(COUNTIFS(Cases!$B$2:$B$1859,A497,Cases!$G$2:$G$1859,1)&gt;0,1,0)</ns0:f>
        <ns0:v>0</ns0:v>
      </ns0:c>
      <ns0:c r="G497">
        <ns0:f>IF(COUNTIFS(Cases!$B$2:$B$1859,A497,Cases!$L$2:$L$1859,1)&gt;0,1,0)</ns0:f>
        <ns0:v>0</ns0:v>
      </ns0:c>
      <ns0:c r="H497">
        <ns0:f>IF(COUNTIFS(Cases!$B$2:$B$1859,A497,Cases!$Q$2:$Q$1859,1)&gt;0,1,0)</ns0:f>
        <ns0:v>0</ns0:v>
      </ns0:c>
      <ns0:c r="I497">
        <ns0:f>IF(COUNTIFS(Cases!$B$2:$B$1859,A497,Cases!$R$2:$R$1859,1)&gt;0,1,0)</ns0:f>
        <ns0:v>0</ns0:v>
      </ns0:c>
    </ns0:row>
    <ns0:row r="498">
      <ns0:c r="A498" t="inlineStr">
        <ns0:is>
          <ns0:t>function_0497</ns0:t>
        </ns0:is>
      </ns0:c>
      <ns0:c r="B498" t="inlineStr">
        <ns0:is>
          <ns0:t>run_015</ns0:t>
        </ns0:is>
      </ns0:c>
      <ns0:c r="C498" t="inlineStr">
        <ns0:is>
          <ns0:t>rustc-demangle</ns0:t>
        </ns0:is>
      </ns0:c>
      <ns0:c r="D498" t="inlineStr">
        <ns0:is>
          <ns0:t>gemini-2.5-flash-nothinking</ns0:t>
        </ns0:is>
      </ns0:c>
      <ns0:c r="E498">
        <ns0:f>COUNTIF(Cases!$B$2:$B$1859,A498)</ns0:f>
        <ns0:v>4</ns0:v>
      </ns0:c>
      <ns0:c r="F498">
        <ns0:f>IF(COUNTIFS(Cases!$B$2:$B$1859,A498,Cases!$G$2:$G$1859,1)&gt;0,1,0)</ns0:f>
        <ns0:v>0</ns0:v>
      </ns0:c>
      <ns0:c r="G498">
        <ns0:f>IF(COUNTIFS(Cases!$B$2:$B$1859,A498,Cases!$L$2:$L$1859,1)&gt;0,1,0)</ns0:f>
        <ns0:v>1</ns0:v>
      </ns0:c>
      <ns0:c r="H498">
        <ns0:f>IF(COUNTIFS(Cases!$B$2:$B$1859,A498,Cases!$Q$2:$Q$1859,1)&gt;0,1,0)</ns0:f>
        <ns0:v>0</ns0:v>
      </ns0:c>
      <ns0:c r="I498">
        <ns0:f>IF(COUNTIFS(Cases!$B$2:$B$1859,A498,Cases!$R$2:$R$1859,1)&gt;0,1,0)</ns0:f>
        <ns0:v>0</ns0:v>
      </ns0:c>
    </ns0:row>
    <ns0:row r="499">
      <ns0:c r="A499" t="inlineStr">
        <ns0:is>
          <ns0:t>function_0498</ns0:t>
        </ns0:is>
      </ns0:c>
      <ns0:c r="B499" t="inlineStr">
        <ns0:is>
          <ns0:t>run_015</ns0:t>
        </ns0:is>
      </ns0:c>
      <ns0:c r="C499" t="inlineStr">
        <ns0:is>
          <ns0:t>rustc-demangle</ns0:t>
        </ns0:is>
      </ns0:c>
      <ns0:c r="D499" t="inlineStr">
        <ns0:is>
          <ns0:t>gemini-2.5-flash-nothinking</ns0:t>
        </ns0:is>
      </ns0:c>
      <ns0:c r="E499">
        <ns0:f>COUNTIF(Cases!$B$2:$B$1859,A499)</ns0:f>
        <ns0:v>4</ns0:v>
      </ns0:c>
      <ns0:c r="F499">
        <ns0:f>IF(COUNTIFS(Cases!$B$2:$B$1859,A499,Cases!$G$2:$G$1859,1)&gt;0,1,0)</ns0:f>
        <ns0:v>1</ns0:v>
      </ns0:c>
      <ns0:c r="G499">
        <ns0:f>IF(COUNTIFS(Cases!$B$2:$B$1859,A499,Cases!$L$2:$L$1859,1)&gt;0,1,0)</ns0:f>
        <ns0:v>0</ns0:v>
      </ns0:c>
      <ns0:c r="H499">
        <ns0:f>IF(COUNTIFS(Cases!$B$2:$B$1859,A499,Cases!$Q$2:$Q$1859,1)&gt;0,1,0)</ns0:f>
        <ns0:v>0</ns0:v>
      </ns0:c>
      <ns0:c r="I499">
        <ns0:f>IF(COUNTIFS(Cases!$B$2:$B$1859,A499,Cases!$R$2:$R$1859,1)&gt;0,1,0)</ns0:f>
        <ns0:v>0</ns0:v>
      </ns0:c>
    </ns0:row>
    <ns0:row r="500">
      <ns0:c r="A500" t="inlineStr">
        <ns0:is>
          <ns0:t>function_0499</ns0:t>
        </ns0:is>
      </ns0:c>
      <ns0:c r="B500" t="inlineStr">
        <ns0:is>
          <ns0:t>run_015</ns0:t>
        </ns0:is>
      </ns0:c>
      <ns0:c r="C500" t="inlineStr">
        <ns0:is>
          <ns0:t>rustc-demangle</ns0:t>
        </ns0:is>
      </ns0:c>
      <ns0:c r="D500" t="inlineStr">
        <ns0:is>
          <ns0:t>gemini-2.5-flash-nothinking</ns0:t>
        </ns0:is>
      </ns0:c>
      <ns0:c r="E500">
        <ns0:f>COUNTIF(Cases!$B$2:$B$1859,A500)</ns0:f>
        <ns0:v>4</ns0:v>
      </ns0:c>
      <ns0:c r="F500">
        <ns0:f>IF(COUNTIFS(Cases!$B$2:$B$1859,A500,Cases!$G$2:$G$1859,1)&gt;0,1,0)</ns0:f>
        <ns0:v>0</ns0:v>
      </ns0:c>
      <ns0:c r="G500">
        <ns0:f>IF(COUNTIFS(Cases!$B$2:$B$1859,A500,Cases!$L$2:$L$1859,1)&gt;0,1,0)</ns0:f>
        <ns0:v>1</ns0:v>
      </ns0:c>
      <ns0:c r="H500">
        <ns0:f>IF(COUNTIFS(Cases!$B$2:$B$1859,A500,Cases!$Q$2:$Q$1859,1)&gt;0,1,0)</ns0:f>
        <ns0:v>0</ns0:v>
      </ns0:c>
      <ns0:c r="I500">
        <ns0:f>IF(COUNTIFS(Cases!$B$2:$B$1859,A500,Cases!$R$2:$R$1859,1)&gt;0,1,0)</ns0:f>
        <ns0:v>0</ns0:v>
      </ns0:c>
    </ns0:row>
    <ns0:row r="501">
      <ns0:c r="A501" t="inlineStr">
        <ns0:is>
          <ns0:t>function_0500</ns0:t>
        </ns0:is>
      </ns0:c>
      <ns0:c r="B501" t="inlineStr">
        <ns0:is>
          <ns0:t>run_015</ns0:t>
        </ns0:is>
      </ns0:c>
      <ns0:c r="C501" t="inlineStr">
        <ns0:is>
          <ns0:t>rustc-demangle</ns0:t>
        </ns0:is>
      </ns0:c>
      <ns0:c r="D501" t="inlineStr">
        <ns0:is>
          <ns0:t>gemini-2.5-flash-nothinking</ns0:t>
        </ns0:is>
      </ns0:c>
      <ns0:c r="E501">
        <ns0:f>COUNTIF(Cases!$B$2:$B$1859,A501)</ns0:f>
        <ns0:v>4</ns0:v>
      </ns0:c>
      <ns0:c r="F501">
        <ns0:f>IF(COUNTIFS(Cases!$B$2:$B$1859,A501,Cases!$G$2:$G$1859,1)&gt;0,1,0)</ns0:f>
        <ns0:v>1</ns0:v>
      </ns0:c>
      <ns0:c r="G501">
        <ns0:f>IF(COUNTIFS(Cases!$B$2:$B$1859,A501,Cases!$L$2:$L$1859,1)&gt;0,1,0)</ns0:f>
        <ns0:v>1</ns0:v>
      </ns0:c>
      <ns0:c r="H501">
        <ns0:f>IF(COUNTIFS(Cases!$B$2:$B$1859,A501,Cases!$Q$2:$Q$1859,1)&gt;0,1,0)</ns0:f>
        <ns0:v>0</ns0:v>
      </ns0:c>
      <ns0:c r="I501">
        <ns0:f>IF(COUNTIFS(Cases!$B$2:$B$1859,A501,Cases!$R$2:$R$1859,1)&gt;0,1,0)</ns0:f>
        <ns0:v>0</ns0:v>
      </ns0:c>
    </ns0:row>
    <ns0:row r="502">
      <ns0:c r="A502" t="inlineStr">
        <ns0:is>
          <ns0:t>function_0501</ns0:t>
        </ns0:is>
      </ns0:c>
      <ns0:c r="B502" t="inlineStr">
        <ns0:is>
          <ns0:t>run_015</ns0:t>
        </ns0:is>
      </ns0:c>
      <ns0:c r="C502" t="inlineStr">
        <ns0:is>
          <ns0:t>rustc-demangle</ns0:t>
        </ns0:is>
      </ns0:c>
      <ns0:c r="D502" t="inlineStr">
        <ns0:is>
          <ns0:t>gemini-2.5-flash-nothinking</ns0:t>
        </ns0:is>
      </ns0:c>
      <ns0:c r="E502">
        <ns0:f>COUNTIF(Cases!$B$2:$B$1859,A502)</ns0:f>
        <ns0:v>4</ns0:v>
      </ns0:c>
      <ns0:c r="F502">
        <ns0:f>IF(COUNTIFS(Cases!$B$2:$B$1859,A502,Cases!$G$2:$G$1859,1)&gt;0,1,0)</ns0:f>
        <ns0:v>1</ns0:v>
      </ns0:c>
      <ns0:c r="G502">
        <ns0:f>IF(COUNTIFS(Cases!$B$2:$B$1859,A502,Cases!$L$2:$L$1859,1)&gt;0,1,0)</ns0:f>
        <ns0:v>1</ns0:v>
      </ns0:c>
      <ns0:c r="H502">
        <ns0:f>IF(COUNTIFS(Cases!$B$2:$B$1859,A502,Cases!$Q$2:$Q$1859,1)&gt;0,1,0)</ns0:f>
        <ns0:v>0</ns0:v>
      </ns0:c>
      <ns0:c r="I502">
        <ns0:f>IF(COUNTIFS(Cases!$B$2:$B$1859,A502,Cases!$R$2:$R$1859,1)&gt;0,1,0)</ns0:f>
        <ns0:v>0</ns0:v>
      </ns0:c>
    </ns0:row>
    <ns0:row r="503">
      <ns0:c r="A503" t="inlineStr">
        <ns0:is>
          <ns0:t>function_0502</ns0:t>
        </ns0:is>
      </ns0:c>
      <ns0:c r="B503" t="inlineStr">
        <ns0:is>
          <ns0:t>run_015</ns0:t>
        </ns0:is>
      </ns0:c>
      <ns0:c r="C503" t="inlineStr">
        <ns0:is>
          <ns0:t>rustc-demangle</ns0:t>
        </ns0:is>
      </ns0:c>
      <ns0:c r="D503" t="inlineStr">
        <ns0:is>
          <ns0:t>gemini-2.5-flash-nothinking</ns0:t>
        </ns0:is>
      </ns0:c>
      <ns0:c r="E503">
        <ns0:f>COUNTIF(Cases!$B$2:$B$1859,A503)</ns0:f>
        <ns0:v>4</ns0:v>
      </ns0:c>
      <ns0:c r="F503">
        <ns0:f>IF(COUNTIFS(Cases!$B$2:$B$1859,A503,Cases!$G$2:$G$1859,1)&gt;0,1,0)</ns0:f>
        <ns0:v>1</ns0:v>
      </ns0:c>
      <ns0:c r="G503">
        <ns0:f>IF(COUNTIFS(Cases!$B$2:$B$1859,A503,Cases!$L$2:$L$1859,1)&gt;0,1,0)</ns0:f>
        <ns0:v>0</ns0:v>
      </ns0:c>
      <ns0:c r="H503">
        <ns0:f>IF(COUNTIFS(Cases!$B$2:$B$1859,A503,Cases!$Q$2:$Q$1859,1)&gt;0,1,0)</ns0:f>
        <ns0:v>0</ns0:v>
      </ns0:c>
      <ns0:c r="I503">
        <ns0:f>IF(COUNTIFS(Cases!$B$2:$B$1859,A503,Cases!$R$2:$R$1859,1)&gt;0,1,0)</ns0:f>
        <ns0:v>0</ns0:v>
      </ns0:c>
    </ns0:row>
    <ns0:row r="504">
      <ns0:c r="A504" t="inlineStr">
        <ns0:is>
          <ns0:t>function_0503</ns0:t>
        </ns0:is>
      </ns0:c>
      <ns0:c r="B504" t="inlineStr">
        <ns0:is>
          <ns0:t>run_015</ns0:t>
        </ns0:is>
      </ns0:c>
      <ns0:c r="C504" t="inlineStr">
        <ns0:is>
          <ns0:t>rustc-demangle</ns0:t>
        </ns0:is>
      </ns0:c>
      <ns0:c r="D504" t="inlineStr">
        <ns0:is>
          <ns0:t>gemini-2.5-flash-nothinking</ns0:t>
        </ns0:is>
      </ns0:c>
      <ns0:c r="E504">
        <ns0:f>COUNTIF(Cases!$B$2:$B$1859,A504)</ns0:f>
        <ns0:v>4</ns0:v>
      </ns0:c>
      <ns0:c r="F504">
        <ns0:f>IF(COUNTIFS(Cases!$B$2:$B$1859,A504,Cases!$G$2:$G$1859,1)&gt;0,1,0)</ns0:f>
        <ns0:v>0</ns0:v>
      </ns0:c>
      <ns0:c r="G504">
        <ns0:f>IF(COUNTIFS(Cases!$B$2:$B$1859,A504,Cases!$L$2:$L$1859,1)&gt;0,1,0)</ns0:f>
        <ns0:v>0</ns0:v>
      </ns0:c>
      <ns0:c r="H504">
        <ns0:f>IF(COUNTIFS(Cases!$B$2:$B$1859,A504,Cases!$Q$2:$Q$1859,1)&gt;0,1,0)</ns0:f>
        <ns0:v>0</ns0:v>
      </ns0:c>
      <ns0:c r="I504">
        <ns0:f>IF(COUNTIFS(Cases!$B$2:$B$1859,A504,Cases!$R$2:$R$1859,1)&gt;0,1,0)</ns0:f>
        <ns0:v>0</ns0:v>
      </ns0:c>
    </ns0:row>
    <ns0:row r="505">
      <ns0:c r="A505" t="inlineStr">
        <ns0:is>
          <ns0:t>function_0504</ns0:t>
        </ns0:is>
      </ns0:c>
      <ns0:c r="B505" t="inlineStr">
        <ns0:is>
          <ns0:t>run_015</ns0:t>
        </ns0:is>
      </ns0:c>
      <ns0:c r="C505" t="inlineStr">
        <ns0:is>
          <ns0:t>rustc-demangle</ns0:t>
        </ns0:is>
      </ns0:c>
      <ns0:c r="D505" t="inlineStr">
        <ns0:is>
          <ns0:t>gemini-2.5-flash-nothinking</ns0:t>
        </ns0:is>
      </ns0:c>
      <ns0:c r="E505">
        <ns0:f>COUNTIF(Cases!$B$2:$B$1859,A505)</ns0:f>
        <ns0:v>4</ns0:v>
      </ns0:c>
      <ns0:c r="F505">
        <ns0:f>IF(COUNTIFS(Cases!$B$2:$B$1859,A505,Cases!$G$2:$G$1859,1)&gt;0,1,0)</ns0:f>
        <ns0:v>0</ns0:v>
      </ns0:c>
      <ns0:c r="G505">
        <ns0:f>IF(COUNTIFS(Cases!$B$2:$B$1859,A505,Cases!$L$2:$L$1859,1)&gt;0,1,0)</ns0:f>
        <ns0:v>1</ns0:v>
      </ns0:c>
      <ns0:c r="H505">
        <ns0:f>IF(COUNTIFS(Cases!$B$2:$B$1859,A505,Cases!$Q$2:$Q$1859,1)&gt;0,1,0)</ns0:f>
        <ns0:v>0</ns0:v>
      </ns0:c>
      <ns0:c r="I505">
        <ns0:f>IF(COUNTIFS(Cases!$B$2:$B$1859,A505,Cases!$R$2:$R$1859,1)&gt;0,1,0)</ns0:f>
        <ns0:v>0</ns0:v>
      </ns0:c>
    </ns0:row>
    <ns0:row r="506">
      <ns0:c r="A506" t="inlineStr">
        <ns0:is>
          <ns0:t>function_0505</ns0:t>
        </ns0:is>
      </ns0:c>
      <ns0:c r="B506" t="inlineStr">
        <ns0:is>
          <ns0:t>run_015</ns0:t>
        </ns0:is>
      </ns0:c>
      <ns0:c r="C506" t="inlineStr">
        <ns0:is>
          <ns0:t>rustc-demangle</ns0:t>
        </ns0:is>
      </ns0:c>
      <ns0:c r="D506" t="inlineStr">
        <ns0:is>
          <ns0:t>gemini-2.5-flash-nothinking</ns0:t>
        </ns0:is>
      </ns0:c>
      <ns0:c r="E506">
        <ns0:f>COUNTIF(Cases!$B$2:$B$1859,A506)</ns0:f>
        <ns0:v>4</ns0:v>
      </ns0:c>
      <ns0:c r="F506">
        <ns0:f>IF(COUNTIFS(Cases!$B$2:$B$1859,A506,Cases!$G$2:$G$1859,1)&gt;0,1,0)</ns0:f>
        <ns0:v>1</ns0:v>
      </ns0:c>
      <ns0:c r="G506">
        <ns0:f>IF(COUNTIFS(Cases!$B$2:$B$1859,A506,Cases!$L$2:$L$1859,1)&gt;0,1,0)</ns0:f>
        <ns0:v>1</ns0:v>
      </ns0:c>
      <ns0:c r="H506">
        <ns0:f>IF(COUNTIFS(Cases!$B$2:$B$1859,A506,Cases!$Q$2:$Q$1859,1)&gt;0,1,0)</ns0:f>
        <ns0:v>0</ns0:v>
      </ns0:c>
      <ns0:c r="I506">
        <ns0:f>IF(COUNTIFS(Cases!$B$2:$B$1859,A506,Cases!$R$2:$R$1859,1)&gt;0,1,0)</ns0:f>
        <ns0:v>0</ns0:v>
      </ns0:c>
    </ns0:row>
    <ns0:row r="507">
      <ns0:c r="A507" t="inlineStr">
        <ns0:is>
          <ns0:t>function_0506</ns0:t>
        </ns0:is>
      </ns0:c>
      <ns0:c r="B507" t="inlineStr">
        <ns0:is>
          <ns0:t>run_015</ns0:t>
        </ns0:is>
      </ns0:c>
      <ns0:c r="C507" t="inlineStr">
        <ns0:is>
          <ns0:t>rustc-demangle</ns0:t>
        </ns0:is>
      </ns0:c>
      <ns0:c r="D507" t="inlineStr">
        <ns0:is>
          <ns0:t>gemini-2.5-flash-nothinking</ns0:t>
        </ns0:is>
      </ns0:c>
      <ns0:c r="E507">
        <ns0:f>COUNTIF(Cases!$B$2:$B$1859,A507)</ns0:f>
        <ns0:v>4</ns0:v>
      </ns0:c>
      <ns0:c r="F507">
        <ns0:f>IF(COUNTIFS(Cases!$B$2:$B$1859,A507,Cases!$G$2:$G$1859,1)&gt;0,1,0)</ns0:f>
        <ns0:v>0</ns0:v>
      </ns0:c>
      <ns0:c r="G507">
        <ns0:f>IF(COUNTIFS(Cases!$B$2:$B$1859,A507,Cases!$L$2:$L$1859,1)&gt;0,1,0)</ns0:f>
        <ns0:v>1</ns0:v>
      </ns0:c>
      <ns0:c r="H507">
        <ns0:f>IF(COUNTIFS(Cases!$B$2:$B$1859,A507,Cases!$Q$2:$Q$1859,1)&gt;0,1,0)</ns0:f>
        <ns0:v>0</ns0:v>
      </ns0:c>
      <ns0:c r="I507">
        <ns0:f>IF(COUNTIFS(Cases!$B$2:$B$1859,A507,Cases!$R$2:$R$1859,1)&gt;0,1,0)</ns0:f>
        <ns0:v>0</ns0:v>
      </ns0:c>
    </ns0:row>
    <ns0:row r="508">
      <ns0:c r="A508" t="inlineStr">
        <ns0:is>
          <ns0:t>function_0507</ns0:t>
        </ns0:is>
      </ns0:c>
      <ns0:c r="B508" t="inlineStr">
        <ns0:is>
          <ns0:t>run_015</ns0:t>
        </ns0:is>
      </ns0:c>
      <ns0:c r="C508" t="inlineStr">
        <ns0:is>
          <ns0:t>rustc-demangle</ns0:t>
        </ns0:is>
      </ns0:c>
      <ns0:c r="D508" t="inlineStr">
        <ns0:is>
          <ns0:t>gemini-2.5-flash-nothinking</ns0:t>
        </ns0:is>
      </ns0:c>
      <ns0:c r="E508">
        <ns0:f>COUNTIF(Cases!$B$2:$B$1859,A508)</ns0:f>
        <ns0:v>4</ns0:v>
      </ns0:c>
      <ns0:c r="F508">
        <ns0:f>IF(COUNTIFS(Cases!$B$2:$B$1859,A508,Cases!$G$2:$G$1859,1)&gt;0,1,0)</ns0:f>
        <ns0:v>1</ns0:v>
      </ns0:c>
      <ns0:c r="G508">
        <ns0:f>IF(COUNTIFS(Cases!$B$2:$B$1859,A508,Cases!$L$2:$L$1859,1)&gt;0,1,0)</ns0:f>
        <ns0:v>1</ns0:v>
      </ns0:c>
      <ns0:c r="H508">
        <ns0:f>IF(COUNTIFS(Cases!$B$2:$B$1859,A508,Cases!$Q$2:$Q$1859,1)&gt;0,1,0)</ns0:f>
        <ns0:v>0</ns0:v>
      </ns0:c>
      <ns0:c r="I508">
        <ns0:f>IF(COUNTIFS(Cases!$B$2:$B$1859,A508,Cases!$R$2:$R$1859,1)&gt;0,1,0)</ns0:f>
        <ns0:v>0</ns0:v>
      </ns0:c>
    </ns0:row>
    <ns0:row r="509">
      <ns0:c r="A509" t="inlineStr">
        <ns0:is>
          <ns0:t>function_0508</ns0:t>
        </ns0:is>
      </ns0:c>
      <ns0:c r="B509" t="inlineStr">
        <ns0:is>
          <ns0:t>run_015</ns0:t>
        </ns0:is>
      </ns0:c>
      <ns0:c r="C509" t="inlineStr">
        <ns0:is>
          <ns0:t>rustc-demangle</ns0:t>
        </ns0:is>
      </ns0:c>
      <ns0:c r="D509" t="inlineStr">
        <ns0:is>
          <ns0:t>gemini-2.5-flash-nothinking</ns0:t>
        </ns0:is>
      </ns0:c>
      <ns0:c r="E509">
        <ns0:f>COUNTIF(Cases!$B$2:$B$1859,A509)</ns0:f>
        <ns0:v>4</ns0:v>
      </ns0:c>
      <ns0:c r="F509">
        <ns0:f>IF(COUNTIFS(Cases!$B$2:$B$1859,A509,Cases!$G$2:$G$1859,1)&gt;0,1,0)</ns0:f>
        <ns0:v>1</ns0:v>
      </ns0:c>
      <ns0:c r="G509">
        <ns0:f>IF(COUNTIFS(Cases!$B$2:$B$1859,A509,Cases!$L$2:$L$1859,1)&gt;0,1,0)</ns0:f>
        <ns0:v>1</ns0:v>
      </ns0:c>
      <ns0:c r="H509">
        <ns0:f>IF(COUNTIFS(Cases!$B$2:$B$1859,A509,Cases!$Q$2:$Q$1859,1)&gt;0,1,0)</ns0:f>
        <ns0:v>0</ns0:v>
      </ns0:c>
      <ns0:c r="I509">
        <ns0:f>IF(COUNTIFS(Cases!$B$2:$B$1859,A509,Cases!$R$2:$R$1859,1)&gt;0,1,0)</ns0:f>
        <ns0:v>0</ns0:v>
      </ns0:c>
    </ns0:row>
    <ns0:row r="510">
      <ns0:c r="A510" t="inlineStr">
        <ns0:is>
          <ns0:t>function_0509</ns0:t>
        </ns0:is>
      </ns0:c>
      <ns0:c r="B510" t="inlineStr">
        <ns0:is>
          <ns0:t>run_015</ns0:t>
        </ns0:is>
      </ns0:c>
      <ns0:c r="C510" t="inlineStr">
        <ns0:is>
          <ns0:t>rustc-demangle</ns0:t>
        </ns0:is>
      </ns0:c>
      <ns0:c r="D510" t="inlineStr">
        <ns0:is>
          <ns0:t>gemini-2.5-flash-nothinking</ns0:t>
        </ns0:is>
      </ns0:c>
      <ns0:c r="E510">
        <ns0:f>COUNTIF(Cases!$B$2:$B$1859,A510)</ns0:f>
        <ns0:v>4</ns0:v>
      </ns0:c>
      <ns0:c r="F510">
        <ns0:f>IF(COUNTIFS(Cases!$B$2:$B$1859,A510,Cases!$G$2:$G$1859,1)&gt;0,1,0)</ns0:f>
        <ns0:v>0</ns0:v>
      </ns0:c>
      <ns0:c r="G510">
        <ns0:f>IF(COUNTIFS(Cases!$B$2:$B$1859,A510,Cases!$L$2:$L$1859,1)&gt;0,1,0)</ns0:f>
        <ns0:v>0</ns0:v>
      </ns0:c>
      <ns0:c r="H510">
        <ns0:f>IF(COUNTIFS(Cases!$B$2:$B$1859,A510,Cases!$Q$2:$Q$1859,1)&gt;0,1,0)</ns0:f>
        <ns0:v>0</ns0:v>
      </ns0:c>
      <ns0:c r="I510">
        <ns0:f>IF(COUNTIFS(Cases!$B$2:$B$1859,A510,Cases!$R$2:$R$1859,1)&gt;0,1,0)</ns0:f>
        <ns0:v>0</ns0:v>
      </ns0:c>
    </ns0:row>
    <ns0:row r="511">
      <ns0:c r="A511" t="inlineStr">
        <ns0:is>
          <ns0:t>function_0510</ns0:t>
        </ns0:is>
      </ns0:c>
      <ns0:c r="B511" t="inlineStr">
        <ns0:is>
          <ns0:t>run_015</ns0:t>
        </ns0:is>
      </ns0:c>
      <ns0:c r="C511" t="inlineStr">
        <ns0:is>
          <ns0:t>rustc-demangle</ns0:t>
        </ns0:is>
      </ns0:c>
      <ns0:c r="D511" t="inlineStr">
        <ns0:is>
          <ns0:t>gemini-2.5-flash-nothinking</ns0:t>
        </ns0:is>
      </ns0:c>
      <ns0:c r="E511">
        <ns0:f>COUNTIF(Cases!$B$2:$B$1859,A511)</ns0:f>
        <ns0:v>4</ns0:v>
      </ns0:c>
      <ns0:c r="F511">
        <ns0:f>IF(COUNTIFS(Cases!$B$2:$B$1859,A511,Cases!$G$2:$G$1859,1)&gt;0,1,0)</ns0:f>
        <ns0:v>0</ns0:v>
      </ns0:c>
      <ns0:c r="G511">
        <ns0:f>IF(COUNTIFS(Cases!$B$2:$B$1859,A511,Cases!$L$2:$L$1859,1)&gt;0,1,0)</ns0:f>
        <ns0:v>1</ns0:v>
      </ns0:c>
      <ns0:c r="H511">
        <ns0:f>IF(COUNTIFS(Cases!$B$2:$B$1859,A511,Cases!$Q$2:$Q$1859,1)&gt;0,1,0)</ns0:f>
        <ns0:v>0</ns0:v>
      </ns0:c>
      <ns0:c r="I511">
        <ns0:f>IF(COUNTIFS(Cases!$B$2:$B$1859,A511,Cases!$R$2:$R$1859,1)&gt;0,1,0)</ns0:f>
        <ns0:v>0</ns0:v>
      </ns0:c>
    </ns0:row>
    <ns0:row r="512">
      <ns0:c r="A512" t="inlineStr">
        <ns0:is>
          <ns0:t>function_0511</ns0:t>
        </ns0:is>
      </ns0:c>
      <ns0:c r="B512" t="inlineStr">
        <ns0:is>
          <ns0:t>run_015</ns0:t>
        </ns0:is>
      </ns0:c>
      <ns0:c r="C512" t="inlineStr">
        <ns0:is>
          <ns0:t>rustc-demangle</ns0:t>
        </ns0:is>
      </ns0:c>
      <ns0:c r="D512" t="inlineStr">
        <ns0:is>
          <ns0:t>gemini-2.5-flash-nothinking</ns0:t>
        </ns0:is>
      </ns0:c>
      <ns0:c r="E512">
        <ns0:f>COUNTIF(Cases!$B$2:$B$1859,A512)</ns0:f>
        <ns0:v>4</ns0:v>
      </ns0:c>
      <ns0:c r="F512">
        <ns0:f>IF(COUNTIFS(Cases!$B$2:$B$1859,A512,Cases!$G$2:$G$1859,1)&gt;0,1,0)</ns0:f>
        <ns0:v>1</ns0:v>
      </ns0:c>
      <ns0:c r="G512">
        <ns0:f>IF(COUNTIFS(Cases!$B$2:$B$1859,A512,Cases!$L$2:$L$1859,1)&gt;0,1,0)</ns0:f>
        <ns0:v>0</ns0:v>
      </ns0:c>
      <ns0:c r="H512">
        <ns0:f>IF(COUNTIFS(Cases!$B$2:$B$1859,A512,Cases!$Q$2:$Q$1859,1)&gt;0,1,0)</ns0:f>
        <ns0:v>0</ns0:v>
      </ns0:c>
      <ns0:c r="I512">
        <ns0:f>IF(COUNTIFS(Cases!$B$2:$B$1859,A512,Cases!$R$2:$R$1859,1)&gt;0,1,0)</ns0:f>
        <ns0:v>0</ns0:v>
      </ns0:c>
    </ns0:row>
    <ns0:row r="513">
      <ns0:c r="A513" t="inlineStr">
        <ns0:is>
          <ns0:t>function_0512</ns0:t>
        </ns0:is>
      </ns0:c>
      <ns0:c r="B513" t="inlineStr">
        <ns0:is>
          <ns0:t>run_015</ns0:t>
        </ns0:is>
      </ns0:c>
      <ns0:c r="C513" t="inlineStr">
        <ns0:is>
          <ns0:t>rustc-demangle</ns0:t>
        </ns0:is>
      </ns0:c>
      <ns0:c r="D513" t="inlineStr">
        <ns0:is>
          <ns0:t>gemini-2.5-flash-nothinking</ns0:t>
        </ns0:is>
      </ns0:c>
      <ns0:c r="E513">
        <ns0:f>COUNTIF(Cases!$B$2:$B$1859,A513)</ns0:f>
        <ns0:v>4</ns0:v>
      </ns0:c>
      <ns0:c r="F513">
        <ns0:f>IF(COUNTIFS(Cases!$B$2:$B$1859,A513,Cases!$G$2:$G$1859,1)&gt;0,1,0)</ns0:f>
        <ns0:v>0</ns0:v>
      </ns0:c>
      <ns0:c r="G513">
        <ns0:f>IF(COUNTIFS(Cases!$B$2:$B$1859,A513,Cases!$L$2:$L$1859,1)&gt;0,1,0)</ns0:f>
        <ns0:v>0</ns0:v>
      </ns0:c>
      <ns0:c r="H513">
        <ns0:f>IF(COUNTIFS(Cases!$B$2:$B$1859,A513,Cases!$Q$2:$Q$1859,1)&gt;0,1,0)</ns0:f>
        <ns0:v>0</ns0:v>
      </ns0:c>
      <ns0:c r="I513">
        <ns0:f>IF(COUNTIFS(Cases!$B$2:$B$1859,A513,Cases!$R$2:$R$1859,1)&gt;0,1,0)</ns0:f>
        <ns0:v>0</ns0:v>
      </ns0:c>
    </ns0:row>
    <ns0:row r="514">
      <ns0:c r="A514" t="inlineStr">
        <ns0:is>
          <ns0:t>function_0513</ns0:t>
        </ns0:is>
      </ns0:c>
      <ns0:c r="B514" t="inlineStr">
        <ns0:is>
          <ns0:t>run_015</ns0:t>
        </ns0:is>
      </ns0:c>
      <ns0:c r="C514" t="inlineStr">
        <ns0:is>
          <ns0:t>rustc-demangle</ns0:t>
        </ns0:is>
      </ns0:c>
      <ns0:c r="D514" t="inlineStr">
        <ns0:is>
          <ns0:t>gemini-2.5-flash-nothinking</ns0:t>
        </ns0:is>
      </ns0:c>
      <ns0:c r="E514">
        <ns0:f>COUNTIF(Cases!$B$2:$B$1859,A514)</ns0:f>
        <ns0:v>4</ns0:v>
      </ns0:c>
      <ns0:c r="F514">
        <ns0:f>IF(COUNTIFS(Cases!$B$2:$B$1859,A514,Cases!$G$2:$G$1859,1)&gt;0,1,0)</ns0:f>
        <ns0:v>1</ns0:v>
      </ns0:c>
      <ns0:c r="G514">
        <ns0:f>IF(COUNTIFS(Cases!$B$2:$B$1859,A514,Cases!$L$2:$L$1859,1)&gt;0,1,0)</ns0:f>
        <ns0:v>1</ns0:v>
      </ns0:c>
      <ns0:c r="H514">
        <ns0:f>IF(COUNTIFS(Cases!$B$2:$B$1859,A514,Cases!$Q$2:$Q$1859,1)&gt;0,1,0)</ns0:f>
        <ns0:v>0</ns0:v>
      </ns0:c>
      <ns0:c r="I514">
        <ns0:f>IF(COUNTIFS(Cases!$B$2:$B$1859,A514,Cases!$R$2:$R$1859,1)&gt;0,1,0)</ns0:f>
        <ns0:v>0</ns0:v>
      </ns0:c>
    </ns0:row>
    <ns0:row r="515">
      <ns0:c r="A515" t="inlineStr">
        <ns0:is>
          <ns0:t>function_0514</ns0:t>
        </ns0:is>
      </ns0:c>
      <ns0:c r="B515" t="inlineStr">
        <ns0:is>
          <ns0:t>run_015</ns0:t>
        </ns0:is>
      </ns0:c>
      <ns0:c r="C515" t="inlineStr">
        <ns0:is>
          <ns0:t>rustc-demangle</ns0:t>
        </ns0:is>
      </ns0:c>
      <ns0:c r="D515" t="inlineStr">
        <ns0:is>
          <ns0:t>gemini-2.5-flash-nothinking</ns0:t>
        </ns0:is>
      </ns0:c>
      <ns0:c r="E515">
        <ns0:f>COUNTIF(Cases!$B$2:$B$1859,A515)</ns0:f>
        <ns0:v>4</ns0:v>
      </ns0:c>
      <ns0:c r="F515">
        <ns0:f>IF(COUNTIFS(Cases!$B$2:$B$1859,A515,Cases!$G$2:$G$1859,1)&gt;0,1,0)</ns0:f>
        <ns0:v>1</ns0:v>
      </ns0:c>
      <ns0:c r="G515">
        <ns0:f>IF(COUNTIFS(Cases!$B$2:$B$1859,A515,Cases!$L$2:$L$1859,1)&gt;0,1,0)</ns0:f>
        <ns0:v>0</ns0:v>
      </ns0:c>
      <ns0:c r="H515">
        <ns0:f>IF(COUNTIFS(Cases!$B$2:$B$1859,A515,Cases!$Q$2:$Q$1859,1)&gt;0,1,0)</ns0:f>
        <ns0:v>0</ns0:v>
      </ns0:c>
      <ns0:c r="I515">
        <ns0:f>IF(COUNTIFS(Cases!$B$2:$B$1859,A515,Cases!$R$2:$R$1859,1)&gt;0,1,0)</ns0:f>
        <ns0:v>0</ns0:v>
      </ns0:c>
    </ns0:row>
    <ns0:row r="516">
      <ns0:c r="A516" t="inlineStr">
        <ns0:is>
          <ns0:t>function_0515</ns0:t>
        </ns0:is>
      </ns0:c>
      <ns0:c r="B516" t="inlineStr">
        <ns0:is>
          <ns0:t>run_015</ns0:t>
        </ns0:is>
      </ns0:c>
      <ns0:c r="C516" t="inlineStr">
        <ns0:is>
          <ns0:t>rustc-demangle</ns0:t>
        </ns0:is>
      </ns0:c>
      <ns0:c r="D516" t="inlineStr">
        <ns0:is>
          <ns0:t>gemini-2.5-flash-nothinking</ns0:t>
        </ns0:is>
      </ns0:c>
      <ns0:c r="E516">
        <ns0:f>COUNTIF(Cases!$B$2:$B$1859,A516)</ns0:f>
        <ns0:v>4</ns0:v>
      </ns0:c>
      <ns0:c r="F516">
        <ns0:f>IF(COUNTIFS(Cases!$B$2:$B$1859,A516,Cases!$G$2:$G$1859,1)&gt;0,1,0)</ns0:f>
        <ns0:v>0</ns0:v>
      </ns0:c>
      <ns0:c r="G516">
        <ns0:f>IF(COUNTIFS(Cases!$B$2:$B$1859,A516,Cases!$L$2:$L$1859,1)&gt;0,1,0)</ns0:f>
        <ns0:v>1</ns0:v>
      </ns0:c>
      <ns0:c r="H516">
        <ns0:f>IF(COUNTIFS(Cases!$B$2:$B$1859,A516,Cases!$Q$2:$Q$1859,1)&gt;0,1,0)</ns0:f>
        <ns0:v>0</ns0:v>
      </ns0:c>
      <ns0:c r="I516">
        <ns0:f>IF(COUNTIFS(Cases!$B$2:$B$1859,A516,Cases!$R$2:$R$1859,1)&gt;0,1,0)</ns0:f>
        <ns0:v>0</ns0:v>
      </ns0:c>
    </ns0:row>
    <ns0:row r="517">
      <ns0:c r="A517" t="inlineStr">
        <ns0:is>
          <ns0:t>function_0516</ns0:t>
        </ns0:is>
      </ns0:c>
      <ns0:c r="B517" t="inlineStr">
        <ns0:is>
          <ns0:t>run_015</ns0:t>
        </ns0:is>
      </ns0:c>
      <ns0:c r="C517" t="inlineStr">
        <ns0:is>
          <ns0:t>rustc-demangle</ns0:t>
        </ns0:is>
      </ns0:c>
      <ns0:c r="D517" t="inlineStr">
        <ns0:is>
          <ns0:t>gemini-2.5-flash-nothinking</ns0:t>
        </ns0:is>
      </ns0:c>
      <ns0:c r="E517">
        <ns0:f>COUNTIF(Cases!$B$2:$B$1859,A517)</ns0:f>
        <ns0:v>4</ns0:v>
      </ns0:c>
      <ns0:c r="F517">
        <ns0:f>IF(COUNTIFS(Cases!$B$2:$B$1859,A517,Cases!$G$2:$G$1859,1)&gt;0,1,0)</ns0:f>
        <ns0:v>0</ns0:v>
      </ns0:c>
      <ns0:c r="G517">
        <ns0:f>IF(COUNTIFS(Cases!$B$2:$B$1859,A517,Cases!$L$2:$L$1859,1)&gt;0,1,0)</ns0:f>
        <ns0:v>1</ns0:v>
      </ns0:c>
      <ns0:c r="H517">
        <ns0:f>IF(COUNTIFS(Cases!$B$2:$B$1859,A517,Cases!$Q$2:$Q$1859,1)&gt;0,1,0)</ns0:f>
        <ns0:v>0</ns0:v>
      </ns0:c>
      <ns0:c r="I517">
        <ns0:f>IF(COUNTIFS(Cases!$B$2:$B$1859,A517,Cases!$R$2:$R$1859,1)&gt;0,1,0)</ns0:f>
        <ns0:v>0</ns0:v>
      </ns0:c>
    </ns0:row>
    <ns0:row r="518">
      <ns0:c r="A518" t="inlineStr">
        <ns0:is>
          <ns0:t>function_0517</ns0:t>
        </ns0:is>
      </ns0:c>
      <ns0:c r="B518" t="inlineStr">
        <ns0:is>
          <ns0:t>run_015</ns0:t>
        </ns0:is>
      </ns0:c>
      <ns0:c r="C518" t="inlineStr">
        <ns0:is>
          <ns0:t>rustc-demangle</ns0:t>
        </ns0:is>
      </ns0:c>
      <ns0:c r="D518" t="inlineStr">
        <ns0:is>
          <ns0:t>gemini-2.5-flash-nothinking</ns0:t>
        </ns0:is>
      </ns0:c>
      <ns0:c r="E518">
        <ns0:f>COUNTIF(Cases!$B$2:$B$1859,A518)</ns0:f>
        <ns0:v>4</ns0:v>
      </ns0:c>
      <ns0:c r="F518">
        <ns0:f>IF(COUNTIFS(Cases!$B$2:$B$1859,A518,Cases!$G$2:$G$1859,1)&gt;0,1,0)</ns0:f>
        <ns0:v>0</ns0:v>
      </ns0:c>
      <ns0:c r="G518">
        <ns0:f>IF(COUNTIFS(Cases!$B$2:$B$1859,A518,Cases!$L$2:$L$1859,1)&gt;0,1,0)</ns0:f>
        <ns0:v>1</ns0:v>
      </ns0:c>
      <ns0:c r="H518">
        <ns0:f>IF(COUNTIFS(Cases!$B$2:$B$1859,A518,Cases!$Q$2:$Q$1859,1)&gt;0,1,0)</ns0:f>
        <ns0:v>0</ns0:v>
      </ns0:c>
      <ns0:c r="I518">
        <ns0:f>IF(COUNTIFS(Cases!$B$2:$B$1859,A518,Cases!$R$2:$R$1859,1)&gt;0,1,0)</ns0:f>
        <ns0:v>0</ns0:v>
      </ns0:c>
    </ns0:row>
    <ns0:row r="519">
      <ns0:c r="A519" t="inlineStr">
        <ns0:is>
          <ns0:t>function_0518</ns0:t>
        </ns0:is>
      </ns0:c>
      <ns0:c r="B519" t="inlineStr">
        <ns0:is>
          <ns0:t>run_015</ns0:t>
        </ns0:is>
      </ns0:c>
      <ns0:c r="C519" t="inlineStr">
        <ns0:is>
          <ns0:t>rustc-demangle</ns0:t>
        </ns0:is>
      </ns0:c>
      <ns0:c r="D519" t="inlineStr">
        <ns0:is>
          <ns0:t>gemini-2.5-flash-nothinking</ns0:t>
        </ns0:is>
      </ns0:c>
      <ns0:c r="E519">
        <ns0:f>COUNTIF(Cases!$B$2:$B$1859,A519)</ns0:f>
        <ns0:v>4</ns0:v>
      </ns0:c>
      <ns0:c r="F519">
        <ns0:f>IF(COUNTIFS(Cases!$B$2:$B$1859,A519,Cases!$G$2:$G$1859,1)&gt;0,1,0)</ns0:f>
        <ns0:v>0</ns0:v>
      </ns0:c>
      <ns0:c r="G519">
        <ns0:f>IF(COUNTIFS(Cases!$B$2:$B$1859,A519,Cases!$L$2:$L$1859,1)&gt;0,1,0)</ns0:f>
        <ns0:v>1</ns0:v>
      </ns0:c>
      <ns0:c r="H519">
        <ns0:f>IF(COUNTIFS(Cases!$B$2:$B$1859,A519,Cases!$Q$2:$Q$1859,1)&gt;0,1,0)</ns0:f>
        <ns0:v>0</ns0:v>
      </ns0:c>
      <ns0:c r="I519">
        <ns0:f>IF(COUNTIFS(Cases!$B$2:$B$1859,A519,Cases!$R$2:$R$1859,1)&gt;0,1,0)</ns0:f>
        <ns0:v>0</ns0:v>
      </ns0:c>
    </ns0:row>
    <ns0:row r="520">
      <ns0:c r="A520" t="inlineStr">
        <ns0:is>
          <ns0:t>function_0519</ns0:t>
        </ns0:is>
      </ns0:c>
      <ns0:c r="B520" t="inlineStr">
        <ns0:is>
          <ns0:t>run_015</ns0:t>
        </ns0:is>
      </ns0:c>
      <ns0:c r="C520" t="inlineStr">
        <ns0:is>
          <ns0:t>rustc-demangle</ns0:t>
        </ns0:is>
      </ns0:c>
      <ns0:c r="D520" t="inlineStr">
        <ns0:is>
          <ns0:t>gemini-2.5-flash-nothinking</ns0:t>
        </ns0:is>
      </ns0:c>
      <ns0:c r="E520">
        <ns0:f>COUNTIF(Cases!$B$2:$B$1859,A520)</ns0:f>
        <ns0:v>4</ns0:v>
      </ns0:c>
      <ns0:c r="F520">
        <ns0:f>IF(COUNTIFS(Cases!$B$2:$B$1859,A520,Cases!$G$2:$G$1859,1)&gt;0,1,0)</ns0:f>
        <ns0:v>0</ns0:v>
      </ns0:c>
      <ns0:c r="G520">
        <ns0:f>IF(COUNTIFS(Cases!$B$2:$B$1859,A520,Cases!$L$2:$L$1859,1)&gt;0,1,0)</ns0:f>
        <ns0:v>0</ns0:v>
      </ns0:c>
      <ns0:c r="H520">
        <ns0:f>IF(COUNTIFS(Cases!$B$2:$B$1859,A520,Cases!$Q$2:$Q$1859,1)&gt;0,1,0)</ns0:f>
        <ns0:v>0</ns0:v>
      </ns0:c>
      <ns0:c r="I520">
        <ns0:f>IF(COUNTIFS(Cases!$B$2:$B$1859,A520,Cases!$R$2:$R$1859,1)&gt;0,1,0)</ns0:f>
        <ns0:v>0</ns0:v>
      </ns0:c>
    </ns0:row>
    <ns0:row r="521">
      <ns0:c r="A521" t="inlineStr">
        <ns0:is>
          <ns0:t>function_0520</ns0:t>
        </ns0:is>
      </ns0:c>
      <ns0:c r="B521" t="inlineStr">
        <ns0:is>
          <ns0:t>run_015</ns0:t>
        </ns0:is>
      </ns0:c>
      <ns0:c r="C521" t="inlineStr">
        <ns0:is>
          <ns0:t>rustc-demangle</ns0:t>
        </ns0:is>
      </ns0:c>
      <ns0:c r="D521" t="inlineStr">
        <ns0:is>
          <ns0:t>gemini-2.5-flash-nothinking</ns0:t>
        </ns0:is>
      </ns0:c>
      <ns0:c r="E521">
        <ns0:f>COUNTIF(Cases!$B$2:$B$1859,A521)</ns0:f>
        <ns0:v>4</ns0:v>
      </ns0:c>
      <ns0:c r="F521">
        <ns0:f>IF(COUNTIFS(Cases!$B$2:$B$1859,A521,Cases!$G$2:$G$1859,1)&gt;0,1,0)</ns0:f>
        <ns0:v>1</ns0:v>
      </ns0:c>
      <ns0:c r="G521">
        <ns0:f>IF(COUNTIFS(Cases!$B$2:$B$1859,A521,Cases!$L$2:$L$1859,1)&gt;0,1,0)</ns0:f>
        <ns0:v>0</ns0:v>
      </ns0:c>
      <ns0:c r="H521">
        <ns0:f>IF(COUNTIFS(Cases!$B$2:$B$1859,A521,Cases!$Q$2:$Q$1859,1)&gt;0,1,0)</ns0:f>
        <ns0:v>0</ns0:v>
      </ns0:c>
      <ns0:c r="I521">
        <ns0:f>IF(COUNTIFS(Cases!$B$2:$B$1859,A521,Cases!$R$2:$R$1859,1)&gt;0,1,0)</ns0:f>
        <ns0:v>0</ns0:v>
      </ns0:c>
    </ns0:row>
    <ns0:row r="522">
      <ns0:c r="A522" t="inlineStr">
        <ns0:is>
          <ns0:t>function_0521</ns0:t>
        </ns0:is>
      </ns0:c>
      <ns0:c r="B522" t="inlineStr">
        <ns0:is>
          <ns0:t>run_015</ns0:t>
        </ns0:is>
      </ns0:c>
      <ns0:c r="C522" t="inlineStr">
        <ns0:is>
          <ns0:t>rustc-demangle</ns0:t>
        </ns0:is>
      </ns0:c>
      <ns0:c r="D522" t="inlineStr">
        <ns0:is>
          <ns0:t>gemini-2.5-flash-nothinking</ns0:t>
        </ns0:is>
      </ns0:c>
      <ns0:c r="E522">
        <ns0:f>COUNTIF(Cases!$B$2:$B$1859,A522)</ns0:f>
        <ns0:v>4</ns0:v>
      </ns0:c>
      <ns0:c r="F522">
        <ns0:f>IF(COUNTIFS(Cases!$B$2:$B$1859,A522,Cases!$G$2:$G$1859,1)&gt;0,1,0)</ns0:f>
        <ns0:v>0</ns0:v>
      </ns0:c>
      <ns0:c r="G522">
        <ns0:f>IF(COUNTIFS(Cases!$B$2:$B$1859,A522,Cases!$L$2:$L$1859,1)&gt;0,1,0)</ns0:f>
        <ns0:v>1</ns0:v>
      </ns0:c>
      <ns0:c r="H522">
        <ns0:f>IF(COUNTIFS(Cases!$B$2:$B$1859,A522,Cases!$Q$2:$Q$1859,1)&gt;0,1,0)</ns0:f>
        <ns0:v>0</ns0:v>
      </ns0:c>
      <ns0:c r="I522">
        <ns0:f>IF(COUNTIFS(Cases!$B$2:$B$1859,A522,Cases!$R$2:$R$1859,1)&gt;0,1,0)</ns0:f>
        <ns0:v>0</ns0:v>
      </ns0:c>
    </ns0:row>
    <ns0:row r="523">
      <ns0:c r="A523" t="inlineStr">
        <ns0:is>
          <ns0:t>function_0522</ns0:t>
        </ns0:is>
      </ns0:c>
      <ns0:c r="B523" t="inlineStr">
        <ns0:is>
          <ns0:t>run_015</ns0:t>
        </ns0:is>
      </ns0:c>
      <ns0:c r="C523" t="inlineStr">
        <ns0:is>
          <ns0:t>rustc-demangle</ns0:t>
        </ns0:is>
      </ns0:c>
      <ns0:c r="D523" t="inlineStr">
        <ns0:is>
          <ns0:t>gemini-2.5-flash-nothinking</ns0:t>
        </ns0:is>
      </ns0:c>
      <ns0:c r="E523">
        <ns0:f>COUNTIF(Cases!$B$2:$B$1859,A523)</ns0:f>
        <ns0:v>4</ns0:v>
      </ns0:c>
      <ns0:c r="F523">
        <ns0:f>IF(COUNTIFS(Cases!$B$2:$B$1859,A523,Cases!$G$2:$G$1859,1)&gt;0,1,0)</ns0:f>
        <ns0:v>1</ns0:v>
      </ns0:c>
      <ns0:c r="G523">
        <ns0:f>IF(COUNTIFS(Cases!$B$2:$B$1859,A523,Cases!$L$2:$L$1859,1)&gt;0,1,0)</ns0:f>
        <ns0:v>1</ns0:v>
      </ns0:c>
      <ns0:c r="H523">
        <ns0:f>IF(COUNTIFS(Cases!$B$2:$B$1859,A523,Cases!$Q$2:$Q$1859,1)&gt;0,1,0)</ns0:f>
        <ns0:v>0</ns0:v>
      </ns0:c>
      <ns0:c r="I523">
        <ns0:f>IF(COUNTIFS(Cases!$B$2:$B$1859,A523,Cases!$R$2:$R$1859,1)&gt;0,1,0)</ns0:f>
        <ns0:v>0</ns0:v>
      </ns0:c>
    </ns0:row>
    <ns0:row r="524">
      <ns0:c r="A524" t="inlineStr">
        <ns0:is>
          <ns0:t>function_0523</ns0:t>
        </ns0:is>
      </ns0:c>
      <ns0:c r="B524" t="inlineStr">
        <ns0:is>
          <ns0:t>run_015</ns0:t>
        </ns0:is>
      </ns0:c>
      <ns0:c r="C524" t="inlineStr">
        <ns0:is>
          <ns0:t>rustc-demangle</ns0:t>
        </ns0:is>
      </ns0:c>
      <ns0:c r="D524" t="inlineStr">
        <ns0:is>
          <ns0:t>gemini-2.5-flash-nothinking</ns0:t>
        </ns0:is>
      </ns0:c>
      <ns0:c r="E524">
        <ns0:f>COUNTIF(Cases!$B$2:$B$1859,A524)</ns0:f>
        <ns0:v>4</ns0:v>
      </ns0:c>
      <ns0:c r="F524">
        <ns0:f>IF(COUNTIFS(Cases!$B$2:$B$1859,A524,Cases!$G$2:$G$1859,1)&gt;0,1,0)</ns0:f>
        <ns0:v>0</ns0:v>
      </ns0:c>
      <ns0:c r="G524">
        <ns0:f>IF(COUNTIFS(Cases!$B$2:$B$1859,A524,Cases!$L$2:$L$1859,1)&gt;0,1,0)</ns0:f>
        <ns0:v>1</ns0:v>
      </ns0:c>
      <ns0:c r="H524">
        <ns0:f>IF(COUNTIFS(Cases!$B$2:$B$1859,A524,Cases!$Q$2:$Q$1859,1)&gt;0,1,0)</ns0:f>
        <ns0:v>0</ns0:v>
      </ns0:c>
      <ns0:c r="I524">
        <ns0:f>IF(COUNTIFS(Cases!$B$2:$B$1859,A524,Cases!$R$2:$R$1859,1)&gt;0,1,0)</ns0:f>
        <ns0:v>0</ns0:v>
      </ns0:c>
    </ns0:row>
    <ns0:row r="525">
      <ns0:c r="A525" t="inlineStr">
        <ns0:is>
          <ns0:t>function_0524</ns0:t>
        </ns0:is>
      </ns0:c>
      <ns0:c r="B525" t="inlineStr">
        <ns0:is>
          <ns0:t>run_015</ns0:t>
        </ns0:is>
      </ns0:c>
      <ns0:c r="C525" t="inlineStr">
        <ns0:is>
          <ns0:t>rustc-demangle</ns0:t>
        </ns0:is>
      </ns0:c>
      <ns0:c r="D525" t="inlineStr">
        <ns0:is>
          <ns0:t>gemini-2.5-flash-nothinking</ns0:t>
        </ns0:is>
      </ns0:c>
      <ns0:c r="E525">
        <ns0:f>COUNTIF(Cases!$B$2:$B$1859,A525)</ns0:f>
        <ns0:v>4</ns0:v>
      </ns0:c>
      <ns0:c r="F525">
        <ns0:f>IF(COUNTIFS(Cases!$B$2:$B$1859,A525,Cases!$G$2:$G$1859,1)&gt;0,1,0)</ns0:f>
        <ns0:v>1</ns0:v>
      </ns0:c>
      <ns0:c r="G525">
        <ns0:f>IF(COUNTIFS(Cases!$B$2:$B$1859,A525,Cases!$L$2:$L$1859,1)&gt;0,1,0)</ns0:f>
        <ns0:v>0</ns0:v>
      </ns0:c>
      <ns0:c r="H525">
        <ns0:f>IF(COUNTIFS(Cases!$B$2:$B$1859,A525,Cases!$Q$2:$Q$1859,1)&gt;0,1,0)</ns0:f>
        <ns0:v>0</ns0:v>
      </ns0:c>
      <ns0:c r="I525">
        <ns0:f>IF(COUNTIFS(Cases!$B$2:$B$1859,A525,Cases!$R$2:$R$1859,1)&gt;0,1,0)</ns0:f>
        <ns0:v>0</ns0:v>
      </ns0:c>
    </ns0:row>
    <ns0:row r="526">
      <ns0:c r="A526" t="inlineStr">
        <ns0:is>
          <ns0:t>function_0525</ns0:t>
        </ns0:is>
      </ns0:c>
      <ns0:c r="B526" t="inlineStr">
        <ns0:is>
          <ns0:t>run_015</ns0:t>
        </ns0:is>
      </ns0:c>
      <ns0:c r="C526" t="inlineStr">
        <ns0:is>
          <ns0:t>rustc-demangle</ns0:t>
        </ns0:is>
      </ns0:c>
      <ns0:c r="D526" t="inlineStr">
        <ns0:is>
          <ns0:t>gemini-2.5-flash-nothinking</ns0:t>
        </ns0:is>
      </ns0:c>
      <ns0:c r="E526">
        <ns0:f>COUNTIF(Cases!$B$2:$B$1859,A526)</ns0:f>
        <ns0:v>4</ns0:v>
      </ns0:c>
      <ns0:c r="F526">
        <ns0:f>IF(COUNTIFS(Cases!$B$2:$B$1859,A526,Cases!$G$2:$G$1859,1)&gt;0,1,0)</ns0:f>
        <ns0:v>0</ns0:v>
      </ns0:c>
      <ns0:c r="G526">
        <ns0:f>IF(COUNTIFS(Cases!$B$2:$B$1859,A526,Cases!$L$2:$L$1859,1)&gt;0,1,0)</ns0:f>
        <ns0:v>1</ns0:v>
      </ns0:c>
      <ns0:c r="H526">
        <ns0:f>IF(COUNTIFS(Cases!$B$2:$B$1859,A526,Cases!$Q$2:$Q$1859,1)&gt;0,1,0)</ns0:f>
        <ns0:v>0</ns0:v>
      </ns0:c>
      <ns0:c r="I526">
        <ns0:f>IF(COUNTIFS(Cases!$B$2:$B$1859,A526,Cases!$R$2:$R$1859,1)&gt;0,1,0)</ns0:f>
        <ns0:v>0</ns0:v>
      </ns0:c>
    </ns0:row>
    <ns0:row r="527">
      <ns0:c r="A527" t="inlineStr">
        <ns0:is>
          <ns0:t>function_0526</ns0:t>
        </ns0:is>
      </ns0:c>
      <ns0:c r="B527" t="inlineStr">
        <ns0:is>
          <ns0:t>run_015</ns0:t>
        </ns0:is>
      </ns0:c>
      <ns0:c r="C527" t="inlineStr">
        <ns0:is>
          <ns0:t>rustc-demangle</ns0:t>
        </ns0:is>
      </ns0:c>
      <ns0:c r="D527" t="inlineStr">
        <ns0:is>
          <ns0:t>gemini-2.5-flash-nothinking</ns0:t>
        </ns0:is>
      </ns0:c>
      <ns0:c r="E527">
        <ns0:f>COUNTIF(Cases!$B$2:$B$1859,A527)</ns0:f>
        <ns0:v>4</ns0:v>
      </ns0:c>
      <ns0:c r="F527">
        <ns0:f>IF(COUNTIFS(Cases!$B$2:$B$1859,A527,Cases!$G$2:$G$1859,1)&gt;0,1,0)</ns0:f>
        <ns0:v>0</ns0:v>
      </ns0:c>
      <ns0:c r="G527">
        <ns0:f>IF(COUNTIFS(Cases!$B$2:$B$1859,A527,Cases!$L$2:$L$1859,1)&gt;0,1,0)</ns0:f>
        <ns0:v>0</ns0:v>
      </ns0:c>
      <ns0:c r="H527">
        <ns0:f>IF(COUNTIFS(Cases!$B$2:$B$1859,A527,Cases!$Q$2:$Q$1859,1)&gt;0,1,0)</ns0:f>
        <ns0:v>0</ns0:v>
      </ns0:c>
      <ns0:c r="I527">
        <ns0:f>IF(COUNTIFS(Cases!$B$2:$B$1859,A527,Cases!$R$2:$R$1859,1)&gt;0,1,0)</ns0:f>
        <ns0:v>0</ns0:v>
      </ns0:c>
    </ns0:row>
    <ns0:row r="528">
      <ns0:c r="A528" t="inlineStr">
        <ns0:is>
          <ns0:t>function_0527</ns0:t>
        </ns0:is>
      </ns0:c>
      <ns0:c r="B528" t="inlineStr">
        <ns0:is>
          <ns0:t>run_015</ns0:t>
        </ns0:is>
      </ns0:c>
      <ns0:c r="C528" t="inlineStr">
        <ns0:is>
          <ns0:t>rustc-demangle</ns0:t>
        </ns0:is>
      </ns0:c>
      <ns0:c r="D528" t="inlineStr">
        <ns0:is>
          <ns0:t>gemini-2.5-flash-nothinking</ns0:t>
        </ns0:is>
      </ns0:c>
      <ns0:c r="E528">
        <ns0:f>COUNTIF(Cases!$B$2:$B$1859,A528)</ns0:f>
        <ns0:v>4</ns0:v>
      </ns0:c>
      <ns0:c r="F528">
        <ns0:f>IF(COUNTIFS(Cases!$B$2:$B$1859,A528,Cases!$G$2:$G$1859,1)&gt;0,1,0)</ns0:f>
        <ns0:v>1</ns0:v>
      </ns0:c>
      <ns0:c r="G528">
        <ns0:f>IF(COUNTIFS(Cases!$B$2:$B$1859,A528,Cases!$L$2:$L$1859,1)&gt;0,1,0)</ns0:f>
        <ns0:v>1</ns0:v>
      </ns0:c>
      <ns0:c r="H528">
        <ns0:f>IF(COUNTIFS(Cases!$B$2:$B$1859,A528,Cases!$Q$2:$Q$1859,1)&gt;0,1,0)</ns0:f>
        <ns0:v>0</ns0:v>
      </ns0:c>
      <ns0:c r="I528">
        <ns0:f>IF(COUNTIFS(Cases!$B$2:$B$1859,A528,Cases!$R$2:$R$1859,1)&gt;0,1,0)</ns0:f>
        <ns0:v>0</ns0:v>
      </ns0:c>
    </ns0:row>
    <ns0:row r="529">
      <ns0:c r="A529" t="inlineStr">
        <ns0:is>
          <ns0:t>function_0528</ns0:t>
        </ns0:is>
      </ns0:c>
      <ns0:c r="B529" t="inlineStr">
        <ns0:is>
          <ns0:t>run_016</ns0:t>
        </ns0:is>
      </ns0:c>
      <ns0:c r="C529" t="inlineStr">
        <ns0:is>
          <ns0:t>ryu</ns0:t>
        </ns0:is>
      </ns0:c>
      <ns0:c r="D529" t="inlineStr">
        <ns0:is>
          <ns0:t>gemini-2.5-flash-nothinking</ns0:t>
        </ns0:is>
      </ns0:c>
      <ns0:c r="E529">
        <ns0:f>COUNTIF(Cases!$B$2:$B$1859,A529)</ns0:f>
        <ns0:v>2</ns0:v>
      </ns0:c>
      <ns0:c r="F529">
        <ns0:f>IF(COUNTIFS(Cases!$B$2:$B$1859,A529,Cases!$G$2:$G$1859,1)&gt;0,1,0)</ns0:f>
        <ns0:v>1</ns0:v>
      </ns0:c>
      <ns0:c r="G529">
        <ns0:f>IF(COUNTIFS(Cases!$B$2:$B$1859,A529,Cases!$L$2:$L$1859,1)&gt;0,1,0)</ns0:f>
        <ns0:v>1</ns0:v>
      </ns0:c>
      <ns0:c r="H529">
        <ns0:f>IF(COUNTIFS(Cases!$B$2:$B$1859,A529,Cases!$Q$2:$Q$1859,1)&gt;0,1,0)</ns0:f>
        <ns0:v>0</ns0:v>
      </ns0:c>
      <ns0:c r="I529">
        <ns0:f>IF(COUNTIFS(Cases!$B$2:$B$1859,A529,Cases!$R$2:$R$1859,1)&gt;0,1,0)</ns0:f>
        <ns0:v>1</ns0:v>
      </ns0:c>
    </ns0:row>
    <ns0:row r="530">
      <ns0:c r="A530" t="inlineStr">
        <ns0:is>
          <ns0:t>function_0529</ns0:t>
        </ns0:is>
      </ns0:c>
      <ns0:c r="B530" t="inlineStr">
        <ns0:is>
          <ns0:t>run_016</ns0:t>
        </ns0:is>
      </ns0:c>
      <ns0:c r="C530" t="inlineStr">
        <ns0:is>
          <ns0:t>ryu</ns0:t>
        </ns0:is>
      </ns0:c>
      <ns0:c r="D530" t="inlineStr">
        <ns0:is>
          <ns0:t>gemini-2.5-flash-nothinking</ns0:t>
        </ns0:is>
      </ns0:c>
      <ns0:c r="E530">
        <ns0:f>COUNTIF(Cases!$B$2:$B$1859,A530)</ns0:f>
        <ns0:v>1</ns0:v>
      </ns0:c>
      <ns0:c r="F530">
        <ns0:f>IF(COUNTIFS(Cases!$B$2:$B$1859,A530,Cases!$G$2:$G$1859,1)&gt;0,1,0)</ns0:f>
        <ns0:v>1</ns0:v>
      </ns0:c>
      <ns0:c r="G530">
        <ns0:f>IF(COUNTIFS(Cases!$B$2:$B$1859,A530,Cases!$L$2:$L$1859,1)&gt;0,1,0)</ns0:f>
        <ns0:v>1</ns0:v>
      </ns0:c>
      <ns0:c r="H530">
        <ns0:f>IF(COUNTIFS(Cases!$B$2:$B$1859,A530,Cases!$Q$2:$Q$1859,1)&gt;0,1,0)</ns0:f>
        <ns0:v>1</ns0:v>
      </ns0:c>
      <ns0:c r="I530">
        <ns0:f>IF(COUNTIFS(Cases!$B$2:$B$1859,A530,Cases!$R$2:$R$1859,1)&gt;0,1,0)</ns0:f>
        <ns0:v>1</ns0:v>
      </ns0:c>
    </ns0:row>
    <ns0:row r="531">
      <ns0:c r="A531" t="inlineStr">
        <ns0:is>
          <ns0:t>function_0530</ns0:t>
        </ns0:is>
      </ns0:c>
      <ns0:c r="B531" t="inlineStr">
        <ns0:is>
          <ns0:t>run_016</ns0:t>
        </ns0:is>
      </ns0:c>
      <ns0:c r="C531" t="inlineStr">
        <ns0:is>
          <ns0:t>ryu</ns0:t>
        </ns0:is>
      </ns0:c>
      <ns0:c r="D531" t="inlineStr">
        <ns0:is>
          <ns0:t>gemini-2.5-flash-nothinking</ns0:t>
        </ns0:is>
      </ns0:c>
      <ns0:c r="E531">
        <ns0:f>COUNTIF(Cases!$B$2:$B$1859,A531)</ns0:f>
        <ns0:v>1</ns0:v>
      </ns0:c>
      <ns0:c r="F531">
        <ns0:f>IF(COUNTIFS(Cases!$B$2:$B$1859,A531,Cases!$G$2:$G$1859,1)&gt;0,1,0)</ns0:f>
        <ns0:v>1</ns0:v>
      </ns0:c>
      <ns0:c r="G531">
        <ns0:f>IF(COUNTIFS(Cases!$B$2:$B$1859,A531,Cases!$L$2:$L$1859,1)&gt;0,1,0)</ns0:f>
        <ns0:v>1</ns0:v>
      </ns0:c>
      <ns0:c r="H531">
        <ns0:f>IF(COUNTIFS(Cases!$B$2:$B$1859,A531,Cases!$Q$2:$Q$1859,1)&gt;0,1,0)</ns0:f>
        <ns0:v>0</ns0:v>
      </ns0:c>
      <ns0:c r="I531">
        <ns0:f>IF(COUNTIFS(Cases!$B$2:$B$1859,A531,Cases!$R$2:$R$1859,1)&gt;0,1,0)</ns0:f>
        <ns0:v>1</ns0:v>
      </ns0:c>
    </ns0:row>
    <ns0:row r="532">
      <ns0:c r="A532" t="inlineStr">
        <ns0:is>
          <ns0:t>function_0531</ns0:t>
        </ns0:is>
      </ns0:c>
      <ns0:c r="B532" t="inlineStr">
        <ns0:is>
          <ns0:t>run_016</ns0:t>
        </ns0:is>
      </ns0:c>
      <ns0:c r="C532" t="inlineStr">
        <ns0:is>
          <ns0:t>ryu</ns0:t>
        </ns0:is>
      </ns0:c>
      <ns0:c r="D532" t="inlineStr">
        <ns0:is>
          <ns0:t>gemini-2.5-flash-nothinking</ns0:t>
        </ns0:is>
      </ns0:c>
      <ns0:c r="E532">
        <ns0:f>COUNTIF(Cases!$B$2:$B$1859,A532)</ns0:f>
        <ns0:v>1</ns0:v>
      </ns0:c>
      <ns0:c r="F532">
        <ns0:f>IF(COUNTIFS(Cases!$B$2:$B$1859,A532,Cases!$G$2:$G$1859,1)&gt;0,1,0)</ns0:f>
        <ns0:v>1</ns0:v>
      </ns0:c>
      <ns0:c r="G532">
        <ns0:f>IF(COUNTIFS(Cases!$B$2:$B$1859,A532,Cases!$L$2:$L$1859,1)&gt;0,1,0)</ns0:f>
        <ns0:v>1</ns0:v>
      </ns0:c>
      <ns0:c r="H532">
        <ns0:f>IF(COUNTIFS(Cases!$B$2:$B$1859,A532,Cases!$Q$2:$Q$1859,1)&gt;0,1,0)</ns0:f>
        <ns0:v>1</ns0:v>
      </ns0:c>
      <ns0:c r="I532">
        <ns0:f>IF(COUNTIFS(Cases!$B$2:$B$1859,A532,Cases!$R$2:$R$1859,1)&gt;0,1,0)</ns0:f>
        <ns0:v>1</ns0:v>
      </ns0:c>
    </ns0:row>
    <ns0:row r="533">
      <ns0:c r="A533" t="inlineStr">
        <ns0:is>
          <ns0:t>function_0532</ns0:t>
        </ns0:is>
      </ns0:c>
      <ns0:c r="B533" t="inlineStr">
        <ns0:is>
          <ns0:t>run_016</ns0:t>
        </ns0:is>
      </ns0:c>
      <ns0:c r="C533" t="inlineStr">
        <ns0:is>
          <ns0:t>ryu</ns0:t>
        </ns0:is>
      </ns0:c>
      <ns0:c r="D533" t="inlineStr">
        <ns0:is>
          <ns0:t>gemini-2.5-flash-nothinking</ns0:t>
        </ns0:is>
      </ns0:c>
      <ns0:c r="E533">
        <ns0:f>COUNTIF(Cases!$B$2:$B$1859,A533)</ns0:f>
        <ns0:v>1</ns0:v>
      </ns0:c>
      <ns0:c r="F533">
        <ns0:f>IF(COUNTIFS(Cases!$B$2:$B$1859,A533,Cases!$G$2:$G$1859,1)&gt;0,1,0)</ns0:f>
        <ns0:v>1</ns0:v>
      </ns0:c>
      <ns0:c r="G533">
        <ns0:f>IF(COUNTIFS(Cases!$B$2:$B$1859,A533,Cases!$L$2:$L$1859,1)&gt;0,1,0)</ns0:f>
        <ns0:v>1</ns0:v>
      </ns0:c>
      <ns0:c r="H533">
        <ns0:f>IF(COUNTIFS(Cases!$B$2:$B$1859,A533,Cases!$Q$2:$Q$1859,1)&gt;0,1,0)</ns0:f>
        <ns0:v>0</ns0:v>
      </ns0:c>
      <ns0:c r="I533">
        <ns0:f>IF(COUNTIFS(Cases!$B$2:$B$1859,A533,Cases!$R$2:$R$1859,1)&gt;0,1,0)</ns0:f>
        <ns0:v>1</ns0:v>
      </ns0:c>
    </ns0:row>
    <ns0:row r="534">
      <ns0:c r="A534" t="inlineStr">
        <ns0:is>
          <ns0:t>function_0533</ns0:t>
        </ns0:is>
      </ns0:c>
      <ns0:c r="B534" t="inlineStr">
        <ns0:is>
          <ns0:t>run_016</ns0:t>
        </ns0:is>
      </ns0:c>
      <ns0:c r="C534" t="inlineStr">
        <ns0:is>
          <ns0:t>ryu</ns0:t>
        </ns0:is>
      </ns0:c>
      <ns0:c r="D534" t="inlineStr">
        <ns0:is>
          <ns0:t>gemini-2.5-flash-nothinking</ns0:t>
        </ns0:is>
      </ns0:c>
      <ns0:c r="E534">
        <ns0:f>COUNTIF(Cases!$B$2:$B$1859,A534)</ns0:f>
        <ns0:v>2</ns0:v>
      </ns0:c>
      <ns0:c r="F534">
        <ns0:f>IF(COUNTIFS(Cases!$B$2:$B$1859,A534,Cases!$G$2:$G$1859,1)&gt;0,1,0)</ns0:f>
        <ns0:v>1</ns0:v>
      </ns0:c>
      <ns0:c r="G534">
        <ns0:f>IF(COUNTIFS(Cases!$B$2:$B$1859,A534,Cases!$L$2:$L$1859,1)&gt;0,1,0)</ns0:f>
        <ns0:v>1</ns0:v>
      </ns0:c>
      <ns0:c r="H534">
        <ns0:f>IF(COUNTIFS(Cases!$B$2:$B$1859,A534,Cases!$Q$2:$Q$1859,1)&gt;0,1,0)</ns0:f>
        <ns0:v>1</ns0:v>
      </ns0:c>
      <ns0:c r="I534">
        <ns0:f>IF(COUNTIFS(Cases!$B$2:$B$1859,A534,Cases!$R$2:$R$1859,1)&gt;0,1,0)</ns0:f>
        <ns0:v>1</ns0:v>
      </ns0:c>
    </ns0:row>
    <ns0:row r="535">
      <ns0:c r="A535" t="inlineStr">
        <ns0:is>
          <ns0:t>function_0534</ns0:t>
        </ns0:is>
      </ns0:c>
      <ns0:c r="B535" t="inlineStr">
        <ns0:is>
          <ns0:t>run_016</ns0:t>
        </ns0:is>
      </ns0:c>
      <ns0:c r="C535" t="inlineStr">
        <ns0:is>
          <ns0:t>ryu</ns0:t>
        </ns0:is>
      </ns0:c>
      <ns0:c r="D535" t="inlineStr">
        <ns0:is>
          <ns0:t>gemini-2.5-flash-nothinking</ns0:t>
        </ns0:is>
      </ns0:c>
      <ns0:c r="E535">
        <ns0:f>COUNTIF(Cases!$B$2:$B$1859,A535)</ns0:f>
        <ns0:v>2</ns0:v>
      </ns0:c>
      <ns0:c r="F535">
        <ns0:f>IF(COUNTIFS(Cases!$B$2:$B$1859,A535,Cases!$G$2:$G$1859,1)&gt;0,1,0)</ns0:f>
        <ns0:v>0</ns0:v>
      </ns0:c>
      <ns0:c r="G535">
        <ns0:f>IF(COUNTIFS(Cases!$B$2:$B$1859,A535,Cases!$L$2:$L$1859,1)&gt;0,1,0)</ns0:f>
        <ns0:v>0</ns0:v>
      </ns0:c>
      <ns0:c r="H535">
        <ns0:f>IF(COUNTIFS(Cases!$B$2:$B$1859,A535,Cases!$Q$2:$Q$1859,1)&gt;0,1,0)</ns0:f>
        <ns0:v>0</ns0:v>
      </ns0:c>
      <ns0:c r="I535">
        <ns0:f>IF(COUNTIFS(Cases!$B$2:$B$1859,A535,Cases!$R$2:$R$1859,1)&gt;0,1,0)</ns0:f>
        <ns0:v>0</ns0:v>
      </ns0:c>
    </ns0:row>
    <ns0:row r="536">
      <ns0:c r="A536" t="inlineStr">
        <ns0:is>
          <ns0:t>function_0535</ns0:t>
        </ns0:is>
      </ns0:c>
      <ns0:c r="B536" t="inlineStr">
        <ns0:is>
          <ns0:t>run_016</ns0:t>
        </ns0:is>
      </ns0:c>
      <ns0:c r="C536" t="inlineStr">
        <ns0:is>
          <ns0:t>ryu</ns0:t>
        </ns0:is>
      </ns0:c>
      <ns0:c r="D536" t="inlineStr">
        <ns0:is>
          <ns0:t>gemini-2.5-flash-nothinking</ns0:t>
        </ns0:is>
      </ns0:c>
      <ns0:c r="E536">
        <ns0:f>COUNTIF(Cases!$B$2:$B$1859,A536)</ns0:f>
        <ns0:v>2</ns0:v>
      </ns0:c>
      <ns0:c r="F536">
        <ns0:f>IF(COUNTIFS(Cases!$B$2:$B$1859,A536,Cases!$G$2:$G$1859,1)&gt;0,1,0)</ns0:f>
        <ns0:v>0</ns0:v>
      </ns0:c>
      <ns0:c r="G536">
        <ns0:f>IF(COUNTIFS(Cases!$B$2:$B$1859,A536,Cases!$L$2:$L$1859,1)&gt;0,1,0)</ns0:f>
        <ns0:v>1</ns0:v>
      </ns0:c>
      <ns0:c r="H536">
        <ns0:f>IF(COUNTIFS(Cases!$B$2:$B$1859,A536,Cases!$Q$2:$Q$1859,1)&gt;0,1,0)</ns0:f>
        <ns0:v>0</ns0:v>
      </ns0:c>
      <ns0:c r="I536">
        <ns0:f>IF(COUNTIFS(Cases!$B$2:$B$1859,A536,Cases!$R$2:$R$1859,1)&gt;0,1,0)</ns0:f>
        <ns0:v>0</ns0:v>
      </ns0:c>
    </ns0:row>
    <ns0:row r="537">
      <ns0:c r="A537" t="inlineStr">
        <ns0:is>
          <ns0:t>function_0536</ns0:t>
        </ns0:is>
      </ns0:c>
      <ns0:c r="B537" t="inlineStr">
        <ns0:is>
          <ns0:t>run_016</ns0:t>
        </ns0:is>
      </ns0:c>
      <ns0:c r="C537" t="inlineStr">
        <ns0:is>
          <ns0:t>ryu</ns0:t>
        </ns0:is>
      </ns0:c>
      <ns0:c r="D537" t="inlineStr">
        <ns0:is>
          <ns0:t>gemini-2.5-flash-nothinking</ns0:t>
        </ns0:is>
      </ns0:c>
      <ns0:c r="E537">
        <ns0:f>COUNTIF(Cases!$B$2:$B$1859,A537)</ns0:f>
        <ns0:v>2</ns0:v>
      </ns0:c>
      <ns0:c r="F537">
        <ns0:f>IF(COUNTIFS(Cases!$B$2:$B$1859,A537,Cases!$G$2:$G$1859,1)&gt;0,1,0)</ns0:f>
        <ns0:v>1</ns0:v>
      </ns0:c>
      <ns0:c r="G537">
        <ns0:f>IF(COUNTIFS(Cases!$B$2:$B$1859,A537,Cases!$L$2:$L$1859,1)&gt;0,1,0)</ns0:f>
        <ns0:v>1</ns0:v>
      </ns0:c>
      <ns0:c r="H537">
        <ns0:f>IF(COUNTIFS(Cases!$B$2:$B$1859,A537,Cases!$Q$2:$Q$1859,1)&gt;0,1,0)</ns0:f>
        <ns0:v>0</ns0:v>
      </ns0:c>
      <ns0:c r="I537">
        <ns0:f>IF(COUNTIFS(Cases!$B$2:$B$1859,A537,Cases!$R$2:$R$1859,1)&gt;0,1,0)</ns0:f>
        <ns0:v>1</ns0:v>
      </ns0:c>
    </ns0:row>
    <ns0:row r="538">
      <ns0:c r="A538" t="inlineStr">
        <ns0:is>
          <ns0:t>function_0537</ns0:t>
        </ns0:is>
      </ns0:c>
      <ns0:c r="B538" t="inlineStr">
        <ns0:is>
          <ns0:t>run_017</ns0:t>
        </ns0:is>
      </ns0:c>
      <ns0:c r="C538" t="inlineStr">
        <ns0:is>
          <ns0:t>semver</ns0:t>
        </ns0:is>
      </ns0:c>
      <ns0:c r="D538" t="inlineStr">
        <ns0:is>
          <ns0:t>gemini-2.5-flash-nothinking</ns0:t>
        </ns0:is>
      </ns0:c>
      <ns0:c r="E538">
        <ns0:f>COUNTIF(Cases!$B$2:$B$1859,A538)</ns0:f>
        <ns0:v>2</ns0:v>
      </ns0:c>
      <ns0:c r="F538">
        <ns0:f>IF(COUNTIFS(Cases!$B$2:$B$1859,A538,Cases!$G$2:$G$1859,1)&gt;0,1,0)</ns0:f>
        <ns0:v>0</ns0:v>
      </ns0:c>
      <ns0:c r="G538">
        <ns0:f>IF(COUNTIFS(Cases!$B$2:$B$1859,A538,Cases!$L$2:$L$1859,1)&gt;0,1,0)</ns0:f>
        <ns0:v>0</ns0:v>
      </ns0:c>
      <ns0:c r="H538">
        <ns0:f>IF(COUNTIFS(Cases!$B$2:$B$1859,A538,Cases!$Q$2:$Q$1859,1)&gt;0,1,0)</ns0:f>
        <ns0:v>0</ns0:v>
      </ns0:c>
      <ns0:c r="I538">
        <ns0:f>IF(COUNTIFS(Cases!$B$2:$B$1859,A538,Cases!$R$2:$R$1859,1)&gt;0,1,0)</ns0:f>
        <ns0:v>0</ns0:v>
      </ns0:c>
    </ns0:row>
    <ns0:row r="539">
      <ns0:c r="A539" t="inlineStr">
        <ns0:is>
          <ns0:t>function_0538</ns0:t>
        </ns0:is>
      </ns0:c>
      <ns0:c r="B539" t="inlineStr">
        <ns0:is>
          <ns0:t>run_017</ns0:t>
        </ns0:is>
      </ns0:c>
      <ns0:c r="C539" t="inlineStr">
        <ns0:is>
          <ns0:t>semver</ns0:t>
        </ns0:is>
      </ns0:c>
      <ns0:c r="D539" t="inlineStr">
        <ns0:is>
          <ns0:t>gemini-2.5-flash-nothinking</ns0:t>
        </ns0:is>
      </ns0:c>
      <ns0:c r="E539">
        <ns0:f>COUNTIF(Cases!$B$2:$B$1859,A539)</ns0:f>
        <ns0:v>2</ns0:v>
      </ns0:c>
      <ns0:c r="F539">
        <ns0:f>IF(COUNTIFS(Cases!$B$2:$B$1859,A539,Cases!$G$2:$G$1859,1)&gt;0,1,0)</ns0:f>
        <ns0:v>1</ns0:v>
      </ns0:c>
      <ns0:c r="G539">
        <ns0:f>IF(COUNTIFS(Cases!$B$2:$B$1859,A539,Cases!$L$2:$L$1859,1)&gt;0,1,0)</ns0:f>
        <ns0:v>1</ns0:v>
      </ns0:c>
      <ns0:c r="H539">
        <ns0:f>IF(COUNTIFS(Cases!$B$2:$B$1859,A539,Cases!$Q$2:$Q$1859,1)&gt;0,1,0)</ns0:f>
        <ns0:v>1</ns0:v>
      </ns0:c>
      <ns0:c r="I539">
        <ns0:f>IF(COUNTIFS(Cases!$B$2:$B$1859,A539,Cases!$R$2:$R$1859,1)&gt;0,1,0)</ns0:f>
        <ns0:v>1</ns0:v>
      </ns0:c>
    </ns0:row>
    <ns0:row r="540">
      <ns0:c r="A540" t="inlineStr">
        <ns0:is>
          <ns0:t>function_0539</ns0:t>
        </ns0:is>
      </ns0:c>
      <ns0:c r="B540" t="inlineStr">
        <ns0:is>
          <ns0:t>run_017</ns0:t>
        </ns0:is>
      </ns0:c>
      <ns0:c r="C540" t="inlineStr">
        <ns0:is>
          <ns0:t>semver</ns0:t>
        </ns0:is>
      </ns0:c>
      <ns0:c r="D540" t="inlineStr">
        <ns0:is>
          <ns0:t>gemini-2.5-flash-nothinking</ns0:t>
        </ns0:is>
      </ns0:c>
      <ns0:c r="E540">
        <ns0:f>COUNTIF(Cases!$B$2:$B$1859,A540)</ns0:f>
        <ns0:v>2</ns0:v>
      </ns0:c>
      <ns0:c r="F540">
        <ns0:f>IF(COUNTIFS(Cases!$B$2:$B$1859,A540,Cases!$G$2:$G$1859,1)&gt;0,1,0)</ns0:f>
        <ns0:v>0</ns0:v>
      </ns0:c>
      <ns0:c r="G540">
        <ns0:f>IF(COUNTIFS(Cases!$B$2:$B$1859,A540,Cases!$L$2:$L$1859,1)&gt;0,1,0)</ns0:f>
        <ns0:v>1</ns0:v>
      </ns0:c>
      <ns0:c r="H540">
        <ns0:f>IF(COUNTIFS(Cases!$B$2:$B$1859,A540,Cases!$Q$2:$Q$1859,1)&gt;0,1,0)</ns0:f>
        <ns0:v>0</ns0:v>
      </ns0:c>
      <ns0:c r="I540">
        <ns0:f>IF(COUNTIFS(Cases!$B$2:$B$1859,A540,Cases!$R$2:$R$1859,1)&gt;0,1,0)</ns0:f>
        <ns0:v>0</ns0:v>
      </ns0:c>
    </ns0:row>
    <ns0:row r="541">
      <ns0:c r="A541" t="inlineStr">
        <ns0:is>
          <ns0:t>function_0540</ns0:t>
        </ns0:is>
      </ns0:c>
      <ns0:c r="B541" t="inlineStr">
        <ns0:is>
          <ns0:t>run_017</ns0:t>
        </ns0:is>
      </ns0:c>
      <ns0:c r="C541" t="inlineStr">
        <ns0:is>
          <ns0:t>semver</ns0:t>
        </ns0:is>
      </ns0:c>
      <ns0:c r="D541" t="inlineStr">
        <ns0:is>
          <ns0:t>gemini-2.5-flash-nothinking</ns0:t>
        </ns0:is>
      </ns0:c>
      <ns0:c r="E541">
        <ns0:f>COUNTIF(Cases!$B$2:$B$1859,A541)</ns0:f>
        <ns0:v>2</ns0:v>
      </ns0:c>
      <ns0:c r="F541">
        <ns0:f>IF(COUNTIFS(Cases!$B$2:$B$1859,A541,Cases!$G$2:$G$1859,1)&gt;0,1,0)</ns0:f>
        <ns0:v>0</ns0:v>
      </ns0:c>
      <ns0:c r="G541">
        <ns0:f>IF(COUNTIFS(Cases!$B$2:$B$1859,A541,Cases!$L$2:$L$1859,1)&gt;0,1,0)</ns0:f>
        <ns0:v>1</ns0:v>
      </ns0:c>
      <ns0:c r="H541">
        <ns0:f>IF(COUNTIFS(Cases!$B$2:$B$1859,A541,Cases!$Q$2:$Q$1859,1)&gt;0,1,0)</ns0:f>
        <ns0:v>1</ns0:v>
      </ns0:c>
      <ns0:c r="I541">
        <ns0:f>IF(COUNTIFS(Cases!$B$2:$B$1859,A541,Cases!$R$2:$R$1859,1)&gt;0,1,0)</ns0:f>
        <ns0:v>1</ns0:v>
      </ns0:c>
    </ns0:row>
    <ns0:row r="542">
      <ns0:c r="A542" t="inlineStr">
        <ns0:is>
          <ns0:t>function_0541</ns0:t>
        </ns0:is>
      </ns0:c>
      <ns0:c r="B542" t="inlineStr">
        <ns0:is>
          <ns0:t>run_017</ns0:t>
        </ns0:is>
      </ns0:c>
      <ns0:c r="C542" t="inlineStr">
        <ns0:is>
          <ns0:t>semver</ns0:t>
        </ns0:is>
      </ns0:c>
      <ns0:c r="D542" t="inlineStr">
        <ns0:is>
          <ns0:t>gemini-2.5-flash-nothinking</ns0:t>
        </ns0:is>
      </ns0:c>
      <ns0:c r="E542">
        <ns0:f>COUNTIF(Cases!$B$2:$B$1859,A542)</ns0:f>
        <ns0:v>1</ns0:v>
      </ns0:c>
      <ns0:c r="F542">
        <ns0:f>IF(COUNTIFS(Cases!$B$2:$B$1859,A542,Cases!$G$2:$G$1859,1)&gt;0,1,0)</ns0:f>
        <ns0:v>0</ns0:v>
      </ns0:c>
      <ns0:c r="G542">
        <ns0:f>IF(COUNTIFS(Cases!$B$2:$B$1859,A542,Cases!$L$2:$L$1859,1)&gt;0,1,0)</ns0:f>
        <ns0:v>0</ns0:v>
      </ns0:c>
      <ns0:c r="H542">
        <ns0:f>IF(COUNTIFS(Cases!$B$2:$B$1859,A542,Cases!$Q$2:$Q$1859,1)&gt;0,1,0)</ns0:f>
        <ns0:v>0</ns0:v>
      </ns0:c>
      <ns0:c r="I542">
        <ns0:f>IF(COUNTIFS(Cases!$B$2:$B$1859,A542,Cases!$R$2:$R$1859,1)&gt;0,1,0)</ns0:f>
        <ns0:v>0</ns0:v>
      </ns0:c>
    </ns0:row>
    <ns0:row r="543">
      <ns0:c r="A543" t="inlineStr">
        <ns0:is>
          <ns0:t>function_0542</ns0:t>
        </ns0:is>
      </ns0:c>
      <ns0:c r="B543" t="inlineStr">
        <ns0:is>
          <ns0:t>run_017</ns0:t>
        </ns0:is>
      </ns0:c>
      <ns0:c r="C543" t="inlineStr">
        <ns0:is>
          <ns0:t>semver</ns0:t>
        </ns0:is>
      </ns0:c>
      <ns0:c r="D543" t="inlineStr">
        <ns0:is>
          <ns0:t>gemini-2.5-flash-nothinking</ns0:t>
        </ns0:is>
      </ns0:c>
      <ns0:c r="E543">
        <ns0:f>COUNTIF(Cases!$B$2:$B$1859,A543)</ns0:f>
        <ns0:v>2</ns0:v>
      </ns0:c>
      <ns0:c r="F543">
        <ns0:f>IF(COUNTIFS(Cases!$B$2:$B$1859,A543,Cases!$G$2:$G$1859,1)&gt;0,1,0)</ns0:f>
        <ns0:v>0</ns0:v>
      </ns0:c>
      <ns0:c r="G543">
        <ns0:f>IF(COUNTIFS(Cases!$B$2:$B$1859,A543,Cases!$L$2:$L$1859,1)&gt;0,1,0)</ns0:f>
        <ns0:v>0</ns0:v>
      </ns0:c>
      <ns0:c r="H543">
        <ns0:f>IF(COUNTIFS(Cases!$B$2:$B$1859,A543,Cases!$Q$2:$Q$1859,1)&gt;0,1,0)</ns0:f>
        <ns0:v>0</ns0:v>
      </ns0:c>
      <ns0:c r="I543">
        <ns0:f>IF(COUNTIFS(Cases!$B$2:$B$1859,A543,Cases!$R$2:$R$1859,1)&gt;0,1,0)</ns0:f>
        <ns0:v>0</ns0:v>
      </ns0:c>
    </ns0:row>
    <ns0:row r="544">
      <ns0:c r="A544" t="inlineStr">
        <ns0:is>
          <ns0:t>function_0543</ns0:t>
        </ns0:is>
      </ns0:c>
      <ns0:c r="B544" t="inlineStr">
        <ns0:is>
          <ns0:t>run_017</ns0:t>
        </ns0:is>
      </ns0:c>
      <ns0:c r="C544" t="inlineStr">
        <ns0:is>
          <ns0:t>semver</ns0:t>
        </ns0:is>
      </ns0:c>
      <ns0:c r="D544" t="inlineStr">
        <ns0:is>
          <ns0:t>gemini-2.5-flash-nothinking</ns0:t>
        </ns0:is>
      </ns0:c>
      <ns0:c r="E544">
        <ns0:f>COUNTIF(Cases!$B$2:$B$1859,A544)</ns0:f>
        <ns0:v>2</ns0:v>
      </ns0:c>
      <ns0:c r="F544">
        <ns0:f>IF(COUNTIFS(Cases!$B$2:$B$1859,A544,Cases!$G$2:$G$1859,1)&gt;0,1,0)</ns0:f>
        <ns0:v>1</ns0:v>
      </ns0:c>
      <ns0:c r="G544">
        <ns0:f>IF(COUNTIFS(Cases!$B$2:$B$1859,A544,Cases!$L$2:$L$1859,1)&gt;0,1,0)</ns0:f>
        <ns0:v>0</ns0:v>
      </ns0:c>
      <ns0:c r="H544">
        <ns0:f>IF(COUNTIFS(Cases!$B$2:$B$1859,A544,Cases!$Q$2:$Q$1859,1)&gt;0,1,0)</ns0:f>
        <ns0:v>0</ns0:v>
      </ns0:c>
      <ns0:c r="I544">
        <ns0:f>IF(COUNTIFS(Cases!$B$2:$B$1859,A544,Cases!$R$2:$R$1859,1)&gt;0,1,0)</ns0:f>
        <ns0:v>0</ns0:v>
      </ns0:c>
    </ns0:row>
    <ns0:row r="545">
      <ns0:c r="A545" t="inlineStr">
        <ns0:is>
          <ns0:t>function_0544</ns0:t>
        </ns0:is>
      </ns0:c>
      <ns0:c r="B545" t="inlineStr">
        <ns0:is>
          <ns0:t>run_017</ns0:t>
        </ns0:is>
      </ns0:c>
      <ns0:c r="C545" t="inlineStr">
        <ns0:is>
          <ns0:t>semver</ns0:t>
        </ns0:is>
      </ns0:c>
      <ns0:c r="D545" t="inlineStr">
        <ns0:is>
          <ns0:t>gemini-2.5-flash-nothinking</ns0:t>
        </ns0:is>
      </ns0:c>
      <ns0:c r="E545">
        <ns0:f>COUNTIF(Cases!$B$2:$B$1859,A545)</ns0:f>
        <ns0:v>2</ns0:v>
      </ns0:c>
      <ns0:c r="F545">
        <ns0:f>IF(COUNTIFS(Cases!$B$2:$B$1859,A545,Cases!$G$2:$G$1859,1)&gt;0,1,0)</ns0:f>
        <ns0:v>0</ns0:v>
      </ns0:c>
      <ns0:c r="G545">
        <ns0:f>IF(COUNTIFS(Cases!$B$2:$B$1859,A545,Cases!$L$2:$L$1859,1)&gt;0,1,0)</ns0:f>
        <ns0:v>1</ns0:v>
      </ns0:c>
      <ns0:c r="H545">
        <ns0:f>IF(COUNTIFS(Cases!$B$2:$B$1859,A545,Cases!$Q$2:$Q$1859,1)&gt;0,1,0)</ns0:f>
        <ns0:v>0</ns0:v>
      </ns0:c>
      <ns0:c r="I545">
        <ns0:f>IF(COUNTIFS(Cases!$B$2:$B$1859,A545,Cases!$R$2:$R$1859,1)&gt;0,1,0)</ns0:f>
        <ns0:v>0</ns0:v>
      </ns0:c>
    </ns0:row>
    <ns0:row r="546">
      <ns0:c r="A546" t="inlineStr">
        <ns0:is>
          <ns0:t>function_0545</ns0:t>
        </ns0:is>
      </ns0:c>
      <ns0:c r="B546" t="inlineStr">
        <ns0:is>
          <ns0:t>run_017</ns0:t>
        </ns0:is>
      </ns0:c>
      <ns0:c r="C546" t="inlineStr">
        <ns0:is>
          <ns0:t>semver</ns0:t>
        </ns0:is>
      </ns0:c>
      <ns0:c r="D546" t="inlineStr">
        <ns0:is>
          <ns0:t>gemini-2.5-flash-nothinking</ns0:t>
        </ns0:is>
      </ns0:c>
      <ns0:c r="E546">
        <ns0:f>COUNTIF(Cases!$B$2:$B$1859,A546)</ns0:f>
        <ns0:v>2</ns0:v>
      </ns0:c>
      <ns0:c r="F546">
        <ns0:f>IF(COUNTIFS(Cases!$B$2:$B$1859,A546,Cases!$G$2:$G$1859,1)&gt;0,1,0)</ns0:f>
        <ns0:v>0</ns0:v>
      </ns0:c>
      <ns0:c r="G546">
        <ns0:f>IF(COUNTIFS(Cases!$B$2:$B$1859,A546,Cases!$L$2:$L$1859,1)&gt;0,1,0)</ns0:f>
        <ns0:v>1</ns0:v>
      </ns0:c>
      <ns0:c r="H546">
        <ns0:f>IF(COUNTIFS(Cases!$B$2:$B$1859,A546,Cases!$Q$2:$Q$1859,1)&gt;0,1,0)</ns0:f>
        <ns0:v>0</ns0:v>
      </ns0:c>
      <ns0:c r="I546">
        <ns0:f>IF(COUNTIFS(Cases!$B$2:$B$1859,A546,Cases!$R$2:$R$1859,1)&gt;0,1,0)</ns0:f>
        <ns0:v>0</ns0:v>
      </ns0:c>
    </ns0:row>
    <ns0:row r="547">
      <ns0:c r="A547" t="inlineStr">
        <ns0:is>
          <ns0:t>function_0546</ns0:t>
        </ns0:is>
      </ns0:c>
      <ns0:c r="B547" t="inlineStr">
        <ns0:is>
          <ns0:t>run_017</ns0:t>
        </ns0:is>
      </ns0:c>
      <ns0:c r="C547" t="inlineStr">
        <ns0:is>
          <ns0:t>semver</ns0:t>
        </ns0:is>
      </ns0:c>
      <ns0:c r="D547" t="inlineStr">
        <ns0:is>
          <ns0:t>gemini-2.5-flash-nothinking</ns0:t>
        </ns0:is>
      </ns0:c>
      <ns0:c r="E547">
        <ns0:f>COUNTIF(Cases!$B$2:$B$1859,A547)</ns0:f>
        <ns0:v>3</ns0:v>
      </ns0:c>
      <ns0:c r="F547">
        <ns0:f>IF(COUNTIFS(Cases!$B$2:$B$1859,A547,Cases!$G$2:$G$1859,1)&gt;0,1,0)</ns0:f>
        <ns0:v>1</ns0:v>
      </ns0:c>
      <ns0:c r="G547">
        <ns0:f>IF(COUNTIFS(Cases!$B$2:$B$1859,A547,Cases!$L$2:$L$1859,1)&gt;0,1,0)</ns0:f>
        <ns0:v>1</ns0:v>
      </ns0:c>
      <ns0:c r="H547">
        <ns0:f>IF(COUNTIFS(Cases!$B$2:$B$1859,A547,Cases!$Q$2:$Q$1859,1)&gt;0,1,0)</ns0:f>
        <ns0:v>1</ns0:v>
      </ns0:c>
      <ns0:c r="I547">
        <ns0:f>IF(COUNTIFS(Cases!$B$2:$B$1859,A547,Cases!$R$2:$R$1859,1)&gt;0,1,0)</ns0:f>
        <ns0:v>1</ns0:v>
      </ns0:c>
    </ns0:row>
    <ns0:row r="548">
      <ns0:c r="A548" t="inlineStr">
        <ns0:is>
          <ns0:t>function_0547</ns0:t>
        </ns0:is>
      </ns0:c>
      <ns0:c r="B548" t="inlineStr">
        <ns0:is>
          <ns0:t>run_017</ns0:t>
        </ns0:is>
      </ns0:c>
      <ns0:c r="C548" t="inlineStr">
        <ns0:is>
          <ns0:t>semver</ns0:t>
        </ns0:is>
      </ns0:c>
      <ns0:c r="D548" t="inlineStr">
        <ns0:is>
          <ns0:t>gemini-2.5-flash-nothinking</ns0:t>
        </ns0:is>
      </ns0:c>
      <ns0:c r="E548">
        <ns0:f>COUNTIF(Cases!$B$2:$B$1859,A548)</ns0:f>
        <ns0:v>2</ns0:v>
      </ns0:c>
      <ns0:c r="F548">
        <ns0:f>IF(COUNTIFS(Cases!$B$2:$B$1859,A548,Cases!$G$2:$G$1859,1)&gt;0,1,0)</ns0:f>
        <ns0:v>0</ns0:v>
      </ns0:c>
      <ns0:c r="G548">
        <ns0:f>IF(COUNTIFS(Cases!$B$2:$B$1859,A548,Cases!$L$2:$L$1859,1)&gt;0,1,0)</ns0:f>
        <ns0:v>1</ns0:v>
      </ns0:c>
      <ns0:c r="H548">
        <ns0:f>IF(COUNTIFS(Cases!$B$2:$B$1859,A548,Cases!$Q$2:$Q$1859,1)&gt;0,1,0)</ns0:f>
        <ns0:v>0</ns0:v>
      </ns0:c>
      <ns0:c r="I548">
        <ns0:f>IF(COUNTIFS(Cases!$B$2:$B$1859,A548,Cases!$R$2:$R$1859,1)&gt;0,1,0)</ns0:f>
        <ns0:v>0</ns0:v>
      </ns0:c>
    </ns0:row>
    <ns0:row r="549">
      <ns0:c r="A549" t="inlineStr">
        <ns0:is>
          <ns0:t>function_0548</ns0:t>
        </ns0:is>
      </ns0:c>
      <ns0:c r="B549" t="inlineStr">
        <ns0:is>
          <ns0:t>run_017</ns0:t>
        </ns0:is>
      </ns0:c>
      <ns0:c r="C549" t="inlineStr">
        <ns0:is>
          <ns0:t>semver</ns0:t>
        </ns0:is>
      </ns0:c>
      <ns0:c r="D549" t="inlineStr">
        <ns0:is>
          <ns0:t>gemini-2.5-flash-nothinking</ns0:t>
        </ns0:is>
      </ns0:c>
      <ns0:c r="E549">
        <ns0:f>COUNTIF(Cases!$B$2:$B$1859,A549)</ns0:f>
        <ns0:v>2</ns0:v>
      </ns0:c>
      <ns0:c r="F549">
        <ns0:f>IF(COUNTIFS(Cases!$B$2:$B$1859,A549,Cases!$G$2:$G$1859,1)&gt;0,1,0)</ns0:f>
        <ns0:v>0</ns0:v>
      </ns0:c>
      <ns0:c r="G549">
        <ns0:f>IF(COUNTIFS(Cases!$B$2:$B$1859,A549,Cases!$L$2:$L$1859,1)&gt;0,1,0)</ns0:f>
        <ns0:v>1</ns0:v>
      </ns0:c>
      <ns0:c r="H549">
        <ns0:f>IF(COUNTIFS(Cases!$B$2:$B$1859,A549,Cases!$Q$2:$Q$1859,1)&gt;0,1,0)</ns0:f>
        <ns0:v>0</ns0:v>
      </ns0:c>
      <ns0:c r="I549">
        <ns0:f>IF(COUNTIFS(Cases!$B$2:$B$1859,A549,Cases!$R$2:$R$1859,1)&gt;0,1,0)</ns0:f>
        <ns0:v>0</ns0:v>
      </ns0:c>
    </ns0:row>
    <ns0:row r="550">
      <ns0:c r="A550" t="inlineStr">
        <ns0:is>
          <ns0:t>function_0549</ns0:t>
        </ns0:is>
      </ns0:c>
      <ns0:c r="B550" t="inlineStr">
        <ns0:is>
          <ns0:t>run_017</ns0:t>
        </ns0:is>
      </ns0:c>
      <ns0:c r="C550" t="inlineStr">
        <ns0:is>
          <ns0:t>semver</ns0:t>
        </ns0:is>
      </ns0:c>
      <ns0:c r="D550" t="inlineStr">
        <ns0:is>
          <ns0:t>gemini-2.5-flash-nothinking</ns0:t>
        </ns0:is>
      </ns0:c>
      <ns0:c r="E550">
        <ns0:f>COUNTIF(Cases!$B$2:$B$1859,A550)</ns0:f>
        <ns0:v>2</ns0:v>
      </ns0:c>
      <ns0:c r="F550">
        <ns0:f>IF(COUNTIFS(Cases!$B$2:$B$1859,A550,Cases!$G$2:$G$1859,1)&gt;0,1,0)</ns0:f>
        <ns0:v>1</ns0:v>
      </ns0:c>
      <ns0:c r="G550">
        <ns0:f>IF(COUNTIFS(Cases!$B$2:$B$1859,A550,Cases!$L$2:$L$1859,1)&gt;0,1,0)</ns0:f>
        <ns0:v>1</ns0:v>
      </ns0:c>
      <ns0:c r="H550">
        <ns0:f>IF(COUNTIFS(Cases!$B$2:$B$1859,A550,Cases!$Q$2:$Q$1859,1)&gt;0,1,0)</ns0:f>
        <ns0:v>0</ns0:v>
      </ns0:c>
      <ns0:c r="I550">
        <ns0:f>IF(COUNTIFS(Cases!$B$2:$B$1859,A550,Cases!$R$2:$R$1859,1)&gt;0,1,0)</ns0:f>
        <ns0:v>0</ns0:v>
      </ns0:c>
    </ns0:row>
    <ns0:row r="551">
      <ns0:c r="A551" t="inlineStr">
        <ns0:is>
          <ns0:t>function_0550</ns0:t>
        </ns0:is>
      </ns0:c>
      <ns0:c r="B551" t="inlineStr">
        <ns0:is>
          <ns0:t>run_017</ns0:t>
        </ns0:is>
      </ns0:c>
      <ns0:c r="C551" t="inlineStr">
        <ns0:is>
          <ns0:t>semver</ns0:t>
        </ns0:is>
      </ns0:c>
      <ns0:c r="D551" t="inlineStr">
        <ns0:is>
          <ns0:t>gemini-2.5-flash-nothinking</ns0:t>
        </ns0:is>
      </ns0:c>
      <ns0:c r="E551">
        <ns0:f>COUNTIF(Cases!$B$2:$B$1859,A551)</ns0:f>
        <ns0:v>2</ns0:v>
      </ns0:c>
      <ns0:c r="F551">
        <ns0:f>IF(COUNTIFS(Cases!$B$2:$B$1859,A551,Cases!$G$2:$G$1859,1)&gt;0,1,0)</ns0:f>
        <ns0:v>1</ns0:v>
      </ns0:c>
      <ns0:c r="G551">
        <ns0:f>IF(COUNTIFS(Cases!$B$2:$B$1859,A551,Cases!$L$2:$L$1859,1)&gt;0,1,0)</ns0:f>
        <ns0:v>0</ns0:v>
      </ns0:c>
      <ns0:c r="H551">
        <ns0:f>IF(COUNTIFS(Cases!$B$2:$B$1859,A551,Cases!$Q$2:$Q$1859,1)&gt;0,1,0)</ns0:f>
        <ns0:v>0</ns0:v>
      </ns0:c>
      <ns0:c r="I551">
        <ns0:f>IF(COUNTIFS(Cases!$B$2:$B$1859,A551,Cases!$R$2:$R$1859,1)&gt;0,1,0)</ns0:f>
        <ns0:v>0</ns0:v>
      </ns0:c>
    </ns0:row>
    <ns0:row r="552">
      <ns0:c r="A552" t="inlineStr">
        <ns0:is>
          <ns0:t>function_0551</ns0:t>
        </ns0:is>
      </ns0:c>
      <ns0:c r="B552" t="inlineStr">
        <ns0:is>
          <ns0:t>run_017</ns0:t>
        </ns0:is>
      </ns0:c>
      <ns0:c r="C552" t="inlineStr">
        <ns0:is>
          <ns0:t>semver</ns0:t>
        </ns0:is>
      </ns0:c>
      <ns0:c r="D552" t="inlineStr">
        <ns0:is>
          <ns0:t>gemini-2.5-flash-nothinking</ns0:t>
        </ns0:is>
      </ns0:c>
      <ns0:c r="E552">
        <ns0:f>COUNTIF(Cases!$B$2:$B$1859,A552)</ns0:f>
        <ns0:v>1</ns0:v>
      </ns0:c>
      <ns0:c r="F552">
        <ns0:f>IF(COUNTIFS(Cases!$B$2:$B$1859,A552,Cases!$G$2:$G$1859,1)&gt;0,1,0)</ns0:f>
        <ns0:v>1</ns0:v>
      </ns0:c>
      <ns0:c r="G552">
        <ns0:f>IF(COUNTIFS(Cases!$B$2:$B$1859,A552,Cases!$L$2:$L$1859,1)&gt;0,1,0)</ns0:f>
        <ns0:v>1</ns0:v>
      </ns0:c>
      <ns0:c r="H552">
        <ns0:f>IF(COUNTIFS(Cases!$B$2:$B$1859,A552,Cases!$Q$2:$Q$1859,1)&gt;0,1,0)</ns0:f>
        <ns0:v>0</ns0:v>
      </ns0:c>
      <ns0:c r="I552">
        <ns0:f>IF(COUNTIFS(Cases!$B$2:$B$1859,A552,Cases!$R$2:$R$1859,1)&gt;0,1,0)</ns0:f>
        <ns0:v>0</ns0:v>
      </ns0:c>
    </ns0:row>
    <ns0:row r="553">
      <ns0:c r="A553" t="inlineStr">
        <ns0:is>
          <ns0:t>function_0552</ns0:t>
        </ns0:is>
      </ns0:c>
      <ns0:c r="B553" t="inlineStr">
        <ns0:is>
          <ns0:t>run_017</ns0:t>
        </ns0:is>
      </ns0:c>
      <ns0:c r="C553" t="inlineStr">
        <ns0:is>
          <ns0:t>semver</ns0:t>
        </ns0:is>
      </ns0:c>
      <ns0:c r="D553" t="inlineStr">
        <ns0:is>
          <ns0:t>gemini-2.5-flash-nothinking</ns0:t>
        </ns0:is>
      </ns0:c>
      <ns0:c r="E553">
        <ns0:f>COUNTIF(Cases!$B$2:$B$1859,A553)</ns0:f>
        <ns0:v>2</ns0:v>
      </ns0:c>
      <ns0:c r="F553">
        <ns0:f>IF(COUNTIFS(Cases!$B$2:$B$1859,A553,Cases!$G$2:$G$1859,1)&gt;0,1,0)</ns0:f>
        <ns0:v>1</ns0:v>
      </ns0:c>
      <ns0:c r="G553">
        <ns0:f>IF(COUNTIFS(Cases!$B$2:$B$1859,A553,Cases!$L$2:$L$1859,1)&gt;0,1,0)</ns0:f>
        <ns0:v>1</ns0:v>
      </ns0:c>
      <ns0:c r="H553">
        <ns0:f>IF(COUNTIFS(Cases!$B$2:$B$1859,A553,Cases!$Q$2:$Q$1859,1)&gt;0,1,0)</ns0:f>
        <ns0:v>1</ns0:v>
      </ns0:c>
      <ns0:c r="I553">
        <ns0:f>IF(COUNTIFS(Cases!$B$2:$B$1859,A553,Cases!$R$2:$R$1859,1)&gt;0,1,0)</ns0:f>
        <ns0:v>1</ns0:v>
      </ns0:c>
    </ns0:row>
    <ns0:row r="554">
      <ns0:c r="A554" t="inlineStr">
        <ns0:is>
          <ns0:t>function_0553</ns0:t>
        </ns0:is>
      </ns0:c>
      <ns0:c r="B554" t="inlineStr">
        <ns0:is>
          <ns0:t>run_017</ns0:t>
        </ns0:is>
      </ns0:c>
      <ns0:c r="C554" t="inlineStr">
        <ns0:is>
          <ns0:t>semver</ns0:t>
        </ns0:is>
      </ns0:c>
      <ns0:c r="D554" t="inlineStr">
        <ns0:is>
          <ns0:t>gemini-2.5-flash-nothinking</ns0:t>
        </ns0:is>
      </ns0:c>
      <ns0:c r="E554">
        <ns0:f>COUNTIF(Cases!$B$2:$B$1859,A554)</ns0:f>
        <ns0:v>2</ns0:v>
      </ns0:c>
      <ns0:c r="F554">
        <ns0:f>IF(COUNTIFS(Cases!$B$2:$B$1859,A554,Cases!$G$2:$G$1859,1)&gt;0,1,0)</ns0:f>
        <ns0:v>0</ns0:v>
      </ns0:c>
      <ns0:c r="G554">
        <ns0:f>IF(COUNTIFS(Cases!$B$2:$B$1859,A554,Cases!$L$2:$L$1859,1)&gt;0,1,0)</ns0:f>
        <ns0:v>1</ns0:v>
      </ns0:c>
      <ns0:c r="H554">
        <ns0:f>IF(COUNTIFS(Cases!$B$2:$B$1859,A554,Cases!$Q$2:$Q$1859,1)&gt;0,1,0)</ns0:f>
        <ns0:v>0</ns0:v>
      </ns0:c>
      <ns0:c r="I554">
        <ns0:f>IF(COUNTIFS(Cases!$B$2:$B$1859,A554,Cases!$R$2:$R$1859,1)&gt;0,1,0)</ns0:f>
        <ns0:v>1</ns0:v>
      </ns0:c>
    </ns0:row>
    <ns0:row r="555">
      <ns0:c r="A555" t="inlineStr">
        <ns0:is>
          <ns0:t>function_0554</ns0:t>
        </ns0:is>
      </ns0:c>
      <ns0:c r="B555" t="inlineStr">
        <ns0:is>
          <ns0:t>run_017</ns0:t>
        </ns0:is>
      </ns0:c>
      <ns0:c r="C555" t="inlineStr">
        <ns0:is>
          <ns0:t>semver</ns0:t>
        </ns0:is>
      </ns0:c>
      <ns0:c r="D555" t="inlineStr">
        <ns0:is>
          <ns0:t>gemini-2.5-flash-nothinking</ns0:t>
        </ns0:is>
      </ns0:c>
      <ns0:c r="E555">
        <ns0:f>COUNTIF(Cases!$B$2:$B$1859,A555)</ns0:f>
        <ns0:v>1</ns0:v>
      </ns0:c>
      <ns0:c r="F555">
        <ns0:f>IF(COUNTIFS(Cases!$B$2:$B$1859,A555,Cases!$G$2:$G$1859,1)&gt;0,1,0)</ns0:f>
        <ns0:v>0</ns0:v>
      </ns0:c>
      <ns0:c r="G555">
        <ns0:f>IF(COUNTIFS(Cases!$B$2:$B$1859,A555,Cases!$L$2:$L$1859,1)&gt;0,1,0)</ns0:f>
        <ns0:v>1</ns0:v>
      </ns0:c>
      <ns0:c r="H555">
        <ns0:f>IF(COUNTIFS(Cases!$B$2:$B$1859,A555,Cases!$Q$2:$Q$1859,1)&gt;0,1,0)</ns0:f>
        <ns0:v>0</ns0:v>
      </ns0:c>
      <ns0:c r="I555">
        <ns0:f>IF(COUNTIFS(Cases!$B$2:$B$1859,A555,Cases!$R$2:$R$1859,1)&gt;0,1,0)</ns0:f>
        <ns0:v>0</ns0:v>
      </ns0:c>
    </ns0:row>
    <ns0:row r="556">
      <ns0:c r="A556" t="inlineStr">
        <ns0:is>
          <ns0:t>function_0555</ns0:t>
        </ns0:is>
      </ns0:c>
      <ns0:c r="B556" t="inlineStr">
        <ns0:is>
          <ns0:t>run_017</ns0:t>
        </ns0:is>
      </ns0:c>
      <ns0:c r="C556" t="inlineStr">
        <ns0:is>
          <ns0:t>semver</ns0:t>
        </ns0:is>
      </ns0:c>
      <ns0:c r="D556" t="inlineStr">
        <ns0:is>
          <ns0:t>gemini-2.5-flash-nothinking</ns0:t>
        </ns0:is>
      </ns0:c>
      <ns0:c r="E556">
        <ns0:f>COUNTIF(Cases!$B$2:$B$1859,A556)</ns0:f>
        <ns0:v>2</ns0:v>
      </ns0:c>
      <ns0:c r="F556">
        <ns0:f>IF(COUNTIFS(Cases!$B$2:$B$1859,A556,Cases!$G$2:$G$1859,1)&gt;0,1,0)</ns0:f>
        <ns0:v>1</ns0:v>
      </ns0:c>
      <ns0:c r="G556">
        <ns0:f>IF(COUNTIFS(Cases!$B$2:$B$1859,A556,Cases!$L$2:$L$1859,1)&gt;0,1,0)</ns0:f>
        <ns0:v>1</ns0:v>
      </ns0:c>
      <ns0:c r="H556">
        <ns0:f>IF(COUNTIFS(Cases!$B$2:$B$1859,A556,Cases!$Q$2:$Q$1859,1)&gt;0,1,0)</ns0:f>
        <ns0:v>1</ns0:v>
      </ns0:c>
      <ns0:c r="I556">
        <ns0:f>IF(COUNTIFS(Cases!$B$2:$B$1859,A556,Cases!$R$2:$R$1859,1)&gt;0,1,0)</ns0:f>
        <ns0:v>1</ns0:v>
      </ns0:c>
    </ns0:row>
    <ns0:row r="557">
      <ns0:c r="A557" t="inlineStr">
        <ns0:is>
          <ns0:t>function_0556</ns0:t>
        </ns0:is>
      </ns0:c>
      <ns0:c r="B557" t="inlineStr">
        <ns0:is>
          <ns0:t>run_017</ns0:t>
        </ns0:is>
      </ns0:c>
      <ns0:c r="C557" t="inlineStr">
        <ns0:is>
          <ns0:t>semver</ns0:t>
        </ns0:is>
      </ns0:c>
      <ns0:c r="D557" t="inlineStr">
        <ns0:is>
          <ns0:t>gemini-2.5-flash-nothinking</ns0:t>
        </ns0:is>
      </ns0:c>
      <ns0:c r="E557">
        <ns0:f>COUNTIF(Cases!$B$2:$B$1859,A557)</ns0:f>
        <ns0:v>1</ns0:v>
      </ns0:c>
      <ns0:c r="F557">
        <ns0:f>IF(COUNTIFS(Cases!$B$2:$B$1859,A557,Cases!$G$2:$G$1859,1)&gt;0,1,0)</ns0:f>
        <ns0:v>0</ns0:v>
      </ns0:c>
      <ns0:c r="G557">
        <ns0:f>IF(COUNTIFS(Cases!$B$2:$B$1859,A557,Cases!$L$2:$L$1859,1)&gt;0,1,0)</ns0:f>
        <ns0:v>1</ns0:v>
      </ns0:c>
      <ns0:c r="H557">
        <ns0:f>IF(COUNTIFS(Cases!$B$2:$B$1859,A557,Cases!$Q$2:$Q$1859,1)&gt;0,1,0)</ns0:f>
        <ns0:v>0</ns0:v>
      </ns0:c>
      <ns0:c r="I557">
        <ns0:f>IF(COUNTIFS(Cases!$B$2:$B$1859,A557,Cases!$R$2:$R$1859,1)&gt;0,1,0)</ns0:f>
        <ns0:v>0</ns0:v>
      </ns0:c>
    </ns0:row>
    <ns0:row r="558">
      <ns0:c r="A558" t="inlineStr">
        <ns0:is>
          <ns0:t>function_0557</ns0:t>
        </ns0:is>
      </ns0:c>
      <ns0:c r="B558" t="inlineStr">
        <ns0:is>
          <ns0:t>run_017</ns0:t>
        </ns0:is>
      </ns0:c>
      <ns0:c r="C558" t="inlineStr">
        <ns0:is>
          <ns0:t>semver</ns0:t>
        </ns0:is>
      </ns0:c>
      <ns0:c r="D558" t="inlineStr">
        <ns0:is>
          <ns0:t>gemini-2.5-flash-nothinking</ns0:t>
        </ns0:is>
      </ns0:c>
      <ns0:c r="E558">
        <ns0:f>COUNTIF(Cases!$B$2:$B$1859,A558)</ns0:f>
        <ns0:v>1</ns0:v>
      </ns0:c>
      <ns0:c r="F558">
        <ns0:f>IF(COUNTIFS(Cases!$B$2:$B$1859,A558,Cases!$G$2:$G$1859,1)&gt;0,1,0)</ns0:f>
        <ns0:v>0</ns0:v>
      </ns0:c>
      <ns0:c r="G558">
        <ns0:f>IF(COUNTIFS(Cases!$B$2:$B$1859,A558,Cases!$L$2:$L$1859,1)&gt;0,1,0)</ns0:f>
        <ns0:v>0</ns0:v>
      </ns0:c>
      <ns0:c r="H558">
        <ns0:f>IF(COUNTIFS(Cases!$B$2:$B$1859,A558,Cases!$Q$2:$Q$1859,1)&gt;0,1,0)</ns0:f>
        <ns0:v>0</ns0:v>
      </ns0:c>
      <ns0:c r="I558">
        <ns0:f>IF(COUNTIFS(Cases!$B$2:$B$1859,A558,Cases!$R$2:$R$1859,1)&gt;0,1,0)</ns0:f>
        <ns0:v>0</ns0:v>
      </ns0:c>
    </ns0:row>
    <ns0:row r="559">
      <ns0:c r="A559" t="inlineStr">
        <ns0:is>
          <ns0:t>function_0558</ns0:t>
        </ns0:is>
      </ns0:c>
      <ns0:c r="B559" t="inlineStr">
        <ns0:is>
          <ns0:t>run_017</ns0:t>
        </ns0:is>
      </ns0:c>
      <ns0:c r="C559" t="inlineStr">
        <ns0:is>
          <ns0:t>semver</ns0:t>
        </ns0:is>
      </ns0:c>
      <ns0:c r="D559" t="inlineStr">
        <ns0:is>
          <ns0:t>gemini-2.5-flash-nothinking</ns0:t>
        </ns0:is>
      </ns0:c>
      <ns0:c r="E559">
        <ns0:f>COUNTIF(Cases!$B$2:$B$1859,A559)</ns0:f>
        <ns0:v>1</ns0:v>
      </ns0:c>
      <ns0:c r="F559">
        <ns0:f>IF(COUNTIFS(Cases!$B$2:$B$1859,A559,Cases!$G$2:$G$1859,1)&gt;0,1,0)</ns0:f>
        <ns0:v>1</ns0:v>
      </ns0:c>
      <ns0:c r="G559">
        <ns0:f>IF(COUNTIFS(Cases!$B$2:$B$1859,A559,Cases!$L$2:$L$1859,1)&gt;0,1,0)</ns0:f>
        <ns0:v>1</ns0:v>
      </ns0:c>
      <ns0:c r="H559">
        <ns0:f>IF(COUNTIFS(Cases!$B$2:$B$1859,A559,Cases!$Q$2:$Q$1859,1)&gt;0,1,0)</ns0:f>
        <ns0:v>1</ns0:v>
      </ns0:c>
      <ns0:c r="I559">
        <ns0:f>IF(COUNTIFS(Cases!$B$2:$B$1859,A559,Cases!$R$2:$R$1859,1)&gt;0,1,0)</ns0:f>
        <ns0:v>1</ns0:v>
      </ns0:c>
    </ns0:row>
    <ns0:row r="560">
      <ns0:c r="A560" t="inlineStr">
        <ns0:is>
          <ns0:t>function_0559</ns0:t>
        </ns0:is>
      </ns0:c>
      <ns0:c r="B560" t="inlineStr">
        <ns0:is>
          <ns0:t>run_017</ns0:t>
        </ns0:is>
      </ns0:c>
      <ns0:c r="C560" t="inlineStr">
        <ns0:is>
          <ns0:t>semver</ns0:t>
        </ns0:is>
      </ns0:c>
      <ns0:c r="D560" t="inlineStr">
        <ns0:is>
          <ns0:t>gemini-2.5-flash-nothinking</ns0:t>
        </ns0:is>
      </ns0:c>
      <ns0:c r="E560">
        <ns0:f>COUNTIF(Cases!$B$2:$B$1859,A560)</ns0:f>
        <ns0:v>1</ns0:v>
      </ns0:c>
      <ns0:c r="F560">
        <ns0:f>IF(COUNTIFS(Cases!$B$2:$B$1859,A560,Cases!$G$2:$G$1859,1)&gt;0,1,0)</ns0:f>
        <ns0:v>1</ns0:v>
      </ns0:c>
      <ns0:c r="G560">
        <ns0:f>IF(COUNTIFS(Cases!$B$2:$B$1859,A560,Cases!$L$2:$L$1859,1)&gt;0,1,0)</ns0:f>
        <ns0:v>1</ns0:v>
      </ns0:c>
      <ns0:c r="H560">
        <ns0:f>IF(COUNTIFS(Cases!$B$2:$B$1859,A560,Cases!$Q$2:$Q$1859,1)&gt;0,1,0)</ns0:f>
        <ns0:v>1</ns0:v>
      </ns0:c>
      <ns0:c r="I560">
        <ns0:f>IF(COUNTIFS(Cases!$B$2:$B$1859,A560,Cases!$R$2:$R$1859,1)&gt;0,1,0)</ns0:f>
        <ns0:v>1</ns0:v>
      </ns0:c>
    </ns0:row>
    <ns0:row r="561">
      <ns0:c r="A561" t="inlineStr">
        <ns0:is>
          <ns0:t>function_0560</ns0:t>
        </ns0:is>
      </ns0:c>
      <ns0:c r="B561" t="inlineStr">
        <ns0:is>
          <ns0:t>run_017</ns0:t>
        </ns0:is>
      </ns0:c>
      <ns0:c r="C561" t="inlineStr">
        <ns0:is>
          <ns0:t>semver</ns0:t>
        </ns0:is>
      </ns0:c>
      <ns0:c r="D561" t="inlineStr">
        <ns0:is>
          <ns0:t>gemini-2.5-flash-nothinking</ns0:t>
        </ns0:is>
      </ns0:c>
      <ns0:c r="E561">
        <ns0:f>COUNTIF(Cases!$B$2:$B$1859,A561)</ns0:f>
        <ns0:v>3</ns0:v>
      </ns0:c>
      <ns0:c r="F561">
        <ns0:f>IF(COUNTIFS(Cases!$B$2:$B$1859,A561,Cases!$G$2:$G$1859,1)&gt;0,1,0)</ns0:f>
        <ns0:v>0</ns0:v>
      </ns0:c>
      <ns0:c r="G561">
        <ns0:f>IF(COUNTIFS(Cases!$B$2:$B$1859,A561,Cases!$L$2:$L$1859,1)&gt;0,1,0)</ns0:f>
        <ns0:v>1</ns0:v>
      </ns0:c>
      <ns0:c r="H561">
        <ns0:f>IF(COUNTIFS(Cases!$B$2:$B$1859,A561,Cases!$Q$2:$Q$1859,1)&gt;0,1,0)</ns0:f>
        <ns0:v>0</ns0:v>
      </ns0:c>
      <ns0:c r="I561">
        <ns0:f>IF(COUNTIFS(Cases!$B$2:$B$1859,A561,Cases!$R$2:$R$1859,1)&gt;0,1,0)</ns0:f>
        <ns0:v>0</ns0:v>
      </ns0:c>
    </ns0:row>
    <ns0:row r="562">
      <ns0:c r="A562" t="inlineStr">
        <ns0:is>
          <ns0:t>function_0561</ns0:t>
        </ns0:is>
      </ns0:c>
      <ns0:c r="B562" t="inlineStr">
        <ns0:is>
          <ns0:t>run_017</ns0:t>
        </ns0:is>
      </ns0:c>
      <ns0:c r="C562" t="inlineStr">
        <ns0:is>
          <ns0:t>semver</ns0:t>
        </ns0:is>
      </ns0:c>
      <ns0:c r="D562" t="inlineStr">
        <ns0:is>
          <ns0:t>gemini-2.5-flash-nothinking</ns0:t>
        </ns0:is>
      </ns0:c>
      <ns0:c r="E562">
        <ns0:f>COUNTIF(Cases!$B$2:$B$1859,A562)</ns0:f>
        <ns0:v>2</ns0:v>
      </ns0:c>
      <ns0:c r="F562">
        <ns0:f>IF(COUNTIFS(Cases!$B$2:$B$1859,A562,Cases!$G$2:$G$1859,1)&gt;0,1,0)</ns0:f>
        <ns0:v>0</ns0:v>
      </ns0:c>
      <ns0:c r="G562">
        <ns0:f>IF(COUNTIFS(Cases!$B$2:$B$1859,A562,Cases!$L$2:$L$1859,1)&gt;0,1,0)</ns0:f>
        <ns0:v>1</ns0:v>
      </ns0:c>
      <ns0:c r="H562">
        <ns0:f>IF(COUNTIFS(Cases!$B$2:$B$1859,A562,Cases!$Q$2:$Q$1859,1)&gt;0,1,0)</ns0:f>
        <ns0:v>0</ns0:v>
      </ns0:c>
      <ns0:c r="I562">
        <ns0:f>IF(COUNTIFS(Cases!$B$2:$B$1859,A562,Cases!$R$2:$R$1859,1)&gt;0,1,0)</ns0:f>
        <ns0:v>0</ns0:v>
      </ns0:c>
    </ns0:row>
    <ns0:row r="563">
      <ns0:c r="A563" t="inlineStr">
        <ns0:is>
          <ns0:t>function_0562</ns0:t>
        </ns0:is>
      </ns0:c>
      <ns0:c r="B563" t="inlineStr">
        <ns0:is>
          <ns0:t>run_017</ns0:t>
        </ns0:is>
      </ns0:c>
      <ns0:c r="C563" t="inlineStr">
        <ns0:is>
          <ns0:t>semver</ns0:t>
        </ns0:is>
      </ns0:c>
      <ns0:c r="D563" t="inlineStr">
        <ns0:is>
          <ns0:t>gemini-2.5-flash-nothinking</ns0:t>
        </ns0:is>
      </ns0:c>
      <ns0:c r="E563">
        <ns0:f>COUNTIF(Cases!$B$2:$B$1859,A563)</ns0:f>
        <ns0:v>2</ns0:v>
      </ns0:c>
      <ns0:c r="F563">
        <ns0:f>IF(COUNTIFS(Cases!$B$2:$B$1859,A563,Cases!$G$2:$G$1859,1)&gt;0,1,0)</ns0:f>
        <ns0:v>0</ns0:v>
      </ns0:c>
      <ns0:c r="G563">
        <ns0:f>IF(COUNTIFS(Cases!$B$2:$B$1859,A563,Cases!$L$2:$L$1859,1)&gt;0,1,0)</ns0:f>
        <ns0:v>0</ns0:v>
      </ns0:c>
      <ns0:c r="H563">
        <ns0:f>IF(COUNTIFS(Cases!$B$2:$B$1859,A563,Cases!$Q$2:$Q$1859,1)&gt;0,1,0)</ns0:f>
        <ns0:v>0</ns0:v>
      </ns0:c>
      <ns0:c r="I563">
        <ns0:f>IF(COUNTIFS(Cases!$B$2:$B$1859,A563,Cases!$R$2:$R$1859,1)&gt;0,1,0)</ns0:f>
        <ns0:v>0</ns0:v>
      </ns0:c>
    </ns0:row>
    <ns0:row r="564">
      <ns0:c r="A564" t="inlineStr">
        <ns0:is>
          <ns0:t>function_0563</ns0:t>
        </ns0:is>
      </ns0:c>
      <ns0:c r="B564" t="inlineStr">
        <ns0:is>
          <ns0:t>run_017</ns0:t>
        </ns0:is>
      </ns0:c>
      <ns0:c r="C564" t="inlineStr">
        <ns0:is>
          <ns0:t>semver</ns0:t>
        </ns0:is>
      </ns0:c>
      <ns0:c r="D564" t="inlineStr">
        <ns0:is>
          <ns0:t>gemini-2.5-flash-nothinking</ns0:t>
        </ns0:is>
      </ns0:c>
      <ns0:c r="E564">
        <ns0:f>COUNTIF(Cases!$B$2:$B$1859,A564)</ns0:f>
        <ns0:v>2</ns0:v>
      </ns0:c>
      <ns0:c r="F564">
        <ns0:f>IF(COUNTIFS(Cases!$B$2:$B$1859,A564,Cases!$G$2:$G$1859,1)&gt;0,1,0)</ns0:f>
        <ns0:v>0</ns0:v>
      </ns0:c>
      <ns0:c r="G564">
        <ns0:f>IF(COUNTIFS(Cases!$B$2:$B$1859,A564,Cases!$L$2:$L$1859,1)&gt;0,1,0)</ns0:f>
        <ns0:v>0</ns0:v>
      </ns0:c>
      <ns0:c r="H564">
        <ns0:f>IF(COUNTIFS(Cases!$B$2:$B$1859,A564,Cases!$Q$2:$Q$1859,1)&gt;0,1,0)</ns0:f>
        <ns0:v>0</ns0:v>
      </ns0:c>
      <ns0:c r="I564">
        <ns0:f>IF(COUNTIFS(Cases!$B$2:$B$1859,A564,Cases!$R$2:$R$1859,1)&gt;0,1,0)</ns0:f>
        <ns0:v>0</ns0:v>
      </ns0:c>
    </ns0:row>
    <ns0:row r="565">
      <ns0:c r="A565" t="inlineStr">
        <ns0:is>
          <ns0:t>function_0564</ns0:t>
        </ns0:is>
      </ns0:c>
      <ns0:c r="B565" t="inlineStr">
        <ns0:is>
          <ns0:t>run_017</ns0:t>
        </ns0:is>
      </ns0:c>
      <ns0:c r="C565" t="inlineStr">
        <ns0:is>
          <ns0:t>semver</ns0:t>
        </ns0:is>
      </ns0:c>
      <ns0:c r="D565" t="inlineStr">
        <ns0:is>
          <ns0:t>gemini-2.5-flash-nothinking</ns0:t>
        </ns0:is>
      </ns0:c>
      <ns0:c r="E565">
        <ns0:f>COUNTIF(Cases!$B$2:$B$1859,A565)</ns0:f>
        <ns0:v>2</ns0:v>
      </ns0:c>
      <ns0:c r="F565">
        <ns0:f>IF(COUNTIFS(Cases!$B$2:$B$1859,A565,Cases!$G$2:$G$1859,1)&gt;0,1,0)</ns0:f>
        <ns0:v>0</ns0:v>
      </ns0:c>
      <ns0:c r="G565">
        <ns0:f>IF(COUNTIFS(Cases!$B$2:$B$1859,A565,Cases!$L$2:$L$1859,1)&gt;0,1,0)</ns0:f>
        <ns0:v>0</ns0:v>
      </ns0:c>
      <ns0:c r="H565">
        <ns0:f>IF(COUNTIFS(Cases!$B$2:$B$1859,A565,Cases!$Q$2:$Q$1859,1)&gt;0,1,0)</ns0:f>
        <ns0:v>0</ns0:v>
      </ns0:c>
      <ns0:c r="I565">
        <ns0:f>IF(COUNTIFS(Cases!$B$2:$B$1859,A565,Cases!$R$2:$R$1859,1)&gt;0,1,0)</ns0:f>
        <ns0:v>0</ns0:v>
      </ns0:c>
    </ns0:row>
    <ns0:row r="566">
      <ns0:c r="A566" t="inlineStr">
        <ns0:is>
          <ns0:t>function_0565</ns0:t>
        </ns0:is>
      </ns0:c>
      <ns0:c r="B566" t="inlineStr">
        <ns0:is>
          <ns0:t>run_017</ns0:t>
        </ns0:is>
      </ns0:c>
      <ns0:c r="C566" t="inlineStr">
        <ns0:is>
          <ns0:t>semver</ns0:t>
        </ns0:is>
      </ns0:c>
      <ns0:c r="D566" t="inlineStr">
        <ns0:is>
          <ns0:t>gemini-2.5-flash-nothinking</ns0:t>
        </ns0:is>
      </ns0:c>
      <ns0:c r="E566">
        <ns0:f>COUNTIF(Cases!$B$2:$B$1859,A566)</ns0:f>
        <ns0:v>2</ns0:v>
      </ns0:c>
      <ns0:c r="F566">
        <ns0:f>IF(COUNTIFS(Cases!$B$2:$B$1859,A566,Cases!$G$2:$G$1859,1)&gt;0,1,0)</ns0:f>
        <ns0:v>0</ns0:v>
      </ns0:c>
      <ns0:c r="G566">
        <ns0:f>IF(COUNTIFS(Cases!$B$2:$B$1859,A566,Cases!$L$2:$L$1859,1)&gt;0,1,0)</ns0:f>
        <ns0:v>1</ns0:v>
      </ns0:c>
      <ns0:c r="H566">
        <ns0:f>IF(COUNTIFS(Cases!$B$2:$B$1859,A566,Cases!$Q$2:$Q$1859,1)&gt;0,1,0)</ns0:f>
        <ns0:v>0</ns0:v>
      </ns0:c>
      <ns0:c r="I566">
        <ns0:f>IF(COUNTIFS(Cases!$B$2:$B$1859,A566,Cases!$R$2:$R$1859,1)&gt;0,1,0)</ns0:f>
        <ns0:v>0</ns0:v>
      </ns0:c>
    </ns0:row>
    <ns0:row r="567">
      <ns0:c r="A567" t="inlineStr">
        <ns0:is>
          <ns0:t>function_0566</ns0:t>
        </ns0:is>
      </ns0:c>
      <ns0:c r="B567" t="inlineStr">
        <ns0:is>
          <ns0:t>run_017</ns0:t>
        </ns0:is>
      </ns0:c>
      <ns0:c r="C567" t="inlineStr">
        <ns0:is>
          <ns0:t>semver</ns0:t>
        </ns0:is>
      </ns0:c>
      <ns0:c r="D567" t="inlineStr">
        <ns0:is>
          <ns0:t>gemini-2.5-flash-nothinking</ns0:t>
        </ns0:is>
      </ns0:c>
      <ns0:c r="E567">
        <ns0:f>COUNTIF(Cases!$B$2:$B$1859,A567)</ns0:f>
        <ns0:v>2</ns0:v>
      </ns0:c>
      <ns0:c r="F567">
        <ns0:f>IF(COUNTIFS(Cases!$B$2:$B$1859,A567,Cases!$G$2:$G$1859,1)&gt;0,1,0)</ns0:f>
        <ns0:v>0</ns0:v>
      </ns0:c>
      <ns0:c r="G567">
        <ns0:f>IF(COUNTIFS(Cases!$B$2:$B$1859,A567,Cases!$L$2:$L$1859,1)&gt;0,1,0)</ns0:f>
        <ns0:v>0</ns0:v>
      </ns0:c>
      <ns0:c r="H567">
        <ns0:f>IF(COUNTIFS(Cases!$B$2:$B$1859,A567,Cases!$Q$2:$Q$1859,1)&gt;0,1,0)</ns0:f>
        <ns0:v>0</ns0:v>
      </ns0:c>
      <ns0:c r="I567">
        <ns0:f>IF(COUNTIFS(Cases!$B$2:$B$1859,A567,Cases!$R$2:$R$1859,1)&gt;0,1,0)</ns0:f>
        <ns0:v>0</ns0:v>
      </ns0:c>
    </ns0:row>
  </ns0:sheetData>
  <ns0:autoFilter ref="A1:I567"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Anonymous</cp:lastModifiedBy>
</cp:coreProperties>
</file>